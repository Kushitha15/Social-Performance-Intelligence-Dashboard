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Kushitha\Downloads\"/>
    </mc:Choice>
  </mc:AlternateContent>
  <xr:revisionPtr revIDLastSave="0" documentId="8_{340864A2-BC1A-4E4D-9B88-90E3287E2C20}" xr6:coauthVersionLast="47" xr6:coauthVersionMax="47" xr10:uidLastSave="{00000000-0000-0000-0000-000000000000}"/>
  <bookViews>
    <workbookView xWindow="-108" yWindow="-108" windowWidth="23256" windowHeight="12456" activeTab="3" xr2:uid="{00000000-000D-0000-FFFF-FFFF00000000}"/>
  </bookViews>
  <sheets>
    <sheet name="Data" sheetId="1" r:id="rId1"/>
    <sheet name="Pivot" sheetId="2" r:id="rId2"/>
    <sheet name="POWERQUERYEDITOR" sheetId="5" r:id="rId3"/>
    <sheet name="DASHBOARD" sheetId="4" r:id="rId4"/>
  </sheets>
  <definedNames>
    <definedName name="ExternalData_1" localSheetId="2" hidden="1">POWERQUERYEDITOR!$A$1:$T$901</definedName>
    <definedName name="Slicer_hashtags">#N/A</definedName>
    <definedName name="Slicer_post_type">#N/A</definedName>
    <definedName name="Slicer_posting_tim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2" i="1"/>
  <c r="X5" i="1"/>
  <c r="X4" i="1"/>
  <c r="V15" i="1"/>
  <c r="V9" i="1"/>
  <c r="V7" i="1"/>
  <c r="V4" i="1"/>
  <c r="M2"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70C8DC-B41A-4145-8F8C-FF81A5C60D7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<sst xmlns="http://schemas.openxmlformats.org/spreadsheetml/2006/main" count="7877" uniqueCount="1824">
  <si>
    <t>post_id</t>
  </si>
  <si>
    <t>user_id</t>
  </si>
  <si>
    <t>likes</t>
  </si>
  <si>
    <t>shares</t>
  </si>
  <si>
    <t>comments</t>
  </si>
  <si>
    <t>engagement_rate</t>
  </si>
  <si>
    <t>impressions</t>
  </si>
  <si>
    <t>reach</t>
  </si>
  <si>
    <t>post_type</t>
  </si>
  <si>
    <t>posting_time</t>
  </si>
  <si>
    <t>c4e1f1b3-0d27-4ebd-927a-969eddfa0263</t>
  </si>
  <si>
    <t>e849b68b-954c-454a-b656-3b2dc58f2721</t>
  </si>
  <si>
    <t>Image</t>
  </si>
  <si>
    <t>15:32:04</t>
  </si>
  <si>
    <t>20a8b3b3-e607-43ba-a495-e902c680a047</t>
  </si>
  <si>
    <t>59c3f8b7-c270-4139-a580-12919688f2f3</t>
  </si>
  <si>
    <t>Poll</t>
  </si>
  <si>
    <t>14:39:21</t>
  </si>
  <si>
    <t>10f2dff0-06f7-46f8-a8ad-518b3342ec90</t>
  </si>
  <si>
    <t>1e51a438-6c53-4156-a9e5-fda55bb5a756</t>
  </si>
  <si>
    <t>Video</t>
  </si>
  <si>
    <t>11:39:02</t>
  </si>
  <si>
    <t>aded85d0-f364-49de-be2a-44fde916405d</t>
  </si>
  <si>
    <t>f5d43f26-f279-4365-bed0-8ec6ef0fa6d3</t>
  </si>
  <si>
    <t>10:57:56</t>
  </si>
  <si>
    <t>f0e3ad71-e8b7-42c4-b659-99bafe380a83</t>
  </si>
  <si>
    <t>a7fc724f-529c-4f80-9b47-d542e250ab48</t>
  </si>
  <si>
    <t>03:53:01</t>
  </si>
  <si>
    <t>810bb44d-df35-4fd6-be93-b5ae37dc1be5</t>
  </si>
  <si>
    <t>5bed235e-2c24-4cf7-ab86-78e617cc5044</t>
  </si>
  <si>
    <t>23:01:53</t>
  </si>
  <si>
    <t>757ad123-9f7d-4e73-aa24-228576baeea6</t>
  </si>
  <si>
    <t>7e4b51d7-042f-4a32-b79c-8bcfd6807b4e</t>
  </si>
  <si>
    <t>19:15:48</t>
  </si>
  <si>
    <t>d3c380c5-11e0-4f4a-8570-05c13d2cada0</t>
  </si>
  <si>
    <t>ea4580c7-cec3-448e-984e-9997ac31027f</t>
  </si>
  <si>
    <t>08:42:14</t>
  </si>
  <si>
    <t>591bf8fe-8978-4583-a9fb-ea908934b2e2</t>
  </si>
  <si>
    <t>77b6033d-69e6-4bb6-865c-181badb20124</t>
  </si>
  <si>
    <t>06:02:16</t>
  </si>
  <si>
    <t>05e50b5f-e08f-4982-b0f2-e2689917bbe6</t>
  </si>
  <si>
    <t>e4701746-3d4e-4039-a63f-4b3182e6a88e</t>
  </si>
  <si>
    <t>Text</t>
  </si>
  <si>
    <t>02:24:15</t>
  </si>
  <si>
    <t>a19765fc-e339-446d-a475-ccbabe1e1b63</t>
  </si>
  <si>
    <t>f657ac2e-d150-4219-95d1-c088ff29b93c</t>
  </si>
  <si>
    <t>02:54:58</t>
  </si>
  <si>
    <t>d589b7aa-246d-4d0f-97b5-dbd13ba56be0</t>
  </si>
  <si>
    <t>bd316bf2-63ba-45c0-bf9b-485ac1087250</t>
  </si>
  <si>
    <t>05:43:52</t>
  </si>
  <si>
    <t>f4b65ba5-c9d9-4822-ac04-128de73dbe4f</t>
  </si>
  <si>
    <t>5b890583-3788-41a3-89b7-5b0f34d12d1c</t>
  </si>
  <si>
    <t>08:34:19</t>
  </si>
  <si>
    <t>b5a5793c-c356-4106-ae47-a3564b257814</t>
  </si>
  <si>
    <t>a418acad-9dfe-465f-b0ed-6886a4f026cd</t>
  </si>
  <si>
    <t>08:55:41</t>
  </si>
  <si>
    <t>dfb9ee43-e2bc-4637-9e51-374994cf9d47</t>
  </si>
  <si>
    <t>71f710a0-ec41-43db-bcd6-75aa23b4cbd1</t>
  </si>
  <si>
    <t>22:21:05</t>
  </si>
  <si>
    <t>a579f475-2212-4372-bc68-0578aa260bee</t>
  </si>
  <si>
    <t>d19c4bdd-f1e7-4f26-b86d-efe7031d8013</t>
  </si>
  <si>
    <t>16:39:17</t>
  </si>
  <si>
    <t>005482ad-eaba-4edb-aab7-aa499f166c6f</t>
  </si>
  <si>
    <t>43f24776-07f6-4b4d-a860-ffbeca80ab0d</t>
  </si>
  <si>
    <t>13:32:34</t>
  </si>
  <si>
    <t>f72ebd83-fef6-4eb1-9415-0e2267779a5f</t>
  </si>
  <si>
    <t>5003e665-c1ad-4994-9de5-595acfa3d796</t>
  </si>
  <si>
    <t>02:20:18</t>
  </si>
  <si>
    <t>71f35d59-b999-411e-a19e-965ac1677431</t>
  </si>
  <si>
    <t>a12d10cc-1538-49cc-8b51-1db7fa4d4de8</t>
  </si>
  <si>
    <t>12:55:38</t>
  </si>
  <si>
    <t>3bee4455-c6b6-4d1b-9021-1148d5656bdf</t>
  </si>
  <si>
    <t>7b78f565-bad2-4d59-b337-91f36e030878</t>
  </si>
  <si>
    <t>20:09:12</t>
  </si>
  <si>
    <t>4203fb47-0fcb-4418-85ba-7d4236f705e4</t>
  </si>
  <si>
    <t>488e1ef3-6f9b-40cf-83c9-40305f720feb</t>
  </si>
  <si>
    <t>04:23:50</t>
  </si>
  <si>
    <t>259732c8-a99a-49ea-b529-d824537b4749</t>
  </si>
  <si>
    <t>c8102d0f-0720-4679-b7d9-64aad7ef69a6</t>
  </si>
  <si>
    <t>11:06:31</t>
  </si>
  <si>
    <t>161a3474-19ad-42ff-80f7-102bb2d6612e</t>
  </si>
  <si>
    <t>2c5e8578-bba0-4382-9b63-a2d0141e321a</t>
  </si>
  <si>
    <t>17:59:36</t>
  </si>
  <si>
    <t>641eca4b-26b1-4902-b685-37fe1bae36c3</t>
  </si>
  <si>
    <t>d47e2036-85e5-43e4-aad3-687f70d2d960</t>
  </si>
  <si>
    <t>19:21:11</t>
  </si>
  <si>
    <t>1ac38d57-9b8b-4973-9141-74feb4446a38</t>
  </si>
  <si>
    <t>00d9a80d-efc9-4838-bfaa-d088051b9b95</t>
  </si>
  <si>
    <t>07:00:27</t>
  </si>
  <si>
    <t>2b8b2f74-19a2-4daa-85ae-37d43bb66f97</t>
  </si>
  <si>
    <t>fe2af74d-14d4-420d-9cb2-73056ba20d51</t>
  </si>
  <si>
    <t>00:25:18</t>
  </si>
  <si>
    <t>fef10df4-d34c-4d00-9267-a4f577eb06b5</t>
  </si>
  <si>
    <t>085d99d0-7744-42a7-8d57-7cd0443ef524</t>
  </si>
  <si>
    <t>14:22:54</t>
  </si>
  <si>
    <t>f3048eb4-63de-4c8c-99ca-c72e8598dc2a</t>
  </si>
  <si>
    <t>df1f9a06-14dd-42f2-a807-c4a99bb83f88</t>
  </si>
  <si>
    <t>03:47:32</t>
  </si>
  <si>
    <t>30dac416-b621-4f18-8b70-2c44e0fcd8bc</t>
  </si>
  <si>
    <t>82966997-f7f9-4e6c-8ae7-07b50c02d8d8</t>
  </si>
  <si>
    <t>18:46:18</t>
  </si>
  <si>
    <t>44dbdc04-37d6-4a9a-8889-0f72f2405bcd</t>
  </si>
  <si>
    <t>0cc2c6fb-6fc3-47c2-9da8-36145d7d0346</t>
  </si>
  <si>
    <t>07:28:38</t>
  </si>
  <si>
    <t>025dd42c-05d6-4498-b31d-63fee0f9fe88</t>
  </si>
  <si>
    <t>c7cc34d7-061d-4c1f-ada7-351ebaf70da1</t>
  </si>
  <si>
    <t>07:51:00</t>
  </si>
  <si>
    <t>d6c573ff-40b7-4028-8445-996431708893</t>
  </si>
  <si>
    <t>983980ab-c7f4-4639-8ad8-c02ac5ca54b1</t>
  </si>
  <si>
    <t>08:01:49</t>
  </si>
  <si>
    <t>625d6e05-ddf8-4c47-bb6b-dc2e88af37ab</t>
  </si>
  <si>
    <t>9eda4d51-8aa2-43af-ad95-ce6232486af2</t>
  </si>
  <si>
    <t>09:13:27</t>
  </si>
  <si>
    <t>5233324f-72e8-4fca-bda2-1eadf7fa18e4</t>
  </si>
  <si>
    <t>74ae1a8d-3a85-4ede-9cad-ba8dd13c4fe4</t>
  </si>
  <si>
    <t>12:56:09</t>
  </si>
  <si>
    <t>23125daf-a578-4988-ab22-ace131bce08d</t>
  </si>
  <si>
    <t>76c5dfd2-2975-464d-b0c7-5507242ba5ce</t>
  </si>
  <si>
    <t>13:14:49</t>
  </si>
  <si>
    <t>1f8f50fd-ee51-497e-894e-9095f7a7ab21</t>
  </si>
  <si>
    <t>72d8ad89-c3e0-4c3f-8758-547a77ab1d08</t>
  </si>
  <si>
    <t>02:16:59</t>
  </si>
  <si>
    <t>1939c6f0-b709-4aab-b322-5d9ae4ea9f89</t>
  </si>
  <si>
    <t>dcee8780-ff66-45fc-ab2b-bdd4d46dc283</t>
  </si>
  <si>
    <t>20:47:39</t>
  </si>
  <si>
    <t>c876ffdf-8ad4-4cda-bd6d-dddc1eef8d20</t>
  </si>
  <si>
    <t>8a5c4fd4-206a-43ef-840c-e9ccebfe8f7a</t>
  </si>
  <si>
    <t>19:19:38</t>
  </si>
  <si>
    <t>e9afb38c-1caa-49bf-9b07-20b43df8f7c3</t>
  </si>
  <si>
    <t>a6ca820b-2f5e-4299-a1c0-19e3c8f16b9e</t>
  </si>
  <si>
    <t>07:14:09</t>
  </si>
  <si>
    <t>54b9eff5-ab27-4919-bb5d-b1c05619b955</t>
  </si>
  <si>
    <t>71b22d6d-dfa9-4070-9b28-79443631346f</t>
  </si>
  <si>
    <t>02:24:04</t>
  </si>
  <si>
    <t>fc14eeeb-bb3f-4b09-81df-d7ed08ef9fa4</t>
  </si>
  <si>
    <t>1ee89fce-07c3-451b-b6d2-c8bcaf160758</t>
  </si>
  <si>
    <t>13:52:49</t>
  </si>
  <si>
    <t>12066dd0-a28d-4a6e-a5f5-668eb864a510</t>
  </si>
  <si>
    <t>a87ebb2a-d335-4e6e-940d-04d9b13543ff</t>
  </si>
  <si>
    <t>10:56:40</t>
  </si>
  <si>
    <t>cb4a8d90-4fe7-49cb-8778-29efb70632af</t>
  </si>
  <si>
    <t>b5f76aa8-5164-4990-bd6b-76f796ebf252</t>
  </si>
  <si>
    <t>14:10:14</t>
  </si>
  <si>
    <t>aa7d712c-f078-4bf8-ab62-91a75fe4f859</t>
  </si>
  <si>
    <t>e9a5d4c5-199c-4fc4-b2e3-a784ac614608</t>
  </si>
  <si>
    <t>09:16:54</t>
  </si>
  <si>
    <t>e4f54dd9-ad6b-414b-9b1e-628f96b14b84</t>
  </si>
  <si>
    <t>4ec23ef1-3a1d-4ce7-9b0e-0018a180b2d3</t>
  </si>
  <si>
    <t>21:06:50</t>
  </si>
  <si>
    <t>d453af2c-6cb3-49f6-8682-9e2ba19cfc16</t>
  </si>
  <si>
    <t>8395992f-18fc-435a-b526-f490d3a3d789</t>
  </si>
  <si>
    <t>15:54:10</t>
  </si>
  <si>
    <t>bfe1d201-e244-41bf-8532-1b9c1e84f445</t>
  </si>
  <si>
    <t>2d063dc6-4318-4eff-b9c3-ee1fed40322f</t>
  </si>
  <si>
    <t>22:37:28</t>
  </si>
  <si>
    <t>9f3ed2b8-233a-4772-b9d8-b79e02263ad6</t>
  </si>
  <si>
    <t>8e054735-b15e-41fc-8e7d-9c81a9208302</t>
  </si>
  <si>
    <t>05:47:24</t>
  </si>
  <si>
    <t>5ea747d9-50ed-4fd0-9faf-c2bf73610331</t>
  </si>
  <si>
    <t>c6ec003f-c76c-471d-8a3d-ed6c4447eeae</t>
  </si>
  <si>
    <t>04:53:29</t>
  </si>
  <si>
    <t>ecf98644-e5a4-4663-bb97-257aa4b41e41</t>
  </si>
  <si>
    <t>29715503-b8ff-4875-9bc0-d67cbea30290</t>
  </si>
  <si>
    <t>04:57:26</t>
  </si>
  <si>
    <t>d032b736-625f-445e-afa7-8628f7872c05</t>
  </si>
  <si>
    <t>63c1e824-f85b-443e-9e80-1297f5dd77b2</t>
  </si>
  <si>
    <t>04:43:40</t>
  </si>
  <si>
    <t>e518fe80-23f6-4648-9f1b-da2d060f70fe</t>
  </si>
  <si>
    <t>8f79b184-b535-4436-8e1a-9b89d5f3fe83</t>
  </si>
  <si>
    <t>11:38:20</t>
  </si>
  <si>
    <t>82a683ac-a5dc-4401-b63d-dda64e413930</t>
  </si>
  <si>
    <t>257c24ea-0ee3-404a-9b62-4d94efdb77d4</t>
  </si>
  <si>
    <t>17:15:36</t>
  </si>
  <si>
    <t>77fe9db2-73eb-4171-9471-f7a17b6aeb5e</t>
  </si>
  <si>
    <t>b3937fc0-a7e5-400c-9d6d-402e70c98baa</t>
  </si>
  <si>
    <t>22:31:34</t>
  </si>
  <si>
    <t>eee38604-5e95-4421-9912-a4a852666979</t>
  </si>
  <si>
    <t>f63274cd-7dbc-4ddc-a301-11690dec711f</t>
  </si>
  <si>
    <t>12:06:48</t>
  </si>
  <si>
    <t>13b85f38-ee4c-4ed5-9434-6eb20fdcd8a5</t>
  </si>
  <si>
    <t>78141ac2-c01f-4213-9f7f-990305846dc1</t>
  </si>
  <si>
    <t>05:15:25</t>
  </si>
  <si>
    <t>852ad19b-4e12-4580-b352-2e84c37e128d</t>
  </si>
  <si>
    <t>d44d66f5-4975-4824-bcd1-7170bf5f757e</t>
  </si>
  <si>
    <t>22:30:53</t>
  </si>
  <si>
    <t>82860a7c-d74c-4b61-b944-fa451306e0e3</t>
  </si>
  <si>
    <t>00780f45-d81f-457e-b5a6-ec4e830f9184</t>
  </si>
  <si>
    <t>08:12:16</t>
  </si>
  <si>
    <t>249b47bb-9608-4008-88d9-dd7690449078</t>
  </si>
  <si>
    <t>ce325e65-6717-443c-bf04-c02ff1fd1661</t>
  </si>
  <si>
    <t>04:46:16</t>
  </si>
  <si>
    <t>e36d1838-ed66-47e1-aad7-bc9980fa2b4d</t>
  </si>
  <si>
    <t>9573b968-ecaa-437a-b1cc-4b7df70e3aa9</t>
  </si>
  <si>
    <t>11:26:40</t>
  </si>
  <si>
    <t>c0638ddb-56ab-4e5b-b252-58a748da2bfd</t>
  </si>
  <si>
    <t>78b621a3-39bb-4cd2-8be0-2c4edcc1f44e</t>
  </si>
  <si>
    <t>12:56:57</t>
  </si>
  <si>
    <t>1c2396d0-86c6-4937-8953-69b1ac96f89e</t>
  </si>
  <si>
    <t>46d2fc1c-ee7d-4556-a03f-34cfb156aaf0</t>
  </si>
  <si>
    <t>05:01:35</t>
  </si>
  <si>
    <t>5b22ebc2-d4bd-42c3-8ba2-c2dd6ca9a504</t>
  </si>
  <si>
    <t>03135995-0600-4324-a8a5-a8858fa18a50</t>
  </si>
  <si>
    <t>18:07:32</t>
  </si>
  <si>
    <t>83681b56-9ce8-489c-8aa9-2d3a1777386b</t>
  </si>
  <si>
    <t>4ea471ea-4874-42f3-bf18-29a9a12fd1ac</t>
  </si>
  <si>
    <t>01:42:33</t>
  </si>
  <si>
    <t>71fa4a06-69c6-4dee-91cf-c090ab9ba41b</t>
  </si>
  <si>
    <t>b8006c84-da63-4548-ae86-4dbd6ce179e4</t>
  </si>
  <si>
    <t>16:34:33</t>
  </si>
  <si>
    <t>866fdf7a-0fcc-4a37-bba1-72e277dfc4eb</t>
  </si>
  <si>
    <t>2e469a87-4975-49b8-b20b-600c4d0b182b</t>
  </si>
  <si>
    <t>16:23:46</t>
  </si>
  <si>
    <t>96418f4a-cd38-4449-9e85-33867859ce96</t>
  </si>
  <si>
    <t>bac0f4f7-e53c-49a3-be2c-9516e9bc0512</t>
  </si>
  <si>
    <t>02:44:24</t>
  </si>
  <si>
    <t>91e5c811-e505-453f-9cc9-8f384283bd7f</t>
  </si>
  <si>
    <t>e338db75-bcf4-4220-be7b-3f5cdb1cc2b5</t>
  </si>
  <si>
    <t>21:47:40</t>
  </si>
  <si>
    <t>aeccf81f-b9a3-4a78-9261-e9a42c11f511</t>
  </si>
  <si>
    <t>d6e01c3f-6fc5-4121-a48a-303f5c8bd8f1</t>
  </si>
  <si>
    <t>04:29:38</t>
  </si>
  <si>
    <t>56bdcf3a-5589-4c0a-a7a1-d59fdc478922</t>
  </si>
  <si>
    <t>440b7ad5-3bc8-4bff-864c-fe190438e84a</t>
  </si>
  <si>
    <t>16:15:46</t>
  </si>
  <si>
    <t>29fc9f45-341d-4f58-9d87-96b263ae9945</t>
  </si>
  <si>
    <t>84bf202c-d53f-4f8c-8ad9-7e506f336dd2</t>
  </si>
  <si>
    <t>05:39:10</t>
  </si>
  <si>
    <t>f4a52772-e6fa-4f1b-a41d-d5f6970adba5</t>
  </si>
  <si>
    <t>51616fa0-5c18-4168-8a73-20244e788980</t>
  </si>
  <si>
    <t>15:17:17</t>
  </si>
  <si>
    <t>29371e78-a5fc-4485-9fc5-6169abadf659</t>
  </si>
  <si>
    <t>89f831e6-51a2-45ef-a5b8-e452d2dc74a4</t>
  </si>
  <si>
    <t>07:44:30</t>
  </si>
  <si>
    <t>457cfd4e-a8d6-42fb-a11b-865d9c927194</t>
  </si>
  <si>
    <t>8d7bf248-176f-4cc9-bfc2-9140f66352af</t>
  </si>
  <si>
    <t>18:05:48</t>
  </si>
  <si>
    <t>91687029-404f-48cd-bb4d-3229e5f385d7</t>
  </si>
  <si>
    <t>79374c61-8472-4980-b610-21d68ed73450</t>
  </si>
  <si>
    <t>20:27:53</t>
  </si>
  <si>
    <t>3cac435c-6b07-45c7-9916-b1c62c301100</t>
  </si>
  <si>
    <t>43f01069-0407-410d-8d41-c2cd192beba0</t>
  </si>
  <si>
    <t>18:23:08</t>
  </si>
  <si>
    <t>8e485377-b7c3-450f-9517-66c4baf5a4a1</t>
  </si>
  <si>
    <t>145e6d84-c2d1-4e96-b117-4b1312606c43</t>
  </si>
  <si>
    <t>13:01:25</t>
  </si>
  <si>
    <t>fcf21392-8844-4306-bd49-ac64447751b7</t>
  </si>
  <si>
    <t>c39b9ee0-fe83-4db0-acb4-81ac6eb2957c</t>
  </si>
  <si>
    <t>11:06:04</t>
  </si>
  <si>
    <t>bf76b058-fedb-43a1-a74a-490ff6f56701</t>
  </si>
  <si>
    <t>e04523ec-1d2c-4cba-95c1-00ebf430a7a8</t>
  </si>
  <si>
    <t>09:25:16</t>
  </si>
  <si>
    <t>856c3e00-3bbf-4e00-b15d-a3b18d40c620</t>
  </si>
  <si>
    <t>08d76522-d43c-4ad4-af6a-c5e2d9e795be</t>
  </si>
  <si>
    <t>12:07:18</t>
  </si>
  <si>
    <t>c8a539f0-00db-4396-957e-a656e0267397</t>
  </si>
  <si>
    <t>5041c752-b3c3-43f0-8c57-6cca38682319</t>
  </si>
  <si>
    <t>14:40:19</t>
  </si>
  <si>
    <t>b67613b6-de0a-4ced-8675-ed18bab4715d</t>
  </si>
  <si>
    <t>8dad1535-ca34-4d06-bead-1d71d2c7712d</t>
  </si>
  <si>
    <t>03:16:07</t>
  </si>
  <si>
    <t>953729d0-4f79-484f-a551-aa4722403cdf</t>
  </si>
  <si>
    <t>f1d71b6b-9515-48bf-a980-df28b7bf484d</t>
  </si>
  <si>
    <t>16:47:13</t>
  </si>
  <si>
    <t>655633b6-7a47-4386-9a4a-e666876a6980</t>
  </si>
  <si>
    <t>12b960b2-3ad9-478a-97b7-2db5dcc2e4ea</t>
  </si>
  <si>
    <t>07:36:02</t>
  </si>
  <si>
    <t>c648ec85-c832-4faf-b228-530d160172a5</t>
  </si>
  <si>
    <t>92c44f92-9b6c-4f84-8572-08f1721578b3</t>
  </si>
  <si>
    <t>16:58:48</t>
  </si>
  <si>
    <t>a36a7a8b-cdeb-40d6-baa3-f94a782bfce0</t>
  </si>
  <si>
    <t>1d201428-79cf-4eab-8b48-972b3b1d1bc1</t>
  </si>
  <si>
    <t>20:52:49</t>
  </si>
  <si>
    <t>61c015ae-a84c-470e-9445-b4461b3b6020</t>
  </si>
  <si>
    <t>23e37e68-5d8f-4945-9eb9-fc412394c472</t>
  </si>
  <si>
    <t>16:17:53</t>
  </si>
  <si>
    <t>416ef4f4-ce54-4013-b852-5b12db5faffc</t>
  </si>
  <si>
    <t>f7f05149-4f33-461f-9609-17af32c8c8d1</t>
  </si>
  <si>
    <t>04:18:53</t>
  </si>
  <si>
    <t>ecb38852-cc09-4ea4-9866-64ee1171d3d4</t>
  </si>
  <si>
    <t>7eb994f0-1300-4f95-bc6f-9129eda47ed5</t>
  </si>
  <si>
    <t>00:20:52</t>
  </si>
  <si>
    <t>8ced8d15-db37-49ef-9e96-3e114e868225</t>
  </si>
  <si>
    <t>f702da53-5949-474f-8580-3b720e940634</t>
  </si>
  <si>
    <t>07:56:33</t>
  </si>
  <si>
    <t>ecdb0915-f774-409e-9869-f5b90572d15e</t>
  </si>
  <si>
    <t>1203225a-e80f-4202-9837-a68f1ee939fc</t>
  </si>
  <si>
    <t>16:38:40</t>
  </si>
  <si>
    <t>b648c3a9-6438-4259-ba9d-44ceb07be777</t>
  </si>
  <si>
    <t>e1b9d4bb-846b-462e-a7e9-6594986bf18a</t>
  </si>
  <si>
    <t>11:33:37</t>
  </si>
  <si>
    <t>698def13-d870-47a6-9a64-294524cfcc90</t>
  </si>
  <si>
    <t>f8eef7e9-522e-4b9c-9d1e-a2eaa8f99c19</t>
  </si>
  <si>
    <t>08:06:16</t>
  </si>
  <si>
    <t>f6302d87-84c7-449d-b2a2-de53bd728852</t>
  </si>
  <si>
    <t>c1aec5ba-87f7-4a46-962d-88fd4060b623</t>
  </si>
  <si>
    <t>10:18:23</t>
  </si>
  <si>
    <t>2cce5efd-7b6b-484f-86f9-0678a0a369b1</t>
  </si>
  <si>
    <t>5ed82595-adce-4309-a959-9dfc8dc1b75e</t>
  </si>
  <si>
    <t>08:22:05</t>
  </si>
  <si>
    <t>b2a9d64e-3744-42c5-8640-39fac4ea28ab</t>
  </si>
  <si>
    <t>78e5472f-2739-4796-9119-a31c390644e6</t>
  </si>
  <si>
    <t>05:57:27</t>
  </si>
  <si>
    <t>38a1464d-f755-45b1-993b-846e510d8931</t>
  </si>
  <si>
    <t>691a11e8-d7c2-4f49-b57d-a67b5cfc4036</t>
  </si>
  <si>
    <t>00:27:15</t>
  </si>
  <si>
    <t>62d3c061-e127-4b47-a1ac-df384d2030f6</t>
  </si>
  <si>
    <t>3e2b5e23-5e6a-4684-9ee5-b55ba68bd721</t>
  </si>
  <si>
    <t>17:39:33</t>
  </si>
  <si>
    <t>c54e1d43-eadd-4177-8b83-882d48d27bc5</t>
  </si>
  <si>
    <t>8eed38de-1f5e-49da-8556-b9971000d4c9</t>
  </si>
  <si>
    <t>19:15:20</t>
  </si>
  <si>
    <t>01a18bf4-0866-43b4-a6ae-dfd4437ef05e</t>
  </si>
  <si>
    <t>633a722d-64ca-4524-be3c-3d34c4b3195c</t>
  </si>
  <si>
    <t>10:57:52</t>
  </si>
  <si>
    <t>7e8ee616-0790-4aa5-9722-29185edf0d2d</t>
  </si>
  <si>
    <t>fdfdcd2a-42b4-46ee-8640-43a95ce8080d</t>
  </si>
  <si>
    <t>09:25:42</t>
  </si>
  <si>
    <t>249928d1-d8db-4f03-8872-11b39957c46b</t>
  </si>
  <si>
    <t>fd60e8a5-3d69-431d-abf2-dc61ae8e6bba</t>
  </si>
  <si>
    <t>10:30:44</t>
  </si>
  <si>
    <t>9da2809a-0cf8-41ec-a355-fcfd32259138</t>
  </si>
  <si>
    <t>de238f49-e43e-4ed9-a462-f5495e2492c0</t>
  </si>
  <si>
    <t>00:02:59</t>
  </si>
  <si>
    <t>ebdb2f1c-5ddf-4d6b-a827-00cb918bb623</t>
  </si>
  <si>
    <t>3427dec3-ea53-41b1-90b2-2ee69b40096a</t>
  </si>
  <si>
    <t>14:36:38</t>
  </si>
  <si>
    <t>cf651e2f-937b-4eee-bd5d-90eee97629ff</t>
  </si>
  <si>
    <t>5de8f69f-b48a-4743-affd-d20e438f6487</t>
  </si>
  <si>
    <t>12:36:36</t>
  </si>
  <si>
    <t>e5b290fb-8fd5-4e41-9a53-9a19a9af6f64</t>
  </si>
  <si>
    <t>091e3a68-1edc-4026-aa30-f5e4881be528</t>
  </si>
  <si>
    <t>11:12:10</t>
  </si>
  <si>
    <t>5835b517-dc8d-42de-af26-a7910f8446f7</t>
  </si>
  <si>
    <t>006e27a1-f345-44bc-858a-0e5f2ba185d5</t>
  </si>
  <si>
    <t>17:51:41</t>
  </si>
  <si>
    <t>4476d073-7f61-4fda-965b-7d27900021d7</t>
  </si>
  <si>
    <t>30b965fe-b023-4900-9594-7ce8e070ab29</t>
  </si>
  <si>
    <t>07:56:09</t>
  </si>
  <si>
    <t>af139ab6-ea5c-46a7-bdb3-b767a80b78e9</t>
  </si>
  <si>
    <t>c2683442-91a3-44c4-85ae-b4382c02feca</t>
  </si>
  <si>
    <t>15:01:21</t>
  </si>
  <si>
    <t>eaae9db5-d62f-4108-85eb-5751e3a8d209</t>
  </si>
  <si>
    <t>4dee74a6-edb1-4480-b1a6-f395e2d86266</t>
  </si>
  <si>
    <t>08:43:04</t>
  </si>
  <si>
    <t>205eddea-33d3-43aa-8ed1-e4aa8cc84a69</t>
  </si>
  <si>
    <t>dfa6a8f8-9ca0-4bf8-9418-b7d599b63911</t>
  </si>
  <si>
    <t>07:54:33</t>
  </si>
  <si>
    <t>e1021f37-7e77-487f-a61c-b2e8f823d6f4</t>
  </si>
  <si>
    <t>aa80038e-051b-445f-a727-03c4d5d014f0</t>
  </si>
  <si>
    <t>19:56:46</t>
  </si>
  <si>
    <t>a0bb4ecd-6a9f-4177-bd5d-0cd490650ade</t>
  </si>
  <si>
    <t>294c74b1-1f91-43b6-8b94-912ccf633704</t>
  </si>
  <si>
    <t>14:09:30</t>
  </si>
  <si>
    <t>d32bd3b0-1324-4bef-83a0-f01aa7276b06</t>
  </si>
  <si>
    <t>14130df2-29ab-41e0-b65f-383d08773382</t>
  </si>
  <si>
    <t>14:52:18</t>
  </si>
  <si>
    <t>7680894f-2754-40d9-a879-e778982d9a05</t>
  </si>
  <si>
    <t>221ae7d9-e7cc-4005-831a-c28172005897</t>
  </si>
  <si>
    <t>11:38:01</t>
  </si>
  <si>
    <t>0219c215-faa5-4272-be38-78a923b3c649</t>
  </si>
  <si>
    <t>2c94a67d-f648-4cec-b2e1-3a1c6324cd4d</t>
  </si>
  <si>
    <t>12:52:19</t>
  </si>
  <si>
    <t>dae2d861-d7cb-4fa2-add2-89024a41958e</t>
  </si>
  <si>
    <t>94af66f1-0913-467c-bd3d-98951f925385</t>
  </si>
  <si>
    <t>21:44:33</t>
  </si>
  <si>
    <t>7e80e9b3-c3fc-400d-811b-16969348e957</t>
  </si>
  <si>
    <t>f8a087d6-34de-4863-8dc8-5d9ff73c1449</t>
  </si>
  <si>
    <t>18:33:56</t>
  </si>
  <si>
    <t>1ed3417c-3048-4c54-b020-2ea3f4ee5610</t>
  </si>
  <si>
    <t>a701dc41-20c3-438d-b2b4-70f90a56de30</t>
  </si>
  <si>
    <t>22:04:03</t>
  </si>
  <si>
    <t>b45ecb10-73af-4bc6-b02f-aa6ffa5dc451</t>
  </si>
  <si>
    <t>5afa1202-1d7d-42a0-a796-33d1c18756c3</t>
  </si>
  <si>
    <t>02:11:11</t>
  </si>
  <si>
    <t>104a86ca-8b27-4d59-9364-c92531ce3f93</t>
  </si>
  <si>
    <t>16613659-18a6-4b9c-a652-1e251493c1d8</t>
  </si>
  <si>
    <t>15:55:51</t>
  </si>
  <si>
    <t>dca83de5-1348-44c6-8e68-f237a300d619</t>
  </si>
  <si>
    <t>1f8d3343-3ccf-4d1b-889d-08589fa36dfd</t>
  </si>
  <si>
    <t>05:44:00</t>
  </si>
  <si>
    <t>7fae506d-16d5-4eb9-9ffc-66c0d80ade68</t>
  </si>
  <si>
    <t>ebb675a2-7f52-49a8-992f-43e50771ccb2</t>
  </si>
  <si>
    <t>08:16:03</t>
  </si>
  <si>
    <t>07ff5487-eede-4dcf-9f24-98d03b41be27</t>
  </si>
  <si>
    <t>64f14eb5-f719-42c0-9651-dd3187f91243</t>
  </si>
  <si>
    <t>06:08:36</t>
  </si>
  <si>
    <t>740fbf5b-a2c7-4885-a32b-36e194496e0d</t>
  </si>
  <si>
    <t>f936fc2d-46c6-45fc-8388-7bd036e61152</t>
  </si>
  <si>
    <t>20:16:23</t>
  </si>
  <si>
    <t>95297b74-a985-4f91-a488-ca3e8d82bb80</t>
  </si>
  <si>
    <t>2919e741-6c57-432a-bcfc-db077984f470</t>
  </si>
  <si>
    <t>06:56:07</t>
  </si>
  <si>
    <t>c169446c-3810-4375-a33d-d276ec16ec20</t>
  </si>
  <si>
    <t>ea68b1f9-467c-4c66-b5c2-0889a9d754e9</t>
  </si>
  <si>
    <t>03:02:25</t>
  </si>
  <si>
    <t>0b47da89-d029-4e9c-98e7-a1c74c16e6c7</t>
  </si>
  <si>
    <t>cc284be0-3a87-4cbd-a7ab-be2605712237</t>
  </si>
  <si>
    <t>00:19:49</t>
  </si>
  <si>
    <t>ac43d196-51df-4453-8fc1-f16a7d5f5a9d</t>
  </si>
  <si>
    <t>fb783501-a3d5-4b13-bac5-92733360057e</t>
  </si>
  <si>
    <t>19:04:07</t>
  </si>
  <si>
    <t>f9847e67-3490-4e17-8e6b-bb3215bd7fc0</t>
  </si>
  <si>
    <t>5df3197b-6673-49ab-9628-25119d6455f6</t>
  </si>
  <si>
    <t>08:04:39</t>
  </si>
  <si>
    <t>34f005ea-8e5f-49a1-954a-2a12301ec8d7</t>
  </si>
  <si>
    <t>abab3f29-11be-4cd5-83fc-397c107501dc</t>
  </si>
  <si>
    <t>11:48:02</t>
  </si>
  <si>
    <t>d94d0905-1460-4030-895c-9610afe5a8b1</t>
  </si>
  <si>
    <t>ec7160b3-40ae-4318-942c-9fb299153303</t>
  </si>
  <si>
    <t>19:30:44</t>
  </si>
  <si>
    <t>09a2169e-871e-4007-af3a-c05d75bc612e</t>
  </si>
  <si>
    <t>161d096e-5d98-4f06-824d-b9c88dce77aa</t>
  </si>
  <si>
    <t>09:34:50</t>
  </si>
  <si>
    <t>574bf9ca-5c2b-4f64-a57f-148eb65e6428</t>
  </si>
  <si>
    <t>c287b31f-456a-468c-b88e-f9b307db34c7</t>
  </si>
  <si>
    <t>13:50:56</t>
  </si>
  <si>
    <t>d529ff70-f580-4226-a1ac-6a520fab374b</t>
  </si>
  <si>
    <t>ef7d5298-8867-49ca-b612-4471be8c7572</t>
  </si>
  <si>
    <t>18:51:17</t>
  </si>
  <si>
    <t>2976bf40-be70-4bd5-a86d-30e5542d9558</t>
  </si>
  <si>
    <t>92dc7347-dcd6-41ad-b427-f4016cf54602</t>
  </si>
  <si>
    <t>07:55:56</t>
  </si>
  <si>
    <t>b80aeca0-0ea4-4610-9b18-186db5fe5826</t>
  </si>
  <si>
    <t>a8dd8618-070b-4ed0-b492-3e6e37d6b53b</t>
  </si>
  <si>
    <t>09:00:14</t>
  </si>
  <si>
    <t>7c59d7c5-e1b6-493b-a978-6d96e40d1272</t>
  </si>
  <si>
    <t>808b0347-800d-44c0-8a7d-7fe84fc22d41</t>
  </si>
  <si>
    <t>07:50:03</t>
  </si>
  <si>
    <t>8901342e-bf41-491f-8e08-2fed4ad94b9d</t>
  </si>
  <si>
    <t>4b624aa2-baf7-441d-8d65-80e6c2591320</t>
  </si>
  <si>
    <t>02:37:24</t>
  </si>
  <si>
    <t>683635ff-b96f-458b-b6f9-272389a8fbc1</t>
  </si>
  <si>
    <t>62bc56ee-28fa-486a-ab20-f9906aa4f4e9</t>
  </si>
  <si>
    <t>17:03:42</t>
  </si>
  <si>
    <t>15420370-ae54-4bff-a87a-b61daec3fb71</t>
  </si>
  <si>
    <t>c9aa97a4-7a53-4955-8d60-d4833bc6570f</t>
  </si>
  <si>
    <t>20:06:08</t>
  </si>
  <si>
    <t>b5a33f07-5157-402b-9964-465ae3345d9d</t>
  </si>
  <si>
    <t>e18401b0-8d43-4261-b944-57e571e704a6</t>
  </si>
  <si>
    <t>14:25:48</t>
  </si>
  <si>
    <t>a61ec259-5224-4dab-aab2-42475c73d0bd</t>
  </si>
  <si>
    <t>26e3f8e0-e207-4e2b-b7ea-2c457d6af025</t>
  </si>
  <si>
    <t>05:03:25</t>
  </si>
  <si>
    <t>63e3c165-a084-46ad-bb52-39e444c698b2</t>
  </si>
  <si>
    <t>0d6e15de-d9f6-4a80-bf77-119e25833170</t>
  </si>
  <si>
    <t>21:34:34</t>
  </si>
  <si>
    <t>c5ea5fbd-8e8a-43fc-9dc7-250a42c4a7c7</t>
  </si>
  <si>
    <t>b680b1eb-7fa4-42e8-869a-d9518affff02</t>
  </si>
  <si>
    <t>08:50:35</t>
  </si>
  <si>
    <t>5e023e16-56b7-435c-a9e0-1441db4203c2</t>
  </si>
  <si>
    <t>36a523c5-f786-4dea-9c76-da0a4f0ed55a</t>
  </si>
  <si>
    <t>16:46:50</t>
  </si>
  <si>
    <t>f7b96575-b76a-4e3b-bf61-24f1f5a7fd50</t>
  </si>
  <si>
    <t>6fbd66e1-30d0-482a-ae9f-c8e3da547dc9</t>
  </si>
  <si>
    <t>08:45:20</t>
  </si>
  <si>
    <t>790888d1-37b1-4596-92e4-e0a03c692171</t>
  </si>
  <si>
    <t>2102bdcf-3f4b-45a6-a5c4-fd0010cbdac3</t>
  </si>
  <si>
    <t>14:25:00</t>
  </si>
  <si>
    <t>5b76ee5d-6130-4778-8970-7138cacc0f4c</t>
  </si>
  <si>
    <t>48b0e46e-f9fc-47a2-a953-9be4fcf047fb</t>
  </si>
  <si>
    <t>12:01:29</t>
  </si>
  <si>
    <t>0dee04df-788c-402b-a96c-063babcd37b0</t>
  </si>
  <si>
    <t>f9bc4d0e-e21b-4653-bd0e-6162de2d78dc</t>
  </si>
  <si>
    <t>09:43:01</t>
  </si>
  <si>
    <t>772f1950-6f54-43e1-aa33-b5e88c6b720b</t>
  </si>
  <si>
    <t>ae97a620-399e-449b-9d0a-d97ea7188b2b</t>
  </si>
  <si>
    <t>07:02:38</t>
  </si>
  <si>
    <t>8c01bf1f-0d1a-4fee-be07-8a448782548c</t>
  </si>
  <si>
    <t>00bedc26-0002-4a6b-b222-b3773cba5942</t>
  </si>
  <si>
    <t>19:08:39</t>
  </si>
  <si>
    <t>9898774b-f5c5-457b-96de-788a89614945</t>
  </si>
  <si>
    <t>4d52a512-daf7-4928-9566-56d3f3d7e2cf</t>
  </si>
  <si>
    <t>12:19:00</t>
  </si>
  <si>
    <t>9c7a2c37-4dae-4535-84af-3b8517611a1e</t>
  </si>
  <si>
    <t>a4dbb4b2-09d4-4fe8-9669-9278b50aaa75</t>
  </si>
  <si>
    <t>10:15:13</t>
  </si>
  <si>
    <t>c2c73efb-97c3-445f-90ee-50fda393f4e1</t>
  </si>
  <si>
    <t>eba59aee-5eb1-4669-96a2-85b4f53b231f</t>
  </si>
  <si>
    <t>08:42:43</t>
  </si>
  <si>
    <t>cae290d1-663a-4c43-a908-b4da550f4bcc</t>
  </si>
  <si>
    <t>95cbf8f2-ed8f-4928-9872-5c7e07312beb</t>
  </si>
  <si>
    <t>20:43:38</t>
  </si>
  <si>
    <t>1d96b587-720d-4b15-8b8b-92c92184b707</t>
  </si>
  <si>
    <t>5ff195da-2c11-41a5-9f69-cc1b9c6571c4</t>
  </si>
  <si>
    <t>04:18:36</t>
  </si>
  <si>
    <t>1176eacc-6895-4632-977f-6521cf2b80f0</t>
  </si>
  <si>
    <t>12b1d826-1e73-4481-8e7a-4d8c4488c871</t>
  </si>
  <si>
    <t>13:13:31</t>
  </si>
  <si>
    <t>d770cc32-3a6e-4a0a-b0c6-2ba74bff26a3</t>
  </si>
  <si>
    <t>2ea79a5a-ab2a-4b53-84fe-3b17fa1ce9af</t>
  </si>
  <si>
    <t>00:38:11</t>
  </si>
  <si>
    <t>e61106a1-d2eb-48cd-a43f-094b098b6cb1</t>
  </si>
  <si>
    <t>beaa7335-498d-471c-98dc-0e15a6f28554</t>
  </si>
  <si>
    <t>04:26:52</t>
  </si>
  <si>
    <t>6df95b0d-2b7e-4a60-8736-bad0012e5ec8</t>
  </si>
  <si>
    <t>1f34867b-1dd8-48f4-9722-da749e70bc4a</t>
  </si>
  <si>
    <t>01:52:08</t>
  </si>
  <si>
    <t>d5aaa436-301a-497a-aecb-f3c9a327cee7</t>
  </si>
  <si>
    <t>cabc8e6f-7118-4cb2-af02-98cd8c0df904</t>
  </si>
  <si>
    <t>12:10:06</t>
  </si>
  <si>
    <t>1a8a3a8a-28e5-4d9a-8d9a-4dc858f9c2ec</t>
  </si>
  <si>
    <t>69ad7079-20a1-4e65-8b68-5ea4b1439226</t>
  </si>
  <si>
    <t>03:08:44</t>
  </si>
  <si>
    <t>7d5c14a1-33f3-4f2d-851a-e5682021e258</t>
  </si>
  <si>
    <t>5928383b-aec5-4525-8756-9cbb8169b06a</t>
  </si>
  <si>
    <t>17:37:55</t>
  </si>
  <si>
    <t>ee8f3bfa-61a5-4573-898d-7039ad1ce182</t>
  </si>
  <si>
    <t>9d6731c8-58c8-45ea-bc1f-73a5acee1f0a</t>
  </si>
  <si>
    <t>00:55:02</t>
  </si>
  <si>
    <t>b451177f-1b7f-4153-93b9-06bd7a79818f</t>
  </si>
  <si>
    <t>49e1a078-fad0-4a93-971a-7bd299d52045</t>
  </si>
  <si>
    <t>04:33:03</t>
  </si>
  <si>
    <t>bc81ad48-07b6-4144-ab1e-0bbf76793b03</t>
  </si>
  <si>
    <t>4fe27e77-bcee-4aa3-a623-558c0a053013</t>
  </si>
  <si>
    <t>06:10:02</t>
  </si>
  <si>
    <t>933d8313-ecc8-4e44-a3f0-990dd2a904a8</t>
  </si>
  <si>
    <t>3e9c9490-cda9-486c-bf15-71e865002846</t>
  </si>
  <si>
    <t>12:36:30</t>
  </si>
  <si>
    <t>8bc71b2a-addf-4999-aa2f-dd3f3e3bf567</t>
  </si>
  <si>
    <t>b232641a-837a-4d1e-be0f-1bf72096606e</t>
  </si>
  <si>
    <t>23:30:50</t>
  </si>
  <si>
    <t>0a825bc6-9a1b-480d-97d9-d41e845e42ce</t>
  </si>
  <si>
    <t>440aa1e8-27d7-41bd-ab23-dfd8ee9cc13e</t>
  </si>
  <si>
    <t>22:02:27</t>
  </si>
  <si>
    <t>024764d4-0e0f-4cbf-b9a8-f017755b3ac5</t>
  </si>
  <si>
    <t>f8c0c71a-dfdd-4102-8111-d7c240042c7f</t>
  </si>
  <si>
    <t>01:57:59</t>
  </si>
  <si>
    <t>6def4324-7657-44f7-9867-acd31cd874ea</t>
  </si>
  <si>
    <t>993cb69b-f9cd-4b9f-add4-6e1bf9b00bb6</t>
  </si>
  <si>
    <t>04:41:58</t>
  </si>
  <si>
    <t>f48effa7-e06b-4d29-ab4a-c545a23e1732</t>
  </si>
  <si>
    <t>b04bf153-f879-4ee6-a616-c37f7192d173</t>
  </si>
  <si>
    <t>11:37:15</t>
  </si>
  <si>
    <t>626c9a29-f769-4c65-bd96-d67aec1183f9</t>
  </si>
  <si>
    <t>040c811a-4d73-4c53-a426-a4578e16b732</t>
  </si>
  <si>
    <t>20:21:54</t>
  </si>
  <si>
    <t>ea8c7236-2f5c-4b94-b565-84f3c8039f79</t>
  </si>
  <si>
    <t>5c97768b-1dbb-40e5-9bb1-011f5808d4d2</t>
  </si>
  <si>
    <t>21:59:07</t>
  </si>
  <si>
    <t>85807fe0-9e99-4862-95c4-b4af276c9e95</t>
  </si>
  <si>
    <t>6a64efe5-6620-424a-a4e6-ca057142850e</t>
  </si>
  <si>
    <t>16:14:18</t>
  </si>
  <si>
    <t>b0b6ebe7-705c-465b-b8bc-9ac8d0b7bef9</t>
  </si>
  <si>
    <t>74b2d8ec-84c9-40a1-a99b-0764b4744d81</t>
  </si>
  <si>
    <t>16:18:02</t>
  </si>
  <si>
    <t>2b781cd5-9445-4a25-baef-f7a0861da5d4</t>
  </si>
  <si>
    <t>faeb7942-563b-4ec5-84bd-62e7bb7abba6</t>
  </si>
  <si>
    <t>01:18:05</t>
  </si>
  <si>
    <t>72eb6416-81e5-4bd3-a934-9d8ba6d66816</t>
  </si>
  <si>
    <t>41c12e5d-85d3-464d-95e2-a101cb29653c</t>
  </si>
  <si>
    <t>14:34:23</t>
  </si>
  <si>
    <t>66ea029d-cdb3-4353-9059-8fc873ca120f</t>
  </si>
  <si>
    <t>4ec0d981-99c2-4a35-b241-65f51ac2fe87</t>
  </si>
  <si>
    <t>17:03:21</t>
  </si>
  <si>
    <t>076dbee9-2745-48e2-9125-04a36c19def8</t>
  </si>
  <si>
    <t>d3f0bda0-42fa-4f37-a1bb-d41fd10c99a8</t>
  </si>
  <si>
    <t>20:57:04</t>
  </si>
  <si>
    <t>b464c22d-1216-4726-9445-564fc070c6a0</t>
  </si>
  <si>
    <t>8af8b852-1f67-49e0-bb8c-ad09ed7702fa</t>
  </si>
  <si>
    <t>22:12:42</t>
  </si>
  <si>
    <t>1febb052-1859-4d37-ae6d-aa4800de57e7</t>
  </si>
  <si>
    <t>f40ffab2-f246-4a01-82a3-417819d9bb6a</t>
  </si>
  <si>
    <t>11:28:11</t>
  </si>
  <si>
    <t>b0beec68-023a-4f0c-ac78-9076b4548786</t>
  </si>
  <si>
    <t>391187dc-5bb0-416f-8bdb-72bd27d46cef</t>
  </si>
  <si>
    <t>18:48:38</t>
  </si>
  <si>
    <t>d640750f-aeb0-4940-bbe8-91295a211fd7</t>
  </si>
  <si>
    <t>7967fa98-6089-4718-9b9b-7c5621eb3805</t>
  </si>
  <si>
    <t>09:02:09</t>
  </si>
  <si>
    <t>5ae515cb-49dd-4aa0-b703-68110f33ef91</t>
  </si>
  <si>
    <t>c04388db-1dfd-456e-91dd-e7d33c91254c</t>
  </si>
  <si>
    <t>17:46:07</t>
  </si>
  <si>
    <t>f3c5f074-2235-4d47-9500-6594304ab10a</t>
  </si>
  <si>
    <t>19e6fb6d-1fc6-4e72-b671-c8953284a54e</t>
  </si>
  <si>
    <t>14:00:14</t>
  </si>
  <si>
    <t>4112851a-7c66-428d-8376-a901ff802d85</t>
  </si>
  <si>
    <t>463cdea4-944c-4c00-bca0-c739c7a35c2f</t>
  </si>
  <si>
    <t>09:38:43</t>
  </si>
  <si>
    <t>1f5278c6-cb12-45a9-9d96-152615b92c5a</t>
  </si>
  <si>
    <t>24e1d7e9-5fcd-4bdf-bb41-c1f033609a22</t>
  </si>
  <si>
    <t>19:06:37</t>
  </si>
  <si>
    <t>65e1c600-c471-4763-823f-e02e8ffc3cb2</t>
  </si>
  <si>
    <t>4b00fa0d-1cdf-4b7c-89f9-95c47d6109d1</t>
  </si>
  <si>
    <t>11:31:09</t>
  </si>
  <si>
    <t>117bbcbc-046a-4d20-96e3-8dffe4d284e9</t>
  </si>
  <si>
    <t>cef129ba-a543-40de-bc8f-f09a87f57a6c</t>
  </si>
  <si>
    <t>16:19:01</t>
  </si>
  <si>
    <t>7c0878cc-6c47-4826-9423-311899c8b3f0</t>
  </si>
  <si>
    <t>fa894b7f-25a7-4088-93b1-795202bc80f1</t>
  </si>
  <si>
    <t>00:34:44</t>
  </si>
  <si>
    <t>a43193bd-61c0-4876-9763-9ea509c950f4</t>
  </si>
  <si>
    <t>5b4a00a9-7f82-4dc7-ae20-d3acea582621</t>
  </si>
  <si>
    <t>09:03:38</t>
  </si>
  <si>
    <t>06c9b427-59d9-4101-83ba-c326ab357a83</t>
  </si>
  <si>
    <t>11009b26-e4d6-4698-88fa-6ba37ea5f979</t>
  </si>
  <si>
    <t>23:59:28</t>
  </si>
  <si>
    <t>64d26019-c2fc-426c-a189-abd90bc4d487</t>
  </si>
  <si>
    <t>04ad77f5-c695-451e-a3cd-d56cf2ce11e8</t>
  </si>
  <si>
    <t>04:23:43</t>
  </si>
  <si>
    <t>2ce896e1-4651-4334-b193-1c3114db3e39</t>
  </si>
  <si>
    <t>2c5696d1-336a-4e34-b993-e59e64ebdfc4</t>
  </si>
  <si>
    <t>06:05:56</t>
  </si>
  <si>
    <t>5df458c4-c133-4ed5-bf46-9269445be558</t>
  </si>
  <si>
    <t>39f30101-50f9-4d53-b8e5-f1d6c686bbfb</t>
  </si>
  <si>
    <t>02:07:41</t>
  </si>
  <si>
    <t>fb62b7df-3d86-4e80-aabe-4f594c8a79d5</t>
  </si>
  <si>
    <t>27d2730a-9c21-4376-b213-c78a318da21f</t>
  </si>
  <si>
    <t>15:42:33</t>
  </si>
  <si>
    <t>3155be37-a28a-414e-9215-18c38bd4015d</t>
  </si>
  <si>
    <t>681951c5-7575-4304-94b4-45f7a3c49bb3</t>
  </si>
  <si>
    <t>18:58:33</t>
  </si>
  <si>
    <t>d3c3358f-9b98-4267-b6a1-e67f3d12d751</t>
  </si>
  <si>
    <t>22c74285-9ebd-4ccf-94d4-57ea921d6388</t>
  </si>
  <si>
    <t>08:15:31</t>
  </si>
  <si>
    <t>e62f4850-1c5f-4a61-bd31-c5e35e40a568</t>
  </si>
  <si>
    <t>56f7f8c2-c289-4247-ae23-b67153a799b2</t>
  </si>
  <si>
    <t>19:21:31</t>
  </si>
  <si>
    <t>74c6cdef-bebc-4f46-a814-00fa583f4f98</t>
  </si>
  <si>
    <t>8f4563d4-930d-455d-8f88-f9592895b846</t>
  </si>
  <si>
    <t>02:58:36</t>
  </si>
  <si>
    <t>ffbe078a-85f5-44f0-8761-e5d3629c9eb1</t>
  </si>
  <si>
    <t>fb365ff7-b4d8-495c-bec0-17de23de1d83</t>
  </si>
  <si>
    <t>01:26:52</t>
  </si>
  <si>
    <t>c01f1912-8394-4469-80ac-53a1a27e6c95</t>
  </si>
  <si>
    <t>233d71e1-9461-4021-8301-6b53fcda7146</t>
  </si>
  <si>
    <t>12:44:23</t>
  </si>
  <si>
    <t>87a3c664-0b3c-4ff7-bc13-c23a60ba4228</t>
  </si>
  <si>
    <t>bdf48053-953c-41e4-b54b-f2bbda66599d</t>
  </si>
  <si>
    <t>02:07:32</t>
  </si>
  <si>
    <t>ff29c2c8-fab7-479f-8891-4cfc3196aea5</t>
  </si>
  <si>
    <t>2f3e77a4-670a-490b-849c-1cdc0c3e6554</t>
  </si>
  <si>
    <t>21:54:15</t>
  </si>
  <si>
    <t>d5083ec7-a64e-4aed-9f2d-600502a602a5</t>
  </si>
  <si>
    <t>5f2f557a-db00-4c2a-8cd8-aa7a55e23853</t>
  </si>
  <si>
    <t>09:17:37</t>
  </si>
  <si>
    <t>2ebc5f04-a4f9-4542-9ef7-5720c525035e</t>
  </si>
  <si>
    <t>b52fda4b-dc37-4353-9759-59083338503c</t>
  </si>
  <si>
    <t>08:16:26</t>
  </si>
  <si>
    <t>49036873-f16d-4d8f-8fe2-2ea11145dc20</t>
  </si>
  <si>
    <t>1c6114c5-6f98-4777-9685-fb562ea42e9a</t>
  </si>
  <si>
    <t>01:55:40</t>
  </si>
  <si>
    <t>8d01ceb9-ac99-4f12-a951-79734de27089</t>
  </si>
  <si>
    <t>a4688fa8-7cf2-46f2-8e15-8256a9c5752e</t>
  </si>
  <si>
    <t>14:40:53</t>
  </si>
  <si>
    <t>376842b0-b7f9-4756-a1b0-de97587e1397</t>
  </si>
  <si>
    <t>ac12d74b-30e0-4ba2-9dc4-e21e5f620c1e</t>
  </si>
  <si>
    <t>17:08:23</t>
  </si>
  <si>
    <t>c3ac5957-f972-42b5-b092-cb537e141357</t>
  </si>
  <si>
    <t>fd9dfd20-707a-4eb0-8aa6-ef341e7b1395</t>
  </si>
  <si>
    <t>20:57:56</t>
  </si>
  <si>
    <t>db1a52f5-8bf6-4a29-a3be-18df354d1972</t>
  </si>
  <si>
    <t>416b2547-89f8-4119-8677-9b7fd976cc7d</t>
  </si>
  <si>
    <t>00:00:50</t>
  </si>
  <si>
    <t>e38d60d7-8439-450d-ae43-1d9b7facb3fa</t>
  </si>
  <si>
    <t>70105cd1-69fe-471e-a0ad-f7afc71d3529</t>
  </si>
  <si>
    <t>12:33:27</t>
  </si>
  <si>
    <t>1e06ac56-a83c-4cce-a02f-0ff592d7d543</t>
  </si>
  <si>
    <t>c7dd51ac-cbb7-41c1-9c15-2712f5601e20</t>
  </si>
  <si>
    <t>04:45:27</t>
  </si>
  <si>
    <t>9c206bd1-297f-4f9e-9875-5ea7aca33b44</t>
  </si>
  <si>
    <t>ec12ab48-9c80-4057-a22b-39238b842356</t>
  </si>
  <si>
    <t>20:21:51</t>
  </si>
  <si>
    <t>381a4be5-3df9-413a-aed7-8bc844cc9f6a</t>
  </si>
  <si>
    <t>d80ffdb3-7967-49c0-8e32-1b645188d4c4</t>
  </si>
  <si>
    <t>19:37:03</t>
  </si>
  <si>
    <t>d518727e-2952-4349-ae6e-86d028773e30</t>
  </si>
  <si>
    <t>c52f51d1-067b-4b94-b6e9-beea97e9380c</t>
  </si>
  <si>
    <t>12:20:32</t>
  </si>
  <si>
    <t>58abc8be-60de-4802-b9a4-7b733e64b51a</t>
  </si>
  <si>
    <t>b42520f3-df7a-4c43-b0e9-23295eaffa2e</t>
  </si>
  <si>
    <t>02:17:09</t>
  </si>
  <si>
    <t>16c57c0d-10b1-4699-9709-1a42b652577b</t>
  </si>
  <si>
    <t>13e8b911-e8fe-4693-bb68-186c4de29fd8</t>
  </si>
  <si>
    <t>07:14:21</t>
  </si>
  <si>
    <t>18f6d122-40db-4f24-8941-e52960d94714</t>
  </si>
  <si>
    <t>bfda55ec-24f8-4384-94c4-805a402c8bf9</t>
  </si>
  <si>
    <t>03:43:35</t>
  </si>
  <si>
    <t>b7ee8462-8b49-4c43-b63d-71f77ec607d3</t>
  </si>
  <si>
    <t>29d3466b-3727-46fa-825e-3ba36d9d625b</t>
  </si>
  <si>
    <t>22:07:23</t>
  </si>
  <si>
    <t>96645eac-866e-4e50-8e4a-c7375baa2a21</t>
  </si>
  <si>
    <t>50a9e322-279d-4318-a4dd-dbe247c7b44d</t>
  </si>
  <si>
    <t>18:49:58</t>
  </si>
  <si>
    <t>08cac43c-76f7-4da5-87e4-ceca3da74ae3</t>
  </si>
  <si>
    <t>74ae7313-1ab5-4c3d-8a0c-10e3e532eb33</t>
  </si>
  <si>
    <t>12:11:34</t>
  </si>
  <si>
    <t>feab625f-51ff-4fd6-b32d-cd328c6e4035</t>
  </si>
  <si>
    <t>a4034789-9583-46af-b20b-ab62ba5768bc</t>
  </si>
  <si>
    <t>07:15:14</t>
  </si>
  <si>
    <t>aa82fe0c-dc73-4c00-bbf8-9e1da96a981c</t>
  </si>
  <si>
    <t>29a3df4c-63e8-4acc-804b-40fa4a8a4711</t>
  </si>
  <si>
    <t>19:44:45</t>
  </si>
  <si>
    <t>c9f01437-02e2-4409-b3fb-cdcb18f72b25</t>
  </si>
  <si>
    <t>53121224-8d66-483f-9321-f91c48c04a48</t>
  </si>
  <si>
    <t>08:34:20</t>
  </si>
  <si>
    <t>2d40d0bc-b066-4647-a782-b452e3562247</t>
  </si>
  <si>
    <t>8a109bb5-6ce3-4824-a8e4-692cbed9be2d</t>
  </si>
  <si>
    <t>01:30:31</t>
  </si>
  <si>
    <t>d1d09bcf-4d79-4366-b908-e29dc7a915f0</t>
  </si>
  <si>
    <t>dd9160cb-c50a-4afa-8316-25a82f879342</t>
  </si>
  <si>
    <t>18:05:57</t>
  </si>
  <si>
    <t>1b67ff3d-aaa2-447a-a0a2-4396c4bcd893</t>
  </si>
  <si>
    <t>61b9b507-ac13-4b5e-a192-4dabbf3309a3</t>
  </si>
  <si>
    <t>15:39:21</t>
  </si>
  <si>
    <t>49ffc989-daa3-4ca8-ae2d-68cdd2c7609b</t>
  </si>
  <si>
    <t>933bfc79-a663-43d5-ab37-1d708560627a</t>
  </si>
  <si>
    <t>11:18:08</t>
  </si>
  <si>
    <t>dc3400bb-81d6-42ec-8f7d-79169ad5b8c0</t>
  </si>
  <si>
    <t>2acbd990-6161-489d-aed5-ff325ad21ba4</t>
  </si>
  <si>
    <t>14:57:35</t>
  </si>
  <si>
    <t>bcad8789-fd40-48af-bb23-b921d84c1f7a</t>
  </si>
  <si>
    <t>7a5e37c8-87d7-4c1b-bb16-0866096616cd</t>
  </si>
  <si>
    <t>14:01:19</t>
  </si>
  <si>
    <t>c07cfdd4-e208-4fc2-a517-ef17b046cd3f</t>
  </si>
  <si>
    <t>3563f4c8-ac61-4902-bbaf-62c3f1b088e3</t>
  </si>
  <si>
    <t>00:01:17</t>
  </si>
  <si>
    <t>8d69a287-5637-4448-8903-cf4431f42b6b</t>
  </si>
  <si>
    <t>32d77682-5ad9-4b02-8aaf-1d4e9f4641d5</t>
  </si>
  <si>
    <t>19:46:35</t>
  </si>
  <si>
    <t>acfcb7b9-c52c-4c8c-99cd-3184ca20c137</t>
  </si>
  <si>
    <t>c07ebcd1-ad1f-4d69-bba9-60c41314ce8a</t>
  </si>
  <si>
    <t>03:55:30</t>
  </si>
  <si>
    <t>fad41d09-4182-4b78-8409-74ad535eb35e</t>
  </si>
  <si>
    <t>7562a98f-a9fd-44fc-9323-0cbcd927b3a2</t>
  </si>
  <si>
    <t>04:40:03</t>
  </si>
  <si>
    <t>21ba918c-b19a-4239-8b4c-8bf60ca0309e</t>
  </si>
  <si>
    <t>ed8df587-ed2b-4d2c-a7ec-a7c6fd4521c6</t>
  </si>
  <si>
    <t>15:26:10</t>
  </si>
  <si>
    <t>cdbe474f-ea5c-43c3-b0f4-5b279c40b48b</t>
  </si>
  <si>
    <t>23ed5a4b-6f57-4e3a-9204-bfd1fda53f76</t>
  </si>
  <si>
    <t>11:15:45</t>
  </si>
  <si>
    <t>2b4f0af8-70d1-49a5-a78d-b62b03ac9743</t>
  </si>
  <si>
    <t>194a7f12-1e89-4d38-a93e-f96160f8df28</t>
  </si>
  <si>
    <t>01:33:00</t>
  </si>
  <si>
    <t>b7523474-a54f-46b9-bd9f-b4015d060f5c</t>
  </si>
  <si>
    <t>38c5ebe9-8f53-44dd-9bb6-1a5a28f667dc</t>
  </si>
  <si>
    <t>05:02:05</t>
  </si>
  <si>
    <t>35a39509-378b-4e83-b858-7ab3353a7d7a</t>
  </si>
  <si>
    <t>73f8b9f1-6c07-4cf0-9fc5-aa53a8a1a22d</t>
  </si>
  <si>
    <t>19:55:05</t>
  </si>
  <si>
    <t>f25a23b4-9787-4e54-ac35-70c69f9479c3</t>
  </si>
  <si>
    <t>b594624c-458a-4e87-b27d-227b6161c0c7</t>
  </si>
  <si>
    <t>06:02:09</t>
  </si>
  <si>
    <t>c114af7b-e304-4401-9fff-e505e584f156</t>
  </si>
  <si>
    <t>23f80f63-3af6-494e-ba7c-92d8409dec2d</t>
  </si>
  <si>
    <t>06:15:22</t>
  </si>
  <si>
    <t>7e8b992c-16c0-4ef7-baab-f8aaff1f544b</t>
  </si>
  <si>
    <t>a8f55188-c9aa-4f69-b086-8e05af92ffd6</t>
  </si>
  <si>
    <t>02:21:16</t>
  </si>
  <si>
    <t>70692973-9498-40c8-ae47-765bf749ebf9</t>
  </si>
  <si>
    <t>e5596b23-f01f-46a9-b004-0b6d9d325023</t>
  </si>
  <si>
    <t>01:52:42</t>
  </si>
  <si>
    <t>c8be09bf-8ec0-46e5-b485-942a180d4fd8</t>
  </si>
  <si>
    <t>923ba8e3-db8a-45c0-97be-5dbff67fecd0</t>
  </si>
  <si>
    <t>07:32:43</t>
  </si>
  <si>
    <t>74df5709-fa64-4234-a07d-4ead5d86b440</t>
  </si>
  <si>
    <t>1053dcdc-99fe-4253-ae4d-6b92de95c605</t>
  </si>
  <si>
    <t>15:48:20</t>
  </si>
  <si>
    <t>f2c61481-7a01-4103-ae89-b0b8dd590d42</t>
  </si>
  <si>
    <t>7ed090c9-1101-4a44-b20a-4d69174d74fe</t>
  </si>
  <si>
    <t>00:29:26</t>
  </si>
  <si>
    <t>b0f576a8-d73f-487f-93da-846e585d0442</t>
  </si>
  <si>
    <t>a02c53f3-681e-4966-a610-030e1f462351</t>
  </si>
  <si>
    <t>23:10:35</t>
  </si>
  <si>
    <t>c9bb3f22-552f-4de8-b5a1-69866cb648b9</t>
  </si>
  <si>
    <t>050583e2-a1ec-4e6d-a876-f9d25452a67c</t>
  </si>
  <si>
    <t>05:44:21</t>
  </si>
  <si>
    <t>e8a97c8c-0a09-477a-9c31-7d8b6948faa4</t>
  </si>
  <si>
    <t>e5e03737-fa92-4888-8937-a461f23a9513</t>
  </si>
  <si>
    <t>22:26:15</t>
  </si>
  <si>
    <t>9d28da6f-879e-486a-88b1-dde9e26cca66</t>
  </si>
  <si>
    <t>4a26be93-7b8b-4fe8-9ca6-15c440a1c9f0</t>
  </si>
  <si>
    <t>22:20:54</t>
  </si>
  <si>
    <t>b28723fc-c3a5-4385-bc74-474abda0ec6b</t>
  </si>
  <si>
    <t>83c6e8a3-cce5-47ff-b7a3-c0eff645dadb</t>
  </si>
  <si>
    <t>22:38:17</t>
  </si>
  <si>
    <t>2da15e6e-0e93-45a2-bce6-b7af316503f7</t>
  </si>
  <si>
    <t>6a53041c-cafa-4238-bfc5-8329172a6e38</t>
  </si>
  <si>
    <t>08:48:37</t>
  </si>
  <si>
    <t>2320e466-58af-4f5a-bb05-7df83e9b9f28</t>
  </si>
  <si>
    <t>0d8cbdcc-ff22-4e71-8f33-a268abfb5a2f</t>
  </si>
  <si>
    <t>22:52:08</t>
  </si>
  <si>
    <t>c38848f6-3952-463e-9887-dd83b8817a84</t>
  </si>
  <si>
    <t>c809ef96-a2be-4609-9668-fbaaf7fa3ed4</t>
  </si>
  <si>
    <t>22:58:56</t>
  </si>
  <si>
    <t>5ad7bc49-9d6f-4699-9396-566d8789bb80</t>
  </si>
  <si>
    <t>c648bc52-6278-4ddd-b20e-68cda64ad568</t>
  </si>
  <si>
    <t>19:21:37</t>
  </si>
  <si>
    <t>20ebd8af-a813-4768-8fee-7d1968f75e1f</t>
  </si>
  <si>
    <t>066814bc-1135-44f6-81a3-11304562f983</t>
  </si>
  <si>
    <t>14:04:22</t>
  </si>
  <si>
    <t>ab09cd90-7b08-4a8b-a388-bdf665076cfe</t>
  </si>
  <si>
    <t>179b0438-2152-44b0-b62d-b4f1f05d63a8</t>
  </si>
  <si>
    <t>06:23:17</t>
  </si>
  <si>
    <t>6d4b765e-e0f6-4f07-af8e-c1ca2c427574</t>
  </si>
  <si>
    <t>d06daea0-e007-4517-afb5-afe14925fbd8</t>
  </si>
  <si>
    <t>20:01:23</t>
  </si>
  <si>
    <t>56f00943-8bfd-4727-8e76-5c9f2de482b0</t>
  </si>
  <si>
    <t>98841dc6-a5b3-48d6-9a6a-9fc1bd9978b7</t>
  </si>
  <si>
    <t>01:07:22</t>
  </si>
  <si>
    <t>4eb2a80e-3b16-4212-9595-5261c2a7c17f</t>
  </si>
  <si>
    <t>284e2b70-2998-4c03-b75d-0b1c8a8f8089</t>
  </si>
  <si>
    <t>05:43:28</t>
  </si>
  <si>
    <t>83f6b9fc-7c7c-4597-8b60-72022bcefb31</t>
  </si>
  <si>
    <t>b9a83e2e-14d9-4dee-a43f-849808d8ec17</t>
  </si>
  <si>
    <t>09:18:04</t>
  </si>
  <si>
    <t>ad071ecc-7103-475b-8ebf-79f1780153b3</t>
  </si>
  <si>
    <t>11a12968-6dd3-45aa-9e19-8ef7602cc491</t>
  </si>
  <si>
    <t>05:31:46</t>
  </si>
  <si>
    <t>0736d107-50a9-49b3-988e-3b5d01b33a5d</t>
  </si>
  <si>
    <t>3135cab6-e107-40de-aa61-835352a6cdc4</t>
  </si>
  <si>
    <t>10:49:05</t>
  </si>
  <si>
    <t>a4db828f-76a8-4660-a43c-3342ca5cb2b9</t>
  </si>
  <si>
    <t>428e0e71-3316-4138-b4d5-457f55cea67c</t>
  </si>
  <si>
    <t>05:42:32</t>
  </si>
  <si>
    <t>4036c2d6-75a2-4944-98df-eb4f7038e0b9</t>
  </si>
  <si>
    <t>9059e876-fd36-4207-919e-f6d765f1df94</t>
  </si>
  <si>
    <t>09:21:38</t>
  </si>
  <si>
    <t>97b255fc-1540-4449-a1f1-923893c07256</t>
  </si>
  <si>
    <t>d17ca639-bd4f-44a1-8766-23724dd6f8c4</t>
  </si>
  <si>
    <t>07:57:23</t>
  </si>
  <si>
    <t>a4ec05ed-82a8-4fa3-a31e-4d92ff406f15</t>
  </si>
  <si>
    <t>90d2a166-51fd-4c03-a5b2-c132983bb3a9</t>
  </si>
  <si>
    <t>08:23:17</t>
  </si>
  <si>
    <t>666e0fb7-7f7a-414b-b4c9-c595b9e7e223</t>
  </si>
  <si>
    <t>12e20a22-0e8a-4fee-a144-0c50cc2bee62</t>
  </si>
  <si>
    <t>21:07:15</t>
  </si>
  <si>
    <t>0687b489-4442-4200-8bfd-c6d05d511432</t>
  </si>
  <si>
    <t>b497d310-6cb8-45f4-89e8-318695fd7c66</t>
  </si>
  <si>
    <t>12:09:54</t>
  </si>
  <si>
    <t>0b661d7c-abf2-4733-ae3e-288fd6e0ee1c</t>
  </si>
  <si>
    <t>e6976cf7-7d43-4244-9bf8-6b56b13409f2</t>
  </si>
  <si>
    <t>08:20:49</t>
  </si>
  <si>
    <t>99a2b49c-a5f5-4d77-bfa8-d860762b2f94</t>
  </si>
  <si>
    <t>7f7e567c-823a-424e-81c4-02abaee39d57</t>
  </si>
  <si>
    <t>02:07:28</t>
  </si>
  <si>
    <t>38a324ab-abd7-4101-b7c2-2e479280ff50</t>
  </si>
  <si>
    <t>77704c31-3c38-40ac-b690-2009189ea7d0</t>
  </si>
  <si>
    <t>01:04:10</t>
  </si>
  <si>
    <t>3bbf1d13-2e9b-4935-95f2-5178884301eb</t>
  </si>
  <si>
    <t>f4dc596f-1613-4399-9141-f6099af70dcc</t>
  </si>
  <si>
    <t>23:37:05</t>
  </si>
  <si>
    <t>b86a5547-caeb-4471-b9c0-f468dbffa896</t>
  </si>
  <si>
    <t>d579d7f9-307f-49cf-9d72-c13845cbf161</t>
  </si>
  <si>
    <t>17:56:13</t>
  </si>
  <si>
    <t>6dd69a31-fe94-4ab6-bc65-2a3dcdc748f8</t>
  </si>
  <si>
    <t>746bf520-432c-4c92-8591-4d92fad3ba8f</t>
  </si>
  <si>
    <t>08:29:23</t>
  </si>
  <si>
    <t>d2978a54-f88e-402e-b8b2-b1d2bb6e996a</t>
  </si>
  <si>
    <t>89e93b5a-0038-4923-aa19-a050a8d9507f</t>
  </si>
  <si>
    <t>12:54:52</t>
  </si>
  <si>
    <t>63724c5d-e37a-4d97-a84c-3bf26dc19179</t>
  </si>
  <si>
    <t>40fd1efd-a958-4c70-aab0-c4f19325d765</t>
  </si>
  <si>
    <t>10:41:23</t>
  </si>
  <si>
    <t>5f3f72a3-b90b-4fc5-87e9-b46266217395</t>
  </si>
  <si>
    <t>961b1b9b-6256-406b-b527-693b911b7d13</t>
  </si>
  <si>
    <t>20:42:45</t>
  </si>
  <si>
    <t>d0df210f-d285-4158-a21e-c5665e612ea3</t>
  </si>
  <si>
    <t>17768b80-e9f6-4772-9473-5acb374d9b90</t>
  </si>
  <si>
    <t>04:56:34</t>
  </si>
  <si>
    <t>906b5970-f30d-4674-a495-e43c9daa771b</t>
  </si>
  <si>
    <t>a3c39884-ddf4-44aa-8778-5ab7b82b36e4</t>
  </si>
  <si>
    <t>18:36:07</t>
  </si>
  <si>
    <t>7a7528c1-556c-45c7-a0e5-60ac531aacfb</t>
  </si>
  <si>
    <t>81d7b27d-0aa1-4ee4-9397-a5ad52fc01f8</t>
  </si>
  <si>
    <t>16:26:25</t>
  </si>
  <si>
    <t>bc20746c-b0cd-499c-a66b-c5fa52c08761</t>
  </si>
  <si>
    <t>031bb6ee-d8c7-4467-94ae-0f6924c28321</t>
  </si>
  <si>
    <t>05:43:49</t>
  </si>
  <si>
    <t>ca87a8a0-3aaf-412e-9966-2f58a5042450</t>
  </si>
  <si>
    <t>74d8d918-4329-4a94-8f47-b1d0862310c6</t>
  </si>
  <si>
    <t>12:34:16</t>
  </si>
  <si>
    <t>ea35a4b0-b7af-44b3-ad08-4a6f358d504c</t>
  </si>
  <si>
    <t>a00e1280-275a-4f5e-9923-55d836188ec6</t>
  </si>
  <si>
    <t>19:47:35</t>
  </si>
  <si>
    <t>178ce62b-ae80-45ef-80b8-25e434445935</t>
  </si>
  <si>
    <t>22ae8fe3-e46a-4459-88d9-cd77255daee8</t>
  </si>
  <si>
    <t>11:17:48</t>
  </si>
  <si>
    <t>149bec96-362e-4f4a-931b-703355c47866</t>
  </si>
  <si>
    <t>1a62a0b6-0d9b-4819-9ae7-b9f4b0b02a5e</t>
  </si>
  <si>
    <t>02:02:27</t>
  </si>
  <si>
    <t>ad5ddc51-a696-4fe4-83e3-62b6cdc60fda</t>
  </si>
  <si>
    <t>8f5a80c2-6a75-40f0-9dbf-d63eeb8f9b89</t>
  </si>
  <si>
    <t>21:44:03</t>
  </si>
  <si>
    <t>a0f27292-5842-4adb-9a76-cf7294511bd8</t>
  </si>
  <si>
    <t>5ecea2e8-6c5e-43e4-ac33-07d173f20cf2</t>
  </si>
  <si>
    <t>21:22:13</t>
  </si>
  <si>
    <t>c591d201-6006-4227-84be-03d1bc7a917c</t>
  </si>
  <si>
    <t>afcd8d43-7dbc-49ef-b081-c936ee972eb7</t>
  </si>
  <si>
    <t>08:52:35</t>
  </si>
  <si>
    <t>5ea3d675-9d40-49c4-a02b-d222cdc6066b</t>
  </si>
  <si>
    <t>aa968236-9982-4838-97ad-9805f8882e9f</t>
  </si>
  <si>
    <t>09:05:05</t>
  </si>
  <si>
    <t>01bac31e-3f87-4b8b-9925-d8b21892df3a</t>
  </si>
  <si>
    <t>4aa6d9ba-2a7e-4413-90ee-a0b1a42727cd</t>
  </si>
  <si>
    <t>07:25:29</t>
  </si>
  <si>
    <t>dff72481-64b3-42f4-a04e-c97fa4ae6ab1</t>
  </si>
  <si>
    <t>d165142d-f825-48bb-b13e-99544c7eca1c</t>
  </si>
  <si>
    <t>05:22:02</t>
  </si>
  <si>
    <t>eac39fd7-9d24-4be8-98a3-35ff700769ee</t>
  </si>
  <si>
    <t>a9442c79-93d4-4a07-8539-42642c1ca5fe</t>
  </si>
  <si>
    <t>03:27:53</t>
  </si>
  <si>
    <t>e4d6fef0-18e3-451d-b8b7-460f1a022bb4</t>
  </si>
  <si>
    <t>3b3ff695-62c2-4673-a079-c0c8cd4bc5ec</t>
  </si>
  <si>
    <t>07:51:41</t>
  </si>
  <si>
    <t>a77df14f-7a10-4416-8898-6b6145de442c</t>
  </si>
  <si>
    <t>c8d397b3-359f-4d61-8dba-8f6f4db88757</t>
  </si>
  <si>
    <t>02:01:29</t>
  </si>
  <si>
    <t>1f997628-d85c-483c-9a07-05b62e2b32cd</t>
  </si>
  <si>
    <t>aef6bcdc-f487-4663-9140-dbc4228c91b7</t>
  </si>
  <si>
    <t>01:26:51</t>
  </si>
  <si>
    <t>151f6d97-fea5-4950-87d0-a97ea8579ced</t>
  </si>
  <si>
    <t>e82974a3-a3ff-4363-8ee4-5a7ece9dd9a0</t>
  </si>
  <si>
    <t>08:11:12</t>
  </si>
  <si>
    <t>hashtags</t>
  </si>
  <si>
    <t>ctr</t>
  </si>
  <si>
    <t>temp_engagement_rate</t>
  </si>
  <si>
    <t>temp_ctr</t>
  </si>
  <si>
    <t>white, friend, nothing</t>
  </si>
  <si>
    <t>through, again, once</t>
  </si>
  <si>
    <t>pull, food, blood</t>
  </si>
  <si>
    <t>personal, accept, unit</t>
  </si>
  <si>
    <t>make, when, debate</t>
  </si>
  <si>
    <t>another, theory, view</t>
  </si>
  <si>
    <t>the, can, PM</t>
  </si>
  <si>
    <t>plan, already, far</t>
  </si>
  <si>
    <t>help, authority, example</t>
  </si>
  <si>
    <t>west, wide, remain</t>
  </si>
  <si>
    <t>and, style, father</t>
  </si>
  <si>
    <t>they, continue, mouth</t>
  </si>
  <si>
    <t>significant, total, others</t>
  </si>
  <si>
    <t>quickly, among, floor</t>
  </si>
  <si>
    <t>natural, building, good</t>
  </si>
  <si>
    <t>guess, growth, ready</t>
  </si>
  <si>
    <t>market, PM, finally</t>
  </si>
  <si>
    <t>by, drop, likely</t>
  </si>
  <si>
    <t>number, true, job</t>
  </si>
  <si>
    <t>final, glass, instead</t>
  </si>
  <si>
    <t>green, strategy, too</t>
  </si>
  <si>
    <t>old, product, play</t>
  </si>
  <si>
    <t>only, yard, picture</t>
  </si>
  <si>
    <t>turn, large, add</t>
  </si>
  <si>
    <t>amount, since, floor</t>
  </si>
  <si>
    <t>state, will, find</t>
  </si>
  <si>
    <t>space, must, although</t>
  </si>
  <si>
    <t>win, company, city</t>
  </si>
  <si>
    <t>man, will, thing</t>
  </si>
  <si>
    <t>quality, make, follow</t>
  </si>
  <si>
    <t>soon, course, one</t>
  </si>
  <si>
    <t>action, shoulder, skin</t>
  </si>
  <si>
    <t>certainly, pick, success</t>
  </si>
  <si>
    <t>professor, society, guy</t>
  </si>
  <si>
    <t>effort, star, nature</t>
  </si>
  <si>
    <t>front, four, here</t>
  </si>
  <si>
    <t>serious, send, president</t>
  </si>
  <si>
    <t>fish, point, stage</t>
  </si>
  <si>
    <t>we, begin, card</t>
  </si>
  <si>
    <t>fall, buy, relate</t>
  </si>
  <si>
    <t>campaign, scene, star</t>
  </si>
  <si>
    <t>court, section, low</t>
  </si>
  <si>
    <t>popular, investment, body</t>
  </si>
  <si>
    <t>look, business, peace</t>
  </si>
  <si>
    <t>activity, type, ability</t>
  </si>
  <si>
    <t>phone, free, believe</t>
  </si>
  <si>
    <t>also, lawyer, wait</t>
  </si>
  <si>
    <t>while, perhaps, fund</t>
  </si>
  <si>
    <t>treat, resource, seven</t>
  </si>
  <si>
    <t>food, himself, after</t>
  </si>
  <si>
    <t>discuss, note, cold</t>
  </si>
  <si>
    <t>upon, turn, record</t>
  </si>
  <si>
    <t>whose, adult, participant</t>
  </si>
  <si>
    <t>agent, thousand, data</t>
  </si>
  <si>
    <t>allow, outside, discuss</t>
  </si>
  <si>
    <t>work, save, person</t>
  </si>
  <si>
    <t>myself, teacher, control</t>
  </si>
  <si>
    <t>only, performance, back</t>
  </si>
  <si>
    <t>prevent, nice, chance</t>
  </si>
  <si>
    <t>middle, author, floor</t>
  </si>
  <si>
    <t>production, next, staff</t>
  </si>
  <si>
    <t>himself, Democrat, but</t>
  </si>
  <si>
    <t>short, main, what</t>
  </si>
  <si>
    <t>research, hospital, risk</t>
  </si>
  <si>
    <t>quality, stop, middle</t>
  </si>
  <si>
    <t>result, process, new</t>
  </si>
  <si>
    <t>my, it, marriage</t>
  </si>
  <si>
    <t>feel, enough, law</t>
  </si>
  <si>
    <t>into, draw, character</t>
  </si>
  <si>
    <t>view, machine, still</t>
  </si>
  <si>
    <t>feel, beautiful, the</t>
  </si>
  <si>
    <t>plant, true, south</t>
  </si>
  <si>
    <t>capital, seek, there</t>
  </si>
  <si>
    <t>current, mouth, tree</t>
  </si>
  <si>
    <t>election, certain, true</t>
  </si>
  <si>
    <t>interview, watch, article</t>
  </si>
  <si>
    <t>service, each, usually</t>
  </si>
  <si>
    <t>response, short, because</t>
  </si>
  <si>
    <t>future, pattern, draw</t>
  </si>
  <si>
    <t>very, good, none</t>
  </si>
  <si>
    <t>speak, short, ago</t>
  </si>
  <si>
    <t>area, huge, state</t>
  </si>
  <si>
    <t>lose, community, someone</t>
  </si>
  <si>
    <t>once, kid, do</t>
  </si>
  <si>
    <t>think, area, before</t>
  </si>
  <si>
    <t>yard, professor, still</t>
  </si>
  <si>
    <t>half, face, step</t>
  </si>
  <si>
    <t>short, perform, election</t>
  </si>
  <si>
    <t>herself, rather, analysis</t>
  </si>
  <si>
    <t>guess, try, very</t>
  </si>
  <si>
    <t>sign, quite, season</t>
  </si>
  <si>
    <t>a, either, happy</t>
  </si>
  <si>
    <t>small, enter, low</t>
  </si>
  <si>
    <t>point, teach, city</t>
  </si>
  <si>
    <t>admit, bank, very</t>
  </si>
  <si>
    <t>yes, voice, piece</t>
  </si>
  <si>
    <t>name, fall, growth</t>
  </si>
  <si>
    <t>reflect, under, near</t>
  </si>
  <si>
    <t>would, heart, work</t>
  </si>
  <si>
    <t>tend, stay, heavy</t>
  </si>
  <si>
    <t>oil, course, study</t>
  </si>
  <si>
    <t>line, likely, street</t>
  </si>
  <si>
    <t>parent, give, everything</t>
  </si>
  <si>
    <t>market, different, term</t>
  </si>
  <si>
    <t>protect, just, they</t>
  </si>
  <si>
    <t>one, me, other</t>
  </si>
  <si>
    <t>send, first, section</t>
  </si>
  <si>
    <t>imagine, cause, produce</t>
  </si>
  <si>
    <t>could, but, only</t>
  </si>
  <si>
    <t>itself, life, film</t>
  </si>
  <si>
    <t>race, term, career</t>
  </si>
  <si>
    <t>send, what, project</t>
  </si>
  <si>
    <t>great, contain, consider</t>
  </si>
  <si>
    <t>show, tonight, practice</t>
  </si>
  <si>
    <t>thousand, open, thought</t>
  </si>
  <si>
    <t>remember, generation, Democrat</t>
  </si>
  <si>
    <t>air, similar, Mrs</t>
  </si>
  <si>
    <t>amount, arm, best</t>
  </si>
  <si>
    <t>certain, memory, when</t>
  </si>
  <si>
    <t>sit, either, rich</t>
  </si>
  <si>
    <t>fine, base, assume</t>
  </si>
  <si>
    <t>establish, future, certain</t>
  </si>
  <si>
    <t>wonder, thank, mouth</t>
  </si>
  <si>
    <t>behavior, successful, truth</t>
  </si>
  <si>
    <t>a, recognize, little</t>
  </si>
  <si>
    <t>far, they, pull</t>
  </si>
  <si>
    <t>someone, yes, answer</t>
  </si>
  <si>
    <t>job, certain, on</t>
  </si>
  <si>
    <t>article, art, its</t>
  </si>
  <si>
    <t>ball, style, wear</t>
  </si>
  <si>
    <t>better, people, policy</t>
  </si>
  <si>
    <t>improve, very, baby</t>
  </si>
  <si>
    <t>cultural, animal, who</t>
  </si>
  <si>
    <t>half, father, Democrat</t>
  </si>
  <si>
    <t>idea, successful, attorney</t>
  </si>
  <si>
    <t>build, want, window</t>
  </si>
  <si>
    <t>action, group, minute</t>
  </si>
  <si>
    <t>head, design, ok</t>
  </si>
  <si>
    <t>most, boy, throughout</t>
  </si>
  <si>
    <t>loss, everybody, probably</t>
  </si>
  <si>
    <t>until, so, out</t>
  </si>
  <si>
    <t>industry, pick, trip</t>
  </si>
  <si>
    <t>as, she, eat</t>
  </si>
  <si>
    <t>sit, cup, oil</t>
  </si>
  <si>
    <t>follow, any, south</t>
  </si>
  <si>
    <t>issue, rather, institution</t>
  </si>
  <si>
    <t>research, fast, role</t>
  </si>
  <si>
    <t>compare, source, recent</t>
  </si>
  <si>
    <t>throughout, grow, sort</t>
  </si>
  <si>
    <t>consumer, lot, good</t>
  </si>
  <si>
    <t>up, you, from</t>
  </si>
  <si>
    <t>minute, detail, decide</t>
  </si>
  <si>
    <t>card, main, theory</t>
  </si>
  <si>
    <t>claim, plan, possible</t>
  </si>
  <si>
    <t>health, your, behind</t>
  </si>
  <si>
    <t>student, close, collection</t>
  </si>
  <si>
    <t>seek, improve, personal</t>
  </si>
  <si>
    <t>available, crime, center</t>
  </si>
  <si>
    <t>statement, practice, important</t>
  </si>
  <si>
    <t>exactly, history, remember</t>
  </si>
  <si>
    <t>ask, which, for</t>
  </si>
  <si>
    <t>policy, show, beat</t>
  </si>
  <si>
    <t>general, main, behind</t>
  </si>
  <si>
    <t>something, green, yard</t>
  </si>
  <si>
    <t>easy, several, beat</t>
  </si>
  <si>
    <t>top, surface, white</t>
  </si>
  <si>
    <t>computer, everything, serious</t>
  </si>
  <si>
    <t>we, him, five</t>
  </si>
  <si>
    <t>speech, mean, ready</t>
  </si>
  <si>
    <t>pretty, usually, away</t>
  </si>
  <si>
    <t>price, seek, responsibility</t>
  </si>
  <si>
    <t>policy, work, clear</t>
  </si>
  <si>
    <t>market, tree, address</t>
  </si>
  <si>
    <t>point, guess, likely</t>
  </si>
  <si>
    <t>amount, hour, play</t>
  </si>
  <si>
    <t>ago, production, sort</t>
  </si>
  <si>
    <t>sing, line, same</t>
  </si>
  <si>
    <t>account, response, you</t>
  </si>
  <si>
    <t>really, society, moment</t>
  </si>
  <si>
    <t>born, home, those</t>
  </si>
  <si>
    <t>I, positive, chance</t>
  </si>
  <si>
    <t>compare, agency, drug</t>
  </si>
  <si>
    <t>prepare, detail, responsibility</t>
  </si>
  <si>
    <t>pick, include, similar</t>
  </si>
  <si>
    <t>important, entire, remain</t>
  </si>
  <si>
    <t>admit, feel, character</t>
  </si>
  <si>
    <t>community, reflect, attack</t>
  </si>
  <si>
    <t>human, test, million</t>
  </si>
  <si>
    <t>music, someone, from</t>
  </si>
  <si>
    <t>soldier, billion, trouble</t>
  </si>
  <si>
    <t>party, general, choose</t>
  </si>
  <si>
    <t>general, to, officer</t>
  </si>
  <si>
    <t>day, poor, site</t>
  </si>
  <si>
    <t>and, resource, democratic</t>
  </si>
  <si>
    <t>true, more, both</t>
  </si>
  <si>
    <t>item, director, model</t>
  </si>
  <si>
    <t>capital, nature, toward</t>
  </si>
  <si>
    <t>paper, probably, stage</t>
  </si>
  <si>
    <t>provide, order, full</t>
  </si>
  <si>
    <t>activity, production, show</t>
  </si>
  <si>
    <t>citizen, computer, tree</t>
  </si>
  <si>
    <t>dark, make, small</t>
  </si>
  <si>
    <t>thing, stuff, price</t>
  </si>
  <si>
    <t>involve, city, term</t>
  </si>
  <si>
    <t>support, wish, positive</t>
  </si>
  <si>
    <t>industry, friend, old</t>
  </si>
  <si>
    <t>member, describe, house</t>
  </si>
  <si>
    <t>miss, design, idea</t>
  </si>
  <si>
    <t>chair, send, eight</t>
  </si>
  <si>
    <t>activity, whatever, itself</t>
  </si>
  <si>
    <t>you, sit, address</t>
  </si>
  <si>
    <t>reality, charge, arm</t>
  </si>
  <si>
    <t>southern, discussion, street</t>
  </si>
  <si>
    <t>price, evidence, tax</t>
  </si>
  <si>
    <t>environmental, reason, population</t>
  </si>
  <si>
    <t>vote, yet, age</t>
  </si>
  <si>
    <t>represent, indeed, hold</t>
  </si>
  <si>
    <t>off, huge, spend</t>
  </si>
  <si>
    <t>stand, stock, debate</t>
  </si>
  <si>
    <t>step, heart, us</t>
  </si>
  <si>
    <t>race, above, scientist</t>
  </si>
  <si>
    <t>player, professional, send</t>
  </si>
  <si>
    <t>heavy, quite, two</t>
  </si>
  <si>
    <t>involve, reduce, foreign</t>
  </si>
  <si>
    <t>paper, role, city</t>
  </si>
  <si>
    <t>both, put, may</t>
  </si>
  <si>
    <t>quite, research, technology</t>
  </si>
  <si>
    <t>me, future, Mrs</t>
  </si>
  <si>
    <t>join, trade, up</t>
  </si>
  <si>
    <t>left, all, first</t>
  </si>
  <si>
    <t>final, remember, front</t>
  </si>
  <si>
    <t>race, industry, sister</t>
  </si>
  <si>
    <t>media, several, price</t>
  </si>
  <si>
    <t>technology, left, individual</t>
  </si>
  <si>
    <t>raise, manager, people</t>
  </si>
  <si>
    <t>identify, father, sea</t>
  </si>
  <si>
    <t>quickly, rock, company</t>
  </si>
  <si>
    <t>reason, TV, base</t>
  </si>
  <si>
    <t>court, sport, animal</t>
  </si>
  <si>
    <t>pass, range, appear</t>
  </si>
  <si>
    <t>body, writer, challenge</t>
  </si>
  <si>
    <t>again, recently, body</t>
  </si>
  <si>
    <t>figure, collection, stay</t>
  </si>
  <si>
    <t>fine, real, young</t>
  </si>
  <si>
    <t>people, remember, hospital</t>
  </si>
  <si>
    <t>not, important, hour</t>
  </si>
  <si>
    <t>best, name, door</t>
  </si>
  <si>
    <t>peace, no, population</t>
  </si>
  <si>
    <t>purpose, on, begin</t>
  </si>
  <si>
    <t>animal, identify, energy</t>
  </si>
  <si>
    <t>so, reveal, fine</t>
  </si>
  <si>
    <t>point, stop, positive</t>
  </si>
  <si>
    <t>ahead, task, Democrat</t>
  </si>
  <si>
    <t>voice, pass, several</t>
  </si>
  <si>
    <t>minute, attention, often</t>
  </si>
  <si>
    <t>firm, foot, audience</t>
  </si>
  <si>
    <t>interest, responsibility, enter</t>
  </si>
  <si>
    <t>those, probably, agency</t>
  </si>
  <si>
    <t>high, sit, beautiful</t>
  </si>
  <si>
    <t>news, and, visit</t>
  </si>
  <si>
    <t>thought, animal, TV</t>
  </si>
  <si>
    <t>support, then, stop</t>
  </si>
  <si>
    <t>improve, could, seem</t>
  </si>
  <si>
    <t>single, Mrs, husband</t>
  </si>
  <si>
    <t>learn, safe, could</t>
  </si>
  <si>
    <t>step, know, wind</t>
  </si>
  <si>
    <t>his, director, determine</t>
  </si>
  <si>
    <t>well, threat, pull</t>
  </si>
  <si>
    <t>kid, well, focus</t>
  </si>
  <si>
    <t>American, fish, sense</t>
  </si>
  <si>
    <t>citizen, court, science</t>
  </si>
  <si>
    <t>law, cultural, until</t>
  </si>
  <si>
    <t>smile, pressure, whether</t>
  </si>
  <si>
    <t>president, perhaps, direction</t>
  </si>
  <si>
    <t>parent, everyone, heart</t>
  </si>
  <si>
    <t>thing, and, special</t>
  </si>
  <si>
    <t>month, sense, instead</t>
  </si>
  <si>
    <t>better, laugh, individual</t>
  </si>
  <si>
    <t>hold, field, cell</t>
  </si>
  <si>
    <t>must, hospital, strategy</t>
  </si>
  <si>
    <t>head, defense, wonder</t>
  </si>
  <si>
    <t>off, should, position</t>
  </si>
  <si>
    <t>cut, conference, policy</t>
  </si>
  <si>
    <t>store, marriage, between</t>
  </si>
  <si>
    <t>Congress, only, positive</t>
  </si>
  <si>
    <t>evidence, remember, since</t>
  </si>
  <si>
    <t>apply, president, spend</t>
  </si>
  <si>
    <t>easy, green, top</t>
  </si>
  <si>
    <t>themselves, economy, room</t>
  </si>
  <si>
    <t>challenge, rather, simply</t>
  </si>
  <si>
    <t>security, civil, air</t>
  </si>
  <si>
    <t>tonight, cover, moment</t>
  </si>
  <si>
    <t>end, teach, start</t>
  </si>
  <si>
    <t>parent, get, best</t>
  </si>
  <si>
    <t>statement, eight, have</t>
  </si>
  <si>
    <t>spring, even, within</t>
  </si>
  <si>
    <t>evidence, suffer, ok</t>
  </si>
  <si>
    <t>nation, cause, son</t>
  </si>
  <si>
    <t>left, five, note</t>
  </si>
  <si>
    <t>although, add, others</t>
  </si>
  <si>
    <t>Total Engagement</t>
  </si>
  <si>
    <t>Engagement Rate</t>
  </si>
  <si>
    <t>ctr category</t>
  </si>
  <si>
    <t>Engagement Level</t>
  </si>
  <si>
    <t>Post_time_catagory</t>
  </si>
  <si>
    <t>Row Labels</t>
  </si>
  <si>
    <t>Grand Total</t>
  </si>
  <si>
    <t>Sum of Total Engagement</t>
  </si>
  <si>
    <t>Average of temp_engagement_rate</t>
  </si>
  <si>
    <t>PIVOT 1: Post Type Performance</t>
  </si>
  <si>
    <r>
      <t>Goal:</t>
    </r>
    <r>
      <rPr>
        <sz val="11"/>
        <color theme="1"/>
        <rFont val="Calibri"/>
        <family val="2"/>
        <scheme val="minor"/>
      </rPr>
      <t xml:space="preserve"> Which content works best?</t>
    </r>
  </si>
  <si>
    <t>Best Posting Time</t>
  </si>
  <si>
    <t>Afternoon</t>
  </si>
  <si>
    <t>Morning</t>
  </si>
  <si>
    <t>Evening</t>
  </si>
  <si>
    <t>Night</t>
  </si>
  <si>
    <t>Top Posts</t>
  </si>
  <si>
    <t>Hashtag Impact</t>
  </si>
  <si>
    <t>new hashtag</t>
  </si>
  <si>
    <t>white</t>
  </si>
  <si>
    <t>High CTR</t>
  </si>
  <si>
    <t>High</t>
  </si>
  <si>
    <t>friend</t>
  </si>
  <si>
    <t>nothing</t>
  </si>
  <si>
    <t>through</t>
  </si>
  <si>
    <t>again</t>
  </si>
  <si>
    <t>once</t>
  </si>
  <si>
    <t>pull</t>
  </si>
  <si>
    <t>food</t>
  </si>
  <si>
    <t>blood</t>
  </si>
  <si>
    <t>personal</t>
  </si>
  <si>
    <t>accept</t>
  </si>
  <si>
    <t>unit</t>
  </si>
  <si>
    <t>make</t>
  </si>
  <si>
    <t>when</t>
  </si>
  <si>
    <t>debate</t>
  </si>
  <si>
    <t>another</t>
  </si>
  <si>
    <t>theory</t>
  </si>
  <si>
    <t>view</t>
  </si>
  <si>
    <t>the</t>
  </si>
  <si>
    <t>can</t>
  </si>
  <si>
    <t>PM</t>
  </si>
  <si>
    <t>plan</t>
  </si>
  <si>
    <t>already</t>
  </si>
  <si>
    <t>far</t>
  </si>
  <si>
    <t>help</t>
  </si>
  <si>
    <t>authority</t>
  </si>
  <si>
    <t>example</t>
  </si>
  <si>
    <t>west</t>
  </si>
  <si>
    <t>wide</t>
  </si>
  <si>
    <t>remain</t>
  </si>
  <si>
    <t>and</t>
  </si>
  <si>
    <t>style</t>
  </si>
  <si>
    <t>father</t>
  </si>
  <si>
    <t>they</t>
  </si>
  <si>
    <t>continue</t>
  </si>
  <si>
    <t>mouth</t>
  </si>
  <si>
    <t>significant</t>
  </si>
  <si>
    <t>total</t>
  </si>
  <si>
    <t>others</t>
  </si>
  <si>
    <t>quickly</t>
  </si>
  <si>
    <t>among</t>
  </si>
  <si>
    <t>floor</t>
  </si>
  <si>
    <t>natural</t>
  </si>
  <si>
    <t>building</t>
  </si>
  <si>
    <t>good</t>
  </si>
  <si>
    <t>guess</t>
  </si>
  <si>
    <t>growth</t>
  </si>
  <si>
    <t>ready</t>
  </si>
  <si>
    <t>market</t>
  </si>
  <si>
    <t>finally</t>
  </si>
  <si>
    <t>by</t>
  </si>
  <si>
    <t>drop</t>
  </si>
  <si>
    <t>likely</t>
  </si>
  <si>
    <t>number</t>
  </si>
  <si>
    <t>true</t>
  </si>
  <si>
    <t>job</t>
  </si>
  <si>
    <t>final</t>
  </si>
  <si>
    <t>glass</t>
  </si>
  <si>
    <t>instead</t>
  </si>
  <si>
    <t>green</t>
  </si>
  <si>
    <t>strategy</t>
  </si>
  <si>
    <t>too</t>
  </si>
  <si>
    <t>old</t>
  </si>
  <si>
    <t>product</t>
  </si>
  <si>
    <t>play</t>
  </si>
  <si>
    <t>only</t>
  </si>
  <si>
    <t>yard</t>
  </si>
  <si>
    <t>picture</t>
  </si>
  <si>
    <t>turn</t>
  </si>
  <si>
    <t>large</t>
  </si>
  <si>
    <t>add</t>
  </si>
  <si>
    <t>amount</t>
  </si>
  <si>
    <t>since</t>
  </si>
  <si>
    <t>state</t>
  </si>
  <si>
    <t>will</t>
  </si>
  <si>
    <t>find</t>
  </si>
  <si>
    <t>space</t>
  </si>
  <si>
    <t>must</t>
  </si>
  <si>
    <t>although</t>
  </si>
  <si>
    <t>win</t>
  </si>
  <si>
    <t>company</t>
  </si>
  <si>
    <t>city</t>
  </si>
  <si>
    <t>man</t>
  </si>
  <si>
    <t>thing</t>
  </si>
  <si>
    <t>quality</t>
  </si>
  <si>
    <t>follow</t>
  </si>
  <si>
    <t>soon</t>
  </si>
  <si>
    <t>course</t>
  </si>
  <si>
    <t>one</t>
  </si>
  <si>
    <t>action</t>
  </si>
  <si>
    <t>shoulder</t>
  </si>
  <si>
    <t>skin</t>
  </si>
  <si>
    <t>certainly</t>
  </si>
  <si>
    <t>pick</t>
  </si>
  <si>
    <t>success</t>
  </si>
  <si>
    <t>professor</t>
  </si>
  <si>
    <t>society</t>
  </si>
  <si>
    <t>guy</t>
  </si>
  <si>
    <t>effort</t>
  </si>
  <si>
    <t>star</t>
  </si>
  <si>
    <t>nature</t>
  </si>
  <si>
    <t>front</t>
  </si>
  <si>
    <t>four</t>
  </si>
  <si>
    <t>here</t>
  </si>
  <si>
    <t>serious</t>
  </si>
  <si>
    <t>send</t>
  </si>
  <si>
    <t>president</t>
  </si>
  <si>
    <t>fish</t>
  </si>
  <si>
    <t>point</t>
  </si>
  <si>
    <t>stage</t>
  </si>
  <si>
    <t>we</t>
  </si>
  <si>
    <t>begin</t>
  </si>
  <si>
    <t>card</t>
  </si>
  <si>
    <t>fall</t>
  </si>
  <si>
    <t>buy</t>
  </si>
  <si>
    <t>relate</t>
  </si>
  <si>
    <t>campaign</t>
  </si>
  <si>
    <t>scene</t>
  </si>
  <si>
    <t>court</t>
  </si>
  <si>
    <t>section</t>
  </si>
  <si>
    <t>low</t>
  </si>
  <si>
    <t>popular</t>
  </si>
  <si>
    <t>investment</t>
  </si>
  <si>
    <t>body</t>
  </si>
  <si>
    <t>look</t>
  </si>
  <si>
    <t>business</t>
  </si>
  <si>
    <t>peace</t>
  </si>
  <si>
    <t>activity</t>
  </si>
  <si>
    <t>type</t>
  </si>
  <si>
    <t>ability</t>
  </si>
  <si>
    <t>phone</t>
  </si>
  <si>
    <t>free</t>
  </si>
  <si>
    <t>believe</t>
  </si>
  <si>
    <t>also</t>
  </si>
  <si>
    <t>lawyer</t>
  </si>
  <si>
    <t>wait</t>
  </si>
  <si>
    <t>while</t>
  </si>
  <si>
    <t>perhaps</t>
  </si>
  <si>
    <t>fund</t>
  </si>
  <si>
    <t>treat</t>
  </si>
  <si>
    <t>Low CTR</t>
  </si>
  <si>
    <t>resource</t>
  </si>
  <si>
    <t>seven</t>
  </si>
  <si>
    <t>himself</t>
  </si>
  <si>
    <t>after</t>
  </si>
  <si>
    <t>discuss</t>
  </si>
  <si>
    <t>note</t>
  </si>
  <si>
    <t>cold</t>
  </si>
  <si>
    <t>upon</t>
  </si>
  <si>
    <t>record</t>
  </si>
  <si>
    <t>whose</t>
  </si>
  <si>
    <t>adult</t>
  </si>
  <si>
    <t>participant</t>
  </si>
  <si>
    <t>agent</t>
  </si>
  <si>
    <t>thousand</t>
  </si>
  <si>
    <t>data</t>
  </si>
  <si>
    <t>allow</t>
  </si>
  <si>
    <t>outside</t>
  </si>
  <si>
    <t>work</t>
  </si>
  <si>
    <t>save</t>
  </si>
  <si>
    <t>person</t>
  </si>
  <si>
    <t>myself</t>
  </si>
  <si>
    <t>teacher</t>
  </si>
  <si>
    <t>control</t>
  </si>
  <si>
    <t>performance</t>
  </si>
  <si>
    <t>back</t>
  </si>
  <si>
    <t>prevent</t>
  </si>
  <si>
    <t>nice</t>
  </si>
  <si>
    <t>chance</t>
  </si>
  <si>
    <t>middle</t>
  </si>
  <si>
    <t>author</t>
  </si>
  <si>
    <t>production</t>
  </si>
  <si>
    <t>next</t>
  </si>
  <si>
    <t>staff</t>
  </si>
  <si>
    <t>Democrat</t>
  </si>
  <si>
    <t>but</t>
  </si>
  <si>
    <t>short</t>
  </si>
  <si>
    <t>main</t>
  </si>
  <si>
    <t>what</t>
  </si>
  <si>
    <t>research</t>
  </si>
  <si>
    <t>hospital</t>
  </si>
  <si>
    <t>risk</t>
  </si>
  <si>
    <t>stop</t>
  </si>
  <si>
    <t>result</t>
  </si>
  <si>
    <t>process</t>
  </si>
  <si>
    <t>new</t>
  </si>
  <si>
    <t>my</t>
  </si>
  <si>
    <t>it</t>
  </si>
  <si>
    <t>marriage</t>
  </si>
  <si>
    <t>feel</t>
  </si>
  <si>
    <t>enough</t>
  </si>
  <si>
    <t>law</t>
  </si>
  <si>
    <t>into</t>
  </si>
  <si>
    <t>draw</t>
  </si>
  <si>
    <t>character</t>
  </si>
  <si>
    <t>machine</t>
  </si>
  <si>
    <t>still</t>
  </si>
  <si>
    <t>beautiful</t>
  </si>
  <si>
    <t>plant</t>
  </si>
  <si>
    <t>south</t>
  </si>
  <si>
    <t>capital</t>
  </si>
  <si>
    <t>seek</t>
  </si>
  <si>
    <t>there</t>
  </si>
  <si>
    <t>current</t>
  </si>
  <si>
    <t>tree</t>
  </si>
  <si>
    <t>election</t>
  </si>
  <si>
    <t>certain</t>
  </si>
  <si>
    <t>interview</t>
  </si>
  <si>
    <t>watch</t>
  </si>
  <si>
    <t>article</t>
  </si>
  <si>
    <t>service</t>
  </si>
  <si>
    <t>each</t>
  </si>
  <si>
    <t>usually</t>
  </si>
  <si>
    <t>response</t>
  </si>
  <si>
    <t>because</t>
  </si>
  <si>
    <t>future</t>
  </si>
  <si>
    <t>pattern</t>
  </si>
  <si>
    <t>very</t>
  </si>
  <si>
    <t>none</t>
  </si>
  <si>
    <t>speak</t>
  </si>
  <si>
    <t>ago</t>
  </si>
  <si>
    <t>area</t>
  </si>
  <si>
    <t>huge</t>
  </si>
  <si>
    <t>lose</t>
  </si>
  <si>
    <t>community</t>
  </si>
  <si>
    <t>someone</t>
  </si>
  <si>
    <t>kid</t>
  </si>
  <si>
    <t>do</t>
  </si>
  <si>
    <t>think</t>
  </si>
  <si>
    <t>before</t>
  </si>
  <si>
    <t>half</t>
  </si>
  <si>
    <t>face</t>
  </si>
  <si>
    <t>step</t>
  </si>
  <si>
    <t>perform</t>
  </si>
  <si>
    <t>herself</t>
  </si>
  <si>
    <t>rather</t>
  </si>
  <si>
    <t>analysis</t>
  </si>
  <si>
    <t>try</t>
  </si>
  <si>
    <t>sign</t>
  </si>
  <si>
    <t>quite</t>
  </si>
  <si>
    <t>season</t>
  </si>
  <si>
    <t>a</t>
  </si>
  <si>
    <t>either</t>
  </si>
  <si>
    <t>happy</t>
  </si>
  <si>
    <t>small</t>
  </si>
  <si>
    <t>enter</t>
  </si>
  <si>
    <t>teach</t>
  </si>
  <si>
    <t>admit</t>
  </si>
  <si>
    <t>bank</t>
  </si>
  <si>
    <t>yes</t>
  </si>
  <si>
    <t>voice</t>
  </si>
  <si>
    <t>piece</t>
  </si>
  <si>
    <t>name</t>
  </si>
  <si>
    <t>reflect</t>
  </si>
  <si>
    <t>under</t>
  </si>
  <si>
    <t>near</t>
  </si>
  <si>
    <t>would</t>
  </si>
  <si>
    <t>heart</t>
  </si>
  <si>
    <t>tend</t>
  </si>
  <si>
    <t>stay</t>
  </si>
  <si>
    <t>heavy</t>
  </si>
  <si>
    <t>oil</t>
  </si>
  <si>
    <t>study</t>
  </si>
  <si>
    <t>line</t>
  </si>
  <si>
    <t>street</t>
  </si>
  <si>
    <t>parent</t>
  </si>
  <si>
    <t>give</t>
  </si>
  <si>
    <t>everything</t>
  </si>
  <si>
    <t>different</t>
  </si>
  <si>
    <t>term</t>
  </si>
  <si>
    <t>protect</t>
  </si>
  <si>
    <t>just</t>
  </si>
  <si>
    <t>me</t>
  </si>
  <si>
    <t>other</t>
  </si>
  <si>
    <t>first</t>
  </si>
  <si>
    <t>imagine</t>
  </si>
  <si>
    <t>cause</t>
  </si>
  <si>
    <t>produce</t>
  </si>
  <si>
    <t>could</t>
  </si>
  <si>
    <t>itself</t>
  </si>
  <si>
    <t>life</t>
  </si>
  <si>
    <t>film</t>
  </si>
  <si>
    <t>race</t>
  </si>
  <si>
    <t>career</t>
  </si>
  <si>
    <t>project</t>
  </si>
  <si>
    <t>great</t>
  </si>
  <si>
    <t>contain</t>
  </si>
  <si>
    <t>consider</t>
  </si>
  <si>
    <t>show</t>
  </si>
  <si>
    <t>tonight</t>
  </si>
  <si>
    <t>practice</t>
  </si>
  <si>
    <t>open</t>
  </si>
  <si>
    <t>thought</t>
  </si>
  <si>
    <t>remember</t>
  </si>
  <si>
    <t>generation</t>
  </si>
  <si>
    <t>air</t>
  </si>
  <si>
    <t>similar</t>
  </si>
  <si>
    <t>Mrs</t>
  </si>
  <si>
    <t>arm</t>
  </si>
  <si>
    <t>best</t>
  </si>
  <si>
    <t>memory</t>
  </si>
  <si>
    <t>sit</t>
  </si>
  <si>
    <t>rich</t>
  </si>
  <si>
    <t>fine</t>
  </si>
  <si>
    <t>base</t>
  </si>
  <si>
    <t>assume</t>
  </si>
  <si>
    <t>establish</t>
  </si>
  <si>
    <t>wonder</t>
  </si>
  <si>
    <t>thank</t>
  </si>
  <si>
    <t>behavior</t>
  </si>
  <si>
    <t>successful</t>
  </si>
  <si>
    <t>truth</t>
  </si>
  <si>
    <t>recognize</t>
  </si>
  <si>
    <t>little</t>
  </si>
  <si>
    <t>answer</t>
  </si>
  <si>
    <t>on</t>
  </si>
  <si>
    <t>art</t>
  </si>
  <si>
    <t>its</t>
  </si>
  <si>
    <t>ball</t>
  </si>
  <si>
    <t>wear</t>
  </si>
  <si>
    <t>better</t>
  </si>
  <si>
    <t>people</t>
  </si>
  <si>
    <t>policy</t>
  </si>
  <si>
    <t>improve</t>
  </si>
  <si>
    <t>baby</t>
  </si>
  <si>
    <t>cultural</t>
  </si>
  <si>
    <t>animal</t>
  </si>
  <si>
    <t>who</t>
  </si>
  <si>
    <t>idea</t>
  </si>
  <si>
    <t>attorney</t>
  </si>
  <si>
    <t>build</t>
  </si>
  <si>
    <t>want</t>
  </si>
  <si>
    <t>window</t>
  </si>
  <si>
    <t>group</t>
  </si>
  <si>
    <t>minute</t>
  </si>
  <si>
    <t>head</t>
  </si>
  <si>
    <t>design</t>
  </si>
  <si>
    <t>ok</t>
  </si>
  <si>
    <t>most</t>
  </si>
  <si>
    <t>boy</t>
  </si>
  <si>
    <t>throughout</t>
  </si>
  <si>
    <t>loss</t>
  </si>
  <si>
    <t>everybody</t>
  </si>
  <si>
    <t>probably</t>
  </si>
  <si>
    <t>until</t>
  </si>
  <si>
    <t>so</t>
  </si>
  <si>
    <t>out</t>
  </si>
  <si>
    <t>industry</t>
  </si>
  <si>
    <t>trip</t>
  </si>
  <si>
    <t>as</t>
  </si>
  <si>
    <t>she</t>
  </si>
  <si>
    <t>eat</t>
  </si>
  <si>
    <t>cup</t>
  </si>
  <si>
    <t>any</t>
  </si>
  <si>
    <t>issue</t>
  </si>
  <si>
    <t>institution</t>
  </si>
  <si>
    <t>fast</t>
  </si>
  <si>
    <t>role</t>
  </si>
  <si>
    <t>compare</t>
  </si>
  <si>
    <t>source</t>
  </si>
  <si>
    <t>recent</t>
  </si>
  <si>
    <t>grow</t>
  </si>
  <si>
    <t>sort</t>
  </si>
  <si>
    <t>consumer</t>
  </si>
  <si>
    <t>lot</t>
  </si>
  <si>
    <t>up</t>
  </si>
  <si>
    <t>you</t>
  </si>
  <si>
    <t>from</t>
  </si>
  <si>
    <t>detail</t>
  </si>
  <si>
    <t>decide</t>
  </si>
  <si>
    <t>claim</t>
  </si>
  <si>
    <t>possible</t>
  </si>
  <si>
    <t>health</t>
  </si>
  <si>
    <t>your</t>
  </si>
  <si>
    <t>behind</t>
  </si>
  <si>
    <t>student</t>
  </si>
  <si>
    <t>close</t>
  </si>
  <si>
    <t>collection</t>
  </si>
  <si>
    <t>available</t>
  </si>
  <si>
    <t>crime</t>
  </si>
  <si>
    <t>center</t>
  </si>
  <si>
    <t>statement</t>
  </si>
  <si>
    <t>important</t>
  </si>
  <si>
    <t>exactly</t>
  </si>
  <si>
    <t>history</t>
  </si>
  <si>
    <t>ask</t>
  </si>
  <si>
    <t>which</t>
  </si>
  <si>
    <t>for</t>
  </si>
  <si>
    <t>beat</t>
  </si>
  <si>
    <t>general</t>
  </si>
  <si>
    <t>something</t>
  </si>
  <si>
    <t>easy</t>
  </si>
  <si>
    <t>several</t>
  </si>
  <si>
    <t>top</t>
  </si>
  <si>
    <t>surface</t>
  </si>
  <si>
    <t>computer</t>
  </si>
  <si>
    <t>him</t>
  </si>
  <si>
    <t>five</t>
  </si>
  <si>
    <t>speech</t>
  </si>
  <si>
    <t>mean</t>
  </si>
  <si>
    <t>pretty</t>
  </si>
  <si>
    <t>away</t>
  </si>
  <si>
    <t>price</t>
  </si>
  <si>
    <t>responsibility</t>
  </si>
  <si>
    <t>clear</t>
  </si>
  <si>
    <t>address</t>
  </si>
  <si>
    <t>hour</t>
  </si>
  <si>
    <t>sing</t>
  </si>
  <si>
    <t>same</t>
  </si>
  <si>
    <t>account</t>
  </si>
  <si>
    <t>really</t>
  </si>
  <si>
    <t>moment</t>
  </si>
  <si>
    <t>born</t>
  </si>
  <si>
    <t>home</t>
  </si>
  <si>
    <t>those</t>
  </si>
  <si>
    <t>I</t>
  </si>
  <si>
    <t>positive</t>
  </si>
  <si>
    <t>agency</t>
  </si>
  <si>
    <t>drug</t>
  </si>
  <si>
    <t>prepare</t>
  </si>
  <si>
    <t>include</t>
  </si>
  <si>
    <t>entire</t>
  </si>
  <si>
    <t>attack</t>
  </si>
  <si>
    <t>human</t>
  </si>
  <si>
    <t>test</t>
  </si>
  <si>
    <t>million</t>
  </si>
  <si>
    <t>music</t>
  </si>
  <si>
    <t>soldier</t>
  </si>
  <si>
    <t>billion</t>
  </si>
  <si>
    <t>trouble</t>
  </si>
  <si>
    <t>party</t>
  </si>
  <si>
    <t>choose</t>
  </si>
  <si>
    <t>to</t>
  </si>
  <si>
    <t>officer</t>
  </si>
  <si>
    <t>day</t>
  </si>
  <si>
    <t>poor</t>
  </si>
  <si>
    <t>site</t>
  </si>
  <si>
    <t>democratic</t>
  </si>
  <si>
    <t>more</t>
  </si>
  <si>
    <t>both</t>
  </si>
  <si>
    <t>item</t>
  </si>
  <si>
    <t>director</t>
  </si>
  <si>
    <t>model</t>
  </si>
  <si>
    <t>toward</t>
  </si>
  <si>
    <t>paper</t>
  </si>
  <si>
    <t>provide</t>
  </si>
  <si>
    <t>order</t>
  </si>
  <si>
    <t>full</t>
  </si>
  <si>
    <t>citizen</t>
  </si>
  <si>
    <t>dark</t>
  </si>
  <si>
    <t>stuff</t>
  </si>
  <si>
    <t>involve</t>
  </si>
  <si>
    <t>support</t>
  </si>
  <si>
    <t>wish</t>
  </si>
  <si>
    <t>member</t>
  </si>
  <si>
    <t>describe</t>
  </si>
  <si>
    <t>house</t>
  </si>
  <si>
    <t>miss</t>
  </si>
  <si>
    <t>chair</t>
  </si>
  <si>
    <t>eight</t>
  </si>
  <si>
    <t>whatever</t>
  </si>
  <si>
    <t>reality</t>
  </si>
  <si>
    <t>charge</t>
  </si>
  <si>
    <t>southern</t>
  </si>
  <si>
    <t>discussion</t>
  </si>
  <si>
    <t>evidence</t>
  </si>
  <si>
    <t>tax</t>
  </si>
  <si>
    <t>environmental</t>
  </si>
  <si>
    <t>reason</t>
  </si>
  <si>
    <t>population</t>
  </si>
  <si>
    <t>vote</t>
  </si>
  <si>
    <t>yet</t>
  </si>
  <si>
    <t>age</t>
  </si>
  <si>
    <t>represent</t>
  </si>
  <si>
    <t>indeed</t>
  </si>
  <si>
    <t>hold</t>
  </si>
  <si>
    <t>off</t>
  </si>
  <si>
    <t>spend</t>
  </si>
  <si>
    <t>stand</t>
  </si>
  <si>
    <t>stock</t>
  </si>
  <si>
    <t>us</t>
  </si>
  <si>
    <t>above</t>
  </si>
  <si>
    <t>scientist</t>
  </si>
  <si>
    <t>player</t>
  </si>
  <si>
    <t>professional</t>
  </si>
  <si>
    <t>two</t>
  </si>
  <si>
    <t>reduce</t>
  </si>
  <si>
    <t>foreign</t>
  </si>
  <si>
    <t>put</t>
  </si>
  <si>
    <t>may</t>
  </si>
  <si>
    <t>technology</t>
  </si>
  <si>
    <t>join</t>
  </si>
  <si>
    <t>trade</t>
  </si>
  <si>
    <t>left</t>
  </si>
  <si>
    <t>all</t>
  </si>
  <si>
    <t>sister</t>
  </si>
  <si>
    <t>media</t>
  </si>
  <si>
    <t>individual</t>
  </si>
  <si>
    <t>raise</t>
  </si>
  <si>
    <t>manager</t>
  </si>
  <si>
    <t>identify</t>
  </si>
  <si>
    <t>sea</t>
  </si>
  <si>
    <t>rock</t>
  </si>
  <si>
    <t>TV</t>
  </si>
  <si>
    <t>sport</t>
  </si>
  <si>
    <t>pass</t>
  </si>
  <si>
    <t>range</t>
  </si>
  <si>
    <t>appear</t>
  </si>
  <si>
    <t>writer</t>
  </si>
  <si>
    <t>challenge</t>
  </si>
  <si>
    <t>recently</t>
  </si>
  <si>
    <t>figure</t>
  </si>
  <si>
    <t>real</t>
  </si>
  <si>
    <t>young</t>
  </si>
  <si>
    <t>not</t>
  </si>
  <si>
    <t>door</t>
  </si>
  <si>
    <t>no</t>
  </si>
  <si>
    <t>purpose</t>
  </si>
  <si>
    <t>energy</t>
  </si>
  <si>
    <t>reveal</t>
  </si>
  <si>
    <t>ahead</t>
  </si>
  <si>
    <t>task</t>
  </si>
  <si>
    <t>attention</t>
  </si>
  <si>
    <t>often</t>
  </si>
  <si>
    <t>firm</t>
  </si>
  <si>
    <t>foot</t>
  </si>
  <si>
    <t>audience</t>
  </si>
  <si>
    <t>interest</t>
  </si>
  <si>
    <t>high</t>
  </si>
  <si>
    <t>news</t>
  </si>
  <si>
    <t>visit</t>
  </si>
  <si>
    <t>then</t>
  </si>
  <si>
    <t>seem</t>
  </si>
  <si>
    <t>single</t>
  </si>
  <si>
    <t>husband</t>
  </si>
  <si>
    <t>learn</t>
  </si>
  <si>
    <t>safe</t>
  </si>
  <si>
    <t>know</t>
  </si>
  <si>
    <t>wind</t>
  </si>
  <si>
    <t>his</t>
  </si>
  <si>
    <t>determine</t>
  </si>
  <si>
    <t>well</t>
  </si>
  <si>
    <t>threat</t>
  </si>
  <si>
    <t>focus</t>
  </si>
  <si>
    <t>American</t>
  </si>
  <si>
    <t>sense</t>
  </si>
  <si>
    <t>science</t>
  </si>
  <si>
    <t>smile</t>
  </si>
  <si>
    <t>pressure</t>
  </si>
  <si>
    <t>whether</t>
  </si>
  <si>
    <t>direction</t>
  </si>
  <si>
    <t>everyone</t>
  </si>
  <si>
    <t>special</t>
  </si>
  <si>
    <t>month</t>
  </si>
  <si>
    <t>laugh</t>
  </si>
  <si>
    <t>field</t>
  </si>
  <si>
    <t>cell</t>
  </si>
  <si>
    <t>defense</t>
  </si>
  <si>
    <t>should</t>
  </si>
  <si>
    <t>position</t>
  </si>
  <si>
    <t>cut</t>
  </si>
  <si>
    <t>conference</t>
  </si>
  <si>
    <t>store</t>
  </si>
  <si>
    <t>between</t>
  </si>
  <si>
    <t>Congress</t>
  </si>
  <si>
    <t>apply</t>
  </si>
  <si>
    <t>themselves</t>
  </si>
  <si>
    <t>economy</t>
  </si>
  <si>
    <t>room</t>
  </si>
  <si>
    <t>simply</t>
  </si>
  <si>
    <t>security</t>
  </si>
  <si>
    <t>civil</t>
  </si>
  <si>
    <t>cover</t>
  </si>
  <si>
    <t>end</t>
  </si>
  <si>
    <t>start</t>
  </si>
  <si>
    <t>get</t>
  </si>
  <si>
    <t>have</t>
  </si>
  <si>
    <t>spring</t>
  </si>
  <si>
    <t>even</t>
  </si>
  <si>
    <t>within</t>
  </si>
  <si>
    <t>suffer</t>
  </si>
  <si>
    <t>nation</t>
  </si>
  <si>
    <t>son</t>
  </si>
  <si>
    <t>Average of Total Engagement</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</si>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</sst>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0_ ;_ * \-#,##0.0_ ;_ * &quot;-&quot;??_ ;_ @_ "/>
    <numFmt numFmtId="165" formatCode="[$-F400]h:mm:ss\ AM/PM"/>
  </numFmts>
  <fonts count="10"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1"/>
      <name val="Calibri"/>
      <scheme val="minor"/>
    </font>
    <font>
      <b/>
      <sz val="11"/>
      <name val="Calibri"/>
      <family val="2"/>
    </font>
    <font>
      <sz val="11"/>
      <color rgb="FF000000"/>
      <name val="Calibri"/>
      <family val="2"/>
      <scheme val="minor"/>
    </font>
    <font>
      <b/>
      <sz val="11"/>
      <color theme="1"/>
      <name val="Aptos"/>
      <family val="2"/>
    </font>
    <font>
      <sz val="16"/>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7"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9">
    <xf numFmtId="0" fontId="0" fillId="0" borderId="0" xfId="0"/>
    <xf numFmtId="9" fontId="0" fillId="0" borderId="0" xfId="2" applyFont="1"/>
    <xf numFmtId="2" fontId="0" fillId="0" borderId="0" xfId="0" applyNumberFormat="1"/>
    <xf numFmtId="0" fontId="0" fillId="0" borderId="0" xfId="2" applyNumberFormat="1" applyFont="1"/>
    <xf numFmtId="0" fontId="0" fillId="0" borderId="0" xfId="0" quotePrefix="1"/>
    <xf numFmtId="0" fontId="1" fillId="2" borderId="1" xfId="0" applyFont="1" applyFill="1" applyBorder="1" applyAlignment="1">
      <alignment horizontal="center" vertical="top"/>
    </xf>
    <xf numFmtId="2" fontId="1" fillId="2" borderId="1" xfId="0" applyNumberFormat="1" applyFont="1" applyFill="1" applyBorder="1" applyAlignment="1">
      <alignment horizontal="center" vertical="top"/>
    </xf>
    <xf numFmtId="9" fontId="1" fillId="2" borderId="1" xfId="2" applyFont="1" applyFill="1" applyBorder="1" applyAlignment="1">
      <alignment horizontal="center" vertical="top"/>
    </xf>
    <xf numFmtId="9" fontId="4" fillId="2" borderId="2" xfId="2" applyFont="1" applyFill="1" applyBorder="1" applyAlignment="1">
      <alignment horizontal="center" vertical="top"/>
    </xf>
    <xf numFmtId="9" fontId="1" fillId="2" borderId="2" xfId="2" applyFont="1" applyFill="1" applyBorder="1" applyAlignment="1">
      <alignment horizontal="center" vertical="top"/>
    </xf>
    <xf numFmtId="2" fontId="5" fillId="2" borderId="1" xfId="0" applyNumberFormat="1" applyFont="1" applyFill="1" applyBorder="1" applyAlignment="1">
      <alignment horizontal="center" vertical="top"/>
    </xf>
    <xf numFmtId="0" fontId="3" fillId="0" borderId="0" xfId="0" applyFont="1"/>
    <xf numFmtId="9" fontId="5" fillId="2" borderId="1" xfId="2" applyFont="1" applyFill="1" applyBorder="1" applyAlignment="1">
      <alignment horizontal="center" vertical="top"/>
    </xf>
    <xf numFmtId="0" fontId="3" fillId="2" borderId="0" xfId="0" applyFont="1" applyFill="1"/>
    <xf numFmtId="0" fontId="0" fillId="0" borderId="0" xfId="0" pivotButton="1"/>
    <xf numFmtId="0" fontId="0" fillId="0" borderId="0" xfId="0" applyAlignment="1">
      <alignment horizontal="left"/>
    </xf>
    <xf numFmtId="9" fontId="0" fillId="0" borderId="0" xfId="0" applyNumberFormat="1"/>
    <xf numFmtId="0" fontId="1" fillId="2" borderId="1" xfId="1" applyNumberFormat="1" applyFont="1" applyFill="1" applyBorder="1" applyAlignment="1">
      <alignment horizontal="center" vertical="top"/>
    </xf>
    <xf numFmtId="0" fontId="0" fillId="0" borderId="0" xfId="1" applyNumberFormat="1" applyFont="1"/>
    <xf numFmtId="0" fontId="0" fillId="3" borderId="0" xfId="0" applyFill="1" applyAlignment="1">
      <alignment horizontal="center"/>
    </xf>
    <xf numFmtId="0" fontId="0" fillId="3" borderId="0" xfId="0" applyFill="1"/>
    <xf numFmtId="2" fontId="6" fillId="0" borderId="0" xfId="0" applyNumberFormat="1" applyFont="1"/>
    <xf numFmtId="164" fontId="7" fillId="0" borderId="0" xfId="1" applyNumberFormat="1" applyFont="1"/>
    <xf numFmtId="0" fontId="3" fillId="2" borderId="0" xfId="2" applyNumberFormat="1" applyFont="1" applyFill="1"/>
    <xf numFmtId="1" fontId="0" fillId="0" borderId="0" xfId="0" applyNumberFormat="1"/>
    <xf numFmtId="165" fontId="0" fillId="0" borderId="0" xfId="0" applyNumberFormat="1"/>
    <xf numFmtId="0" fontId="8" fillId="0" borderId="0" xfId="0" applyFont="1"/>
    <xf numFmtId="0" fontId="9" fillId="0" borderId="0" xfId="0" applyFont="1" applyAlignment="1">
      <alignment horizontal="center"/>
    </xf>
    <xf numFmtId="0" fontId="0" fillId="3" borderId="0" xfId="0" applyFill="1" applyAlignment="1">
      <alignment horizontal="center"/>
    </xf>
  </cellXfs>
  <cellStyles count="3">
    <cellStyle name="Comma" xfId="1" builtinId="3"/>
    <cellStyle name="Normal" xfId="0" builtinId="0"/>
    <cellStyle name="Percent" xfId="2" builtinId="5"/>
  </cellStyles>
  <dxfs count="17">
    <dxf>
      <numFmt numFmtId="0" formatCode="General"/>
    </dxf>
    <dxf>
      <numFmt numFmtId="0" formatCode="General"/>
    </dxf>
    <dxf>
      <numFmt numFmtId="0" formatCode="General"/>
    </dxf>
    <dxf>
      <numFmt numFmtId="165" formatCode="[$-F400]h:mm:ss\ AM/PM"/>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numFmt numFmtId="2" formatCode="0.00"/>
    </dxf>
    <dxf>
      <numFmt numFmtId="2" formatCode="0.00"/>
    </dxf>
    <dxf>
      <numFmt numFmtId="2" formatCode="0.00"/>
    </dxf>
  </dxfs>
  <tableStyles count="0" defaultTableStyle="TableStyleMedium9" defaultPivotStyle="PivotStyleLight16"/>
  <colors>
    <mruColors>
      <color rgb="FFFF0066"/>
      <color rgb="FFA6E26C"/>
      <color rgb="FFE70000"/>
      <color rgb="FF00366C"/>
      <color rgb="FF006600"/>
      <color rgb="FFFFFF00"/>
      <color rgb="FFCC00FF"/>
      <color rgb="FFFF00FF"/>
      <color rgb="FF60A5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[Social_media_analytics.dash.xlsx]Pivot!PivotTable6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Top</a:t>
            </a:r>
            <a:r>
              <a:rPr lang="en-US" sz="1200" baseline="0"/>
              <a:t> performing Hashtags</a:t>
            </a:r>
            <a:endParaRPr lang="en-US" sz="1200"/>
          </a:p>
        </c:rich>
      </c:tx>
      <c:overlay val="0"/>
      <c:spPr>
        <a:solidFill>
          <a:srgbClr val="A6E26C"/>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Pivot!$H$2:$H$13</c:f>
              <c:strCache>
                <c:ptCount val="11"/>
                <c:pt idx="0">
                  <c:v>task</c:v>
                </c:pt>
                <c:pt idx="1">
                  <c:v>ahead</c:v>
                </c:pt>
                <c:pt idx="2">
                  <c:v>suffer</c:v>
                </c:pt>
                <c:pt idx="3">
                  <c:v>media</c:v>
                </c:pt>
                <c:pt idx="4">
                  <c:v>music</c:v>
                </c:pt>
                <c:pt idx="5">
                  <c:v>while</c:v>
                </c:pt>
                <c:pt idx="6">
                  <c:v>fund</c:v>
                </c:pt>
                <c:pt idx="7">
                  <c:v>indeed</c:v>
                </c:pt>
                <c:pt idx="8">
                  <c:v>represent</c:v>
                </c:pt>
                <c:pt idx="9">
                  <c:v>determine</c:v>
                </c:pt>
                <c:pt idx="10">
                  <c:v>his</c:v>
                </c:pt>
              </c:strCache>
            </c:strRef>
          </c:cat>
          <c:val>
            <c:numRef>
              <c:f>Pivot!$I$2:$I$13</c:f>
              <c:numCache>
                <c:formatCode>General</c:formatCode>
                <c:ptCount val="11"/>
                <c:pt idx="0">
                  <c:v>15657</c:v>
                </c:pt>
                <c:pt idx="1">
                  <c:v>15657</c:v>
                </c:pt>
                <c:pt idx="2">
                  <c:v>15294</c:v>
                </c:pt>
                <c:pt idx="3">
                  <c:v>15201</c:v>
                </c:pt>
                <c:pt idx="4">
                  <c:v>14907</c:v>
                </c:pt>
                <c:pt idx="5">
                  <c:v>14683</c:v>
                </c:pt>
                <c:pt idx="6">
                  <c:v>14683</c:v>
                </c:pt>
                <c:pt idx="7">
                  <c:v>14525</c:v>
                </c:pt>
                <c:pt idx="8">
                  <c:v>14525</c:v>
                </c:pt>
                <c:pt idx="9">
                  <c:v>14468</c:v>
                </c:pt>
                <c:pt idx="10">
                  <c:v>14468</c:v>
                </c:pt>
              </c:numCache>
            </c:numRef>
          </c:val>
          <c:extLst>
            <c:ext xmlns:c16="http://schemas.microsoft.com/office/drawing/2014/chart" uri="{C3380CC4-5D6E-409C-BE32-E72D297353CC}">
              <c16:uniqueId val="{00000000-D614-4AAF-865F-B3D50F41C874}"/>
            </c:ext>
          </c:extLst>
        </c:ser>
        <c:dLbls>
          <c:dLblPos val="outEnd"/>
          <c:showLegendKey val="0"/>
          <c:showVal val="1"/>
          <c:showCatName val="0"/>
          <c:showSerName val="0"/>
          <c:showPercent val="0"/>
          <c:showBubbleSize val="0"/>
        </c:dLbls>
        <c:gapWidth val="182"/>
        <c:axId val="1725043216"/>
        <c:axId val="1725031696"/>
      </c:barChart>
      <c:catAx>
        <c:axId val="1725043216"/>
        <c:scaling>
          <c:orientation val="minMax"/>
        </c:scaling>
        <c:delete val="0"/>
        <c:axPos val="l"/>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rgbClr val="FF0066"/>
                    </a:solidFill>
                  </a:rPr>
                  <a:t>Hashtags</a:t>
                </a:r>
              </a:p>
            </c:rich>
          </c:tx>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031696"/>
        <c:crosses val="autoZero"/>
        <c:auto val="1"/>
        <c:lblAlgn val="ctr"/>
        <c:lblOffset val="100"/>
        <c:noMultiLvlLbl val="0"/>
      </c:catAx>
      <c:valAx>
        <c:axId val="1725031696"/>
        <c:scaling>
          <c:orientation val="minMax"/>
        </c:scaling>
        <c:delete val="0"/>
        <c:axPos val="b"/>
        <c:title>
          <c:tx>
            <c:rich>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rgbClr val="FF0066"/>
                    </a:solidFill>
                  </a:rPr>
                  <a:t>Average</a:t>
                </a:r>
                <a:r>
                  <a:rPr lang="en-IN" baseline="0">
                    <a:solidFill>
                      <a:srgbClr val="FF0066"/>
                    </a:solidFill>
                  </a:rPr>
                  <a:t> Engagement</a:t>
                </a:r>
                <a:endParaRPr lang="en-IN">
                  <a:solidFill>
                    <a:srgbClr val="FF0066"/>
                  </a:solidFill>
                </a:endParaRPr>
              </a:p>
            </c:rich>
          </c:tx>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04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[Social_media_analytics.dash.xlsx]Pivot!PivotTable1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2800"/>
              <a:t>Post Type Performance</a:t>
            </a:r>
          </a:p>
        </c:rich>
      </c:tx>
      <c:layout>
        <c:manualLayout>
          <c:xMode val="edge"/>
          <c:yMode val="edge"/>
          <c:x val="0.32321154381939843"/>
          <c:y val="6.9356860754914179E-2"/>
        </c:manualLayout>
      </c:layout>
      <c:overlay val="0"/>
      <c:spPr>
        <a:solidFill>
          <a:schemeClr val="bg2"/>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7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solidFill>
              <a:schemeClr val="accent2">
                <a:lumMod val="60000"/>
                <a:lumOff val="40000"/>
              </a:schemeClr>
            </a:solidFill>
          </a:ln>
          <a:effectLst>
            <a:outerShdw blurRad="25400" dist="23000" dir="5400000" rotWithShape="0">
              <a:srgbClr val="000000"/>
            </a:outerShdw>
            <a:softEdge rad="876300"/>
          </a:effectLst>
          <a:scene3d>
            <a:camera prst="orthographicFront"/>
            <a:lightRig rig="morning" dir="t"/>
          </a:scene3d>
          <a:sp3d prstMaterial="softEdge">
            <a:bevelT w="63500" h="25400" prst="cross"/>
          </a:sp3d>
        </c:spPr>
        <c:marker>
          <c:symbol val="none"/>
        </c:marker>
        <c:dLbl>
          <c:idx val="0"/>
          <c:spPr>
            <a:noFill/>
            <a:ln>
              <a:noFill/>
            </a:ln>
            <a:effectLst/>
          </c:spPr>
          <c:txPr>
            <a:bodyPr rot="0" spcFirstLastPara="1" vertOverflow="ellipsis" vert="horz" wrap="square" anchor="ctr" anchorCtr="1"/>
            <a:lstStyle/>
            <a:p>
              <a:pPr>
                <a:defRPr sz="97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97430149121831"/>
          <c:y val="0.21490761465722458"/>
          <c:w val="0.70558953409254177"/>
          <c:h val="0.63956518854389921"/>
        </c:manualLayout>
      </c:layout>
      <c:barChart>
        <c:barDir val="col"/>
        <c:grouping val="clustered"/>
        <c:varyColors val="0"/>
        <c:ser>
          <c:idx val="0"/>
          <c:order val="0"/>
          <c:tx>
            <c:strRef>
              <c:f>Pivot!$B$3</c:f>
              <c:strCache>
                <c:ptCount val="1"/>
                <c:pt idx="0">
                  <c:v>Average of temp_engagement_rate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Pivot!$A$4:$A$5</c:f>
              <c:strCache>
                <c:ptCount val="1"/>
                <c:pt idx="0">
                  <c:v>Video</c:v>
                </c:pt>
              </c:strCache>
            </c:strRef>
          </c:cat>
          <c:val>
            <c:numRef>
              <c:f>Pivot!$B$4:$B$5</c:f>
              <c:numCache>
                <c:formatCode>0%</c:formatCode>
                <c:ptCount val="1"/>
                <c:pt idx="0">
                  <c:v>0.1905</c:v>
                </c:pt>
              </c:numCache>
            </c:numRef>
          </c:val>
          <c:extLst>
            <c:ext xmlns:c16="http://schemas.microsoft.com/office/drawing/2014/chart" uri="{C3380CC4-5D6E-409C-BE32-E72D297353CC}">
              <c16:uniqueId val="{00000000-9E6F-461E-9A9D-F0A0682068C1}"/>
            </c:ext>
          </c:extLst>
        </c:ser>
        <c:ser>
          <c:idx val="1"/>
          <c:order val="1"/>
          <c:tx>
            <c:strRef>
              <c:f>Pivot!$C$3</c:f>
              <c:strCache>
                <c:ptCount val="1"/>
                <c:pt idx="0">
                  <c:v>Sum of Total Engagement</c:v>
                </c:pt>
              </c:strCache>
            </c:strRef>
          </c:tx>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solidFill>
                <a:schemeClr val="accent2">
                  <a:lumMod val="60000"/>
                  <a:lumOff val="40000"/>
                </a:schemeClr>
              </a:solidFill>
            </a:ln>
            <a:effectLst>
              <a:outerShdw blurRad="25400" dist="23000" dir="5400000" rotWithShape="0">
                <a:srgbClr val="000000"/>
              </a:outerShdw>
              <a:softEdge rad="876300"/>
            </a:effectLst>
            <a:scene3d>
              <a:camera prst="orthographicFront"/>
              <a:lightRig rig="morning" dir="t"/>
            </a:scene3d>
            <a:sp3d prstMaterial="softEdge">
              <a:bevelT w="63500" h="25400" prst="cross"/>
            </a:sp3d>
          </c:spPr>
          <c:invertIfNegative val="0"/>
          <c:dLbls>
            <c:spPr>
              <a:noFill/>
              <a:ln>
                <a:noFill/>
              </a:ln>
              <a:effectLst/>
            </c:spPr>
            <c:txPr>
              <a:bodyPr rot="0" spcFirstLastPara="1" vertOverflow="ellipsis" vert="horz" wrap="square" anchor="ctr" anchorCtr="1"/>
              <a:lstStyle/>
              <a:p>
                <a:pPr>
                  <a:defRPr sz="97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Pivot!$A$4:$A$5</c:f>
              <c:strCache>
                <c:ptCount val="1"/>
                <c:pt idx="0">
                  <c:v>Video</c:v>
                </c:pt>
              </c:strCache>
            </c:strRef>
          </c:cat>
          <c:val>
            <c:numRef>
              <c:f>Pivot!$C$4:$C$5</c:f>
              <c:numCache>
                <c:formatCode>0</c:formatCode>
                <c:ptCount val="1"/>
                <c:pt idx="0">
                  <c:v>7265</c:v>
                </c:pt>
              </c:numCache>
            </c:numRef>
          </c:val>
          <c:extLst>
            <c:ext xmlns:c16="http://schemas.microsoft.com/office/drawing/2014/chart" uri="{C3380CC4-5D6E-409C-BE32-E72D297353CC}">
              <c16:uniqueId val="{00000001-9E6F-461E-9A9D-F0A0682068C1}"/>
            </c:ext>
          </c:extLst>
        </c:ser>
        <c:dLbls>
          <c:showLegendKey val="0"/>
          <c:showVal val="0"/>
          <c:showCatName val="0"/>
          <c:showSerName val="0"/>
          <c:showPercent val="0"/>
          <c:showBubbleSize val="0"/>
        </c:dLbls>
        <c:gapWidth val="100"/>
        <c:axId val="1122348352"/>
        <c:axId val="1122349792"/>
      </c:barChart>
      <c:catAx>
        <c:axId val="1122348352"/>
        <c:scaling>
          <c:orientation val="minMax"/>
        </c:scaling>
        <c:delete val="0"/>
        <c:axPos val="b"/>
        <c:title>
          <c:tx>
            <c:rich>
              <a:bodyPr rot="0" spcFirstLastPara="1" vertOverflow="ellipsis" vert="horz" wrap="square" anchor="ctr" anchorCtr="1"/>
              <a:lstStyle/>
              <a:p>
                <a:pPr>
                  <a:defRPr sz="970" b="0" i="0" u="none" strike="noStrike" kern="1200" baseline="0">
                    <a:solidFill>
                      <a:srgbClr val="FF0066"/>
                    </a:solidFill>
                    <a:latin typeface="+mn-lt"/>
                    <a:ea typeface="+mn-ea"/>
                    <a:cs typeface="+mn-cs"/>
                  </a:defRPr>
                </a:pPr>
                <a:r>
                  <a:rPr lang="en-IN" b="1">
                    <a:solidFill>
                      <a:srgbClr val="FF0066"/>
                    </a:solidFill>
                    <a:latin typeface="Calibri" panose="020F0502020204030204" pitchFamily="34" charset="0"/>
                    <a:ea typeface="Calibri" panose="020F0502020204030204" pitchFamily="34" charset="0"/>
                    <a:cs typeface="Calibri" panose="020F0502020204030204" pitchFamily="34" charset="0"/>
                  </a:rPr>
                  <a:t>Post</a:t>
                </a:r>
                <a:r>
                  <a:rPr lang="en-IN" b="1" baseline="0">
                    <a:solidFill>
                      <a:srgbClr val="FF0066"/>
                    </a:solidFill>
                    <a:latin typeface="Calibri" panose="020F0502020204030204" pitchFamily="34" charset="0"/>
                    <a:ea typeface="Calibri" panose="020F0502020204030204" pitchFamily="34" charset="0"/>
                    <a:cs typeface="Calibri" panose="020F0502020204030204" pitchFamily="34" charset="0"/>
                  </a:rPr>
                  <a:t> Type</a:t>
                </a:r>
                <a:endParaRPr lang="en-IN" b="1">
                  <a:solidFill>
                    <a:srgbClr val="FF0066"/>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970" b="0" i="0" u="none" strike="noStrike" kern="1200" baseline="0">
                  <a:solidFill>
                    <a:srgbClr val="FF0066"/>
                  </a:solidFill>
                  <a:latin typeface="+mn-lt"/>
                  <a:ea typeface="+mn-ea"/>
                  <a:cs typeface="+mn-cs"/>
                </a:defRPr>
              </a:pPr>
              <a:endParaRPr lang="en-IN"/>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122349792"/>
        <c:crossesAt val="0"/>
        <c:auto val="1"/>
        <c:lblAlgn val="ctr"/>
        <c:lblOffset val="100"/>
        <c:noMultiLvlLbl val="0"/>
      </c:catAx>
      <c:valAx>
        <c:axId val="1122349792"/>
        <c:scaling>
          <c:orientation val="minMax"/>
        </c:scaling>
        <c:delete val="0"/>
        <c:axPos val="l"/>
        <c:title>
          <c:tx>
            <c:rich>
              <a:bodyPr rot="-5400000" spcFirstLastPara="1" vertOverflow="ellipsis" vert="horz" wrap="square" anchor="ctr" anchorCtr="1"/>
              <a:lstStyle/>
              <a:p>
                <a:pPr algn="ctr" rtl="0">
                  <a:defRPr lang="en-IN" sz="970" b="1" i="0" u="none" strike="noStrike" kern="1200" baseline="0">
                    <a:solidFill>
                      <a:srgbClr val="FF0066"/>
                    </a:solidFill>
                    <a:latin typeface="Calibri" panose="020F0502020204030204" pitchFamily="34" charset="0"/>
                    <a:ea typeface="Calibri" panose="020F0502020204030204" pitchFamily="34" charset="0"/>
                    <a:cs typeface="Calibri" panose="020F0502020204030204" pitchFamily="34" charset="0"/>
                  </a:defRPr>
                </a:pPr>
                <a:r>
                  <a:rPr lang="en-IN" sz="970" b="1" i="0" u="none" strike="noStrike" kern="1200" baseline="0">
                    <a:solidFill>
                      <a:srgbClr val="FF0066"/>
                    </a:solidFill>
                    <a:latin typeface="Calibri" panose="020F0502020204030204" pitchFamily="34" charset="0"/>
                    <a:ea typeface="Calibri" panose="020F0502020204030204" pitchFamily="34" charset="0"/>
                    <a:cs typeface="Calibri" panose="020F0502020204030204" pitchFamily="34" charset="0"/>
                  </a:rPr>
                  <a:t>Engagement Rate</a:t>
                </a:r>
              </a:p>
            </c:rich>
          </c:tx>
          <c:overlay val="0"/>
          <c:spPr>
            <a:noFill/>
            <a:ln>
              <a:noFill/>
            </a:ln>
            <a:effectLst/>
          </c:spPr>
          <c:txPr>
            <a:bodyPr rot="-5400000" spcFirstLastPara="1" vertOverflow="ellipsis" vert="horz" wrap="square" anchor="ctr" anchorCtr="1"/>
            <a:lstStyle/>
            <a:p>
              <a:pPr algn="ctr" rtl="0">
                <a:defRPr lang="en-IN" sz="970" b="1" i="0" u="none" strike="noStrike" kern="1200" baseline="0">
                  <a:solidFill>
                    <a:srgbClr val="FF0066"/>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22348352"/>
        <c:crosses val="autoZero"/>
        <c:crossBetween val="between"/>
      </c:valAx>
      <c:spPr>
        <a:solidFill>
          <a:schemeClr val="bg2"/>
        </a:solidFill>
        <a:ln>
          <a:noFill/>
        </a:ln>
        <a:effectLst/>
      </c:spPr>
    </c:plotArea>
    <c:legend>
      <c:legendPos val="r"/>
      <c:layout>
        <c:manualLayout>
          <c:xMode val="edge"/>
          <c:yMode val="edge"/>
          <c:x val="0.64659411282140944"/>
          <c:y val="5.6856870745099881E-2"/>
          <c:w val="0.2206905703320394"/>
          <c:h val="0.13877451685682185"/>
        </c:manualLayout>
      </c:layout>
      <c:overlay val="0"/>
      <c:spPr>
        <a:noFill/>
        <a:ln>
          <a:noFill/>
        </a:ln>
        <a:effectLst/>
      </c:spPr>
      <c:txPr>
        <a:bodyPr rot="0" spcFirstLastPara="1" vertOverflow="ellipsis" vert="horz" wrap="square" anchor="ctr" anchorCtr="1"/>
        <a:lstStyle/>
        <a:p>
          <a:pPr>
            <a:defRPr sz="97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7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[Social_media_analytics.dash.xlsx]Pivot!PivotTable2</c:name>
    <c:fmtId val="5"/>
  </c:pivotSource>
  <c:chart>
    <c:title>
      <c:tx>
        <c:rich>
          <a:bodyPr rot="0" spcFirstLastPara="1" vertOverflow="ellipsis" vert="horz" wrap="square" anchor="ctr" anchorCtr="1"/>
          <a:lstStyle/>
          <a:p>
            <a:pPr algn="ctr" rtl="0">
              <a:defRPr lang="en-IN" sz="2800" b="1" i="0" u="none" strike="noStrike" kern="1200" cap="all" spc="120" normalizeH="0" baseline="0">
                <a:solidFill>
                  <a:sysClr val="windowText" lastClr="000000">
                    <a:lumMod val="65000"/>
                    <a:lumOff val="35000"/>
                  </a:sysClr>
                </a:solidFill>
                <a:latin typeface="+mn-lt"/>
                <a:ea typeface="+mn-ea"/>
                <a:cs typeface="+mn-cs"/>
              </a:defRPr>
            </a:pPr>
            <a:r>
              <a:rPr lang="en-IN" sz="2800" b="1" i="0" u="none" strike="noStrike" kern="1200" baseline="0">
                <a:solidFill>
                  <a:sysClr val="windowText" lastClr="000000">
                    <a:lumMod val="65000"/>
                    <a:lumOff val="35000"/>
                  </a:sysClr>
                </a:solidFill>
                <a:latin typeface="+mn-lt"/>
                <a:ea typeface="+mn-ea"/>
                <a:cs typeface="+mn-cs"/>
              </a:rPr>
              <a:t>Best Posting Time</a:t>
            </a:r>
          </a:p>
        </c:rich>
      </c:tx>
      <c:overlay val="0"/>
      <c:spPr>
        <a:solidFill>
          <a:schemeClr val="bg2"/>
        </a:solidFill>
        <a:ln>
          <a:noFill/>
        </a:ln>
        <a:effectLst/>
      </c:spPr>
      <c:txPr>
        <a:bodyPr rot="0" spcFirstLastPara="1" vertOverflow="ellipsis" vert="horz" wrap="square" anchor="ctr" anchorCtr="1"/>
        <a:lstStyle/>
        <a:p>
          <a:pPr algn="ctr" rtl="0">
            <a:defRPr lang="en-IN" sz="28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pivotFmt>
      <c:pivotFmt>
        <c:idx val="1"/>
      </c:pivotFmt>
      <c:pivotFmt>
        <c:idx val="2"/>
        <c:spPr>
          <a:ln w="41275" cap="rnd">
            <a:solidFill>
              <a:schemeClr val="tx1"/>
            </a:solidFill>
            <a:round/>
          </a:ln>
          <a:effectLst>
            <a:outerShdw blurRad="50800" dist="50800" dir="5400000" algn="ctr" rotWithShape="0">
              <a:schemeClr val="accent6">
                <a:lumMod val="60000"/>
                <a:lumOff val="40000"/>
              </a:schemeClr>
            </a:outerShdw>
          </a:effectLst>
        </c:spPr>
        <c:marker>
          <c:symbol val="diamond"/>
          <c:size val="6"/>
          <c:spPr>
            <a:solidFill>
              <a:schemeClr val="accent5"/>
            </a:solidFill>
            <a:ln w="9525">
              <a:solidFill>
                <a:schemeClr val="accent5"/>
              </a:solidFill>
              <a:round/>
            </a:ln>
            <a:effectLst>
              <a:outerShdw blurRad="50800" dist="50800" dir="5400000" algn="ctr" rotWithShape="0">
                <a:schemeClr val="accent6">
                  <a:lumMod val="60000"/>
                  <a:lumOff val="40000"/>
                </a:schemeClr>
              </a:outerShdw>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68362926137698"/>
          <c:y val="0.14615880662213498"/>
          <c:w val="0.80268989193182272"/>
          <c:h val="0.72989546064089061"/>
        </c:manualLayout>
      </c:layout>
      <c:lineChart>
        <c:grouping val="standard"/>
        <c:varyColors val="0"/>
        <c:ser>
          <c:idx val="0"/>
          <c:order val="0"/>
          <c:tx>
            <c:strRef>
              <c:f>Pivot!$F$3</c:f>
              <c:strCache>
                <c:ptCount val="1"/>
                <c:pt idx="0">
                  <c:v>Total</c:v>
                </c:pt>
              </c:strCache>
            </c:strRef>
          </c:tx>
          <c:spPr>
            <a:ln w="41275" cap="rnd">
              <a:solidFill>
                <a:schemeClr val="tx1"/>
              </a:solidFill>
              <a:round/>
            </a:ln>
            <a:effectLst>
              <a:outerShdw blurRad="50800" dist="50800" dir="5400000" algn="ctr" rotWithShape="0">
                <a:schemeClr val="accent6">
                  <a:lumMod val="60000"/>
                  <a:lumOff val="40000"/>
                </a:schemeClr>
              </a:outerShdw>
            </a:effectLst>
          </c:spPr>
          <c:marker>
            <c:symbol val="diamond"/>
            <c:size val="6"/>
            <c:spPr>
              <a:solidFill>
                <a:schemeClr val="accent5"/>
              </a:solidFill>
              <a:ln w="9525">
                <a:solidFill>
                  <a:schemeClr val="accent5"/>
                </a:solidFill>
                <a:round/>
              </a:ln>
              <a:effectLst>
                <a:outerShdw blurRad="50800" dist="50800" dir="5400000" algn="ctr" rotWithShape="0">
                  <a:schemeClr val="accent6">
                    <a:lumMod val="60000"/>
                    <a:lumOff val="40000"/>
                  </a:schemeClr>
                </a:outerShdw>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Pivot!$E$4:$E$5</c:f>
              <c:strCache>
                <c:ptCount val="1"/>
                <c:pt idx="0">
                  <c:v>Morning</c:v>
                </c:pt>
              </c:strCache>
            </c:strRef>
          </c:cat>
          <c:val>
            <c:numRef>
              <c:f>Pivot!$F$4:$F$5</c:f>
              <c:numCache>
                <c:formatCode>0%</c:formatCode>
                <c:ptCount val="1"/>
                <c:pt idx="0">
                  <c:v>0.1905</c:v>
                </c:pt>
              </c:numCache>
            </c:numRef>
          </c:val>
          <c:smooth val="0"/>
          <c:extLst>
            <c:ext xmlns:c16="http://schemas.microsoft.com/office/drawing/2014/chart" uri="{C3380CC4-5D6E-409C-BE32-E72D297353CC}">
              <c16:uniqueId val="{00000000-327B-435C-89D1-99A9930BE48F}"/>
            </c:ext>
          </c:extLst>
        </c:ser>
        <c:dLbls>
          <c:dLblPos val="t"/>
          <c:showLegendKey val="0"/>
          <c:showVal val="1"/>
          <c:showCatName val="0"/>
          <c:showSerName val="0"/>
          <c:showPercent val="0"/>
          <c:showBubbleSize val="0"/>
        </c:dLbls>
        <c:marker val="1"/>
        <c:smooth val="0"/>
        <c:axId val="1316521648"/>
        <c:axId val="1316523088"/>
      </c:lineChart>
      <c:catAx>
        <c:axId val="1316521648"/>
        <c:scaling>
          <c:orientation val="minMax"/>
        </c:scaling>
        <c:delete val="0"/>
        <c:axPos val="b"/>
        <c:title>
          <c:tx>
            <c:rich>
              <a:bodyPr rot="0" spcFirstLastPara="1" vertOverflow="ellipsis" vert="horz" wrap="square" anchor="ctr" anchorCtr="1"/>
              <a:lstStyle/>
              <a:p>
                <a:pPr algn="ctr" rtl="0">
                  <a:defRPr lang="en-US" sz="1000" b="0" i="0" u="none" strike="noStrike" kern="1200" cap="all" baseline="0">
                    <a:solidFill>
                      <a:schemeClr val="dk1"/>
                    </a:solidFill>
                    <a:latin typeface="+mn-lt"/>
                    <a:ea typeface="+mn-ea"/>
                    <a:cs typeface="+mn-cs"/>
                  </a:defRPr>
                </a:pPr>
                <a:r>
                  <a:rPr lang="en-IN"/>
                  <a:t>Time of Day</a:t>
                </a:r>
              </a:p>
            </c:rich>
          </c:tx>
          <c:overlay val="0"/>
          <c:spPr>
            <a:noFill/>
            <a:ln>
              <a:noFill/>
            </a:ln>
            <a:effectLst/>
          </c:spPr>
          <c:txPr>
            <a:bodyPr rot="0" spcFirstLastPara="1" vertOverflow="ellipsis" vert="horz" wrap="square" anchor="ctr" anchorCtr="1"/>
            <a:lstStyle/>
            <a:p>
              <a:pPr algn="ctr" rtl="0">
                <a:defRPr lang="en-US" sz="1000" b="0"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cap="all" spc="120" normalizeH="0" baseline="0">
                <a:solidFill>
                  <a:schemeClr val="dk1"/>
                </a:solidFill>
                <a:latin typeface="+mn-lt"/>
                <a:ea typeface="+mn-ea"/>
                <a:cs typeface="+mn-cs"/>
              </a:defRPr>
            </a:pPr>
            <a:endParaRPr lang="en-US"/>
          </a:p>
        </c:txPr>
        <c:crossAx val="1316523088"/>
        <c:crosses val="autoZero"/>
        <c:auto val="1"/>
        <c:lblAlgn val="ctr"/>
        <c:lblOffset val="100"/>
        <c:noMultiLvlLbl val="0"/>
      </c:catAx>
      <c:valAx>
        <c:axId val="1316523088"/>
        <c:scaling>
          <c:orientation val="minMax"/>
        </c:scaling>
        <c:delete val="0"/>
        <c:axPos val="l"/>
        <c:title>
          <c:tx>
            <c:rich>
              <a:bodyPr rot="-5400000" spcFirstLastPara="1" vertOverflow="ellipsis" vert="horz" wrap="square" anchor="ctr" anchorCtr="1"/>
              <a:lstStyle/>
              <a:p>
                <a:pPr algn="ctr" rtl="0">
                  <a:defRPr lang="en-US" sz="1000" b="0" i="0" u="none" strike="noStrike" kern="1200" cap="all" baseline="0">
                    <a:solidFill>
                      <a:schemeClr val="dk1"/>
                    </a:solidFill>
                    <a:latin typeface="+mn-lt"/>
                    <a:ea typeface="+mn-ea"/>
                    <a:cs typeface="+mn-cs"/>
                  </a:defRPr>
                </a:pPr>
                <a:r>
                  <a:rPr lang="en-IN"/>
                  <a:t>Average Engagement Rate</a:t>
                </a:r>
              </a:p>
            </c:rich>
          </c:tx>
          <c:overlay val="0"/>
          <c:spPr>
            <a:noFill/>
            <a:ln>
              <a:noFill/>
            </a:ln>
            <a:effectLst/>
          </c:spPr>
          <c:txPr>
            <a:bodyPr rot="-5400000" spcFirstLastPara="1" vertOverflow="ellipsis" vert="horz" wrap="square" anchor="ctr" anchorCtr="1"/>
            <a:lstStyle/>
            <a:p>
              <a:pPr algn="ctr" rtl="0">
                <a:defRPr lang="en-US" sz="1000" b="0" i="0" u="none" strike="noStrike" kern="1200" cap="all" baseline="0">
                  <a:solidFill>
                    <a:schemeClr val="dk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316521648"/>
        <c:crosses val="autoZero"/>
        <c:crossBetween val="between"/>
      </c:valAx>
      <c:spPr>
        <a:solidFill>
          <a:schemeClr val="bg2"/>
        </a:solid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[Social_media_analytics.dash.xlsx]Pivot!PivotTable3</c:name>
    <c:fmtId val="6"/>
  </c:pivotSource>
  <c:chart>
    <c:title>
      <c:tx>
        <c:rich>
          <a:bodyPr rot="0" spcFirstLastPara="1" vertOverflow="ellipsis" vert="horz" wrap="square" anchor="ctr" anchorCtr="1"/>
          <a:lstStyle/>
          <a:p>
            <a:pPr algn="ctr" rtl="0">
              <a:defRPr lang="en-US" sz="2800" b="1" i="0" u="none" strike="noStrike" kern="1200" baseline="0">
                <a:solidFill>
                  <a:sysClr val="windowText" lastClr="000000">
                    <a:lumMod val="65000"/>
                    <a:lumOff val="35000"/>
                  </a:sysClr>
                </a:solidFill>
                <a:latin typeface="+mn-lt"/>
                <a:ea typeface="+mn-ea"/>
                <a:cs typeface="+mn-cs"/>
              </a:defRPr>
            </a:pPr>
            <a:r>
              <a:rPr lang="en-US" sz="2800" b="1" i="0" u="none" strike="noStrike" kern="1200" baseline="0">
                <a:solidFill>
                  <a:sysClr val="windowText" lastClr="000000">
                    <a:lumMod val="65000"/>
                    <a:lumOff val="35000"/>
                  </a:sysClr>
                </a:solidFill>
                <a:latin typeface="+mn-lt"/>
                <a:ea typeface="+mn-ea"/>
                <a:cs typeface="+mn-cs"/>
              </a:rPr>
              <a:t>TOP POSTS</a:t>
            </a:r>
          </a:p>
        </c:rich>
      </c:tx>
      <c:layout>
        <c:manualLayout>
          <c:xMode val="edge"/>
          <c:yMode val="edge"/>
          <c:x val="0.40959187207181041"/>
          <c:y val="3.9224030666968404E-2"/>
        </c:manualLayout>
      </c:layout>
      <c:overlay val="0"/>
      <c:spPr>
        <a:solidFill>
          <a:schemeClr val="bg2"/>
        </a:solidFill>
        <a:ln>
          <a:noFill/>
        </a:ln>
        <a:effectLst/>
      </c:spPr>
      <c:txPr>
        <a:bodyPr rot="0" spcFirstLastPara="1" vertOverflow="ellipsis" vert="horz" wrap="square" anchor="ctr" anchorCtr="1"/>
        <a:lstStyle/>
        <a:p>
          <a:pPr algn="ctr" rtl="0">
            <a:defRPr lang="en-US" sz="28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bg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294874185679026"/>
          <c:y val="0.15342066893031878"/>
          <c:w val="0.5288734289860143"/>
          <c:h val="0.76187366330158812"/>
        </c:manualLayout>
      </c:layout>
      <c:barChart>
        <c:barDir val="bar"/>
        <c:grouping val="clustered"/>
        <c:varyColors val="0"/>
        <c:ser>
          <c:idx val="0"/>
          <c:order val="0"/>
          <c:tx>
            <c:strRef>
              <c:f>Pivot!$B$13</c:f>
              <c:strCache>
                <c:ptCount val="1"/>
                <c:pt idx="0">
                  <c:v>Total</c:v>
                </c:pt>
              </c:strCache>
            </c:strRef>
          </c:tx>
          <c:spPr>
            <a:solidFill>
              <a:schemeClr val="accent1">
                <a:alpha val="85000"/>
              </a:schemeClr>
            </a:solidFill>
            <a:ln w="9525" cap="flat" cmpd="sng" algn="ctr">
              <a:solidFill>
                <a:schemeClr val="bg2">
                  <a:lumMod val="7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Pivot!$A$14:$A$15</c:f>
              <c:strCache>
                <c:ptCount val="1"/>
                <c:pt idx="0">
                  <c:v>01bac31e-3f87-4b8b-9925-d8b21892df3a</c:v>
                </c:pt>
              </c:strCache>
            </c:strRef>
          </c:cat>
          <c:val>
            <c:numRef>
              <c:f>Pivot!$B$14:$B$15</c:f>
              <c:numCache>
                <c:formatCode>0.00</c:formatCode>
                <c:ptCount val="1"/>
                <c:pt idx="0">
                  <c:v>7265</c:v>
                </c:pt>
              </c:numCache>
            </c:numRef>
          </c:val>
          <c:extLst>
            <c:ext xmlns:c16="http://schemas.microsoft.com/office/drawing/2014/chart" uri="{C3380CC4-5D6E-409C-BE32-E72D297353CC}">
              <c16:uniqueId val="{00000000-4C99-409D-8CF7-F1B458BCB572}"/>
            </c:ext>
          </c:extLst>
        </c:ser>
        <c:dLbls>
          <c:dLblPos val="inEnd"/>
          <c:showLegendKey val="0"/>
          <c:showVal val="1"/>
          <c:showCatName val="0"/>
          <c:showSerName val="0"/>
          <c:showPercent val="0"/>
          <c:showBubbleSize val="0"/>
        </c:dLbls>
        <c:gapWidth val="65"/>
        <c:axId val="1325542656"/>
        <c:axId val="1325541696"/>
      </c:barChart>
      <c:catAx>
        <c:axId val="1325542656"/>
        <c:scaling>
          <c:orientation val="minMax"/>
        </c:scaling>
        <c:delete val="0"/>
        <c:axPos val="l"/>
        <c:title>
          <c:tx>
            <c:rich>
              <a:bodyPr rot="-5400000" spcFirstLastPara="1" vertOverflow="ellipsis" vert="horz" wrap="square" anchor="ctr" anchorCtr="1"/>
              <a:lstStyle/>
              <a:p>
                <a:pPr algn="ctr" rtl="0">
                  <a:defRPr lang="en-IN" sz="970" b="1" i="0" u="none" strike="noStrike" kern="1200" baseline="0">
                    <a:solidFill>
                      <a:srgbClr val="FF0066"/>
                    </a:solidFill>
                    <a:latin typeface="Calibri" panose="020F0502020204030204" pitchFamily="34" charset="0"/>
                    <a:ea typeface="Calibri" panose="020F0502020204030204" pitchFamily="34" charset="0"/>
                    <a:cs typeface="Calibri" panose="020F0502020204030204" pitchFamily="34" charset="0"/>
                  </a:defRPr>
                </a:pPr>
                <a:r>
                  <a:rPr lang="en-IN" sz="970" b="1" i="0" u="none" strike="noStrike" kern="1200" baseline="0">
                    <a:solidFill>
                      <a:srgbClr val="FF0066"/>
                    </a:solidFill>
                    <a:latin typeface="Calibri" panose="020F0502020204030204" pitchFamily="34" charset="0"/>
                    <a:ea typeface="Calibri" panose="020F0502020204030204" pitchFamily="34" charset="0"/>
                    <a:cs typeface="Calibri" panose="020F0502020204030204" pitchFamily="34" charset="0"/>
                  </a:rPr>
                  <a:t>Post ID</a:t>
                </a:r>
              </a:p>
              <a:p>
                <a:pPr algn="ctr" rtl="0">
                  <a:defRPr lang="en-IN" sz="970">
                    <a:solidFill>
                      <a:srgbClr val="FF0066"/>
                    </a:solidFill>
                    <a:latin typeface="Calibri" panose="020F0502020204030204" pitchFamily="34" charset="0"/>
                    <a:ea typeface="Calibri" panose="020F0502020204030204" pitchFamily="34" charset="0"/>
                    <a:cs typeface="Calibri" panose="020F0502020204030204" pitchFamily="34" charset="0"/>
                  </a:defRPr>
                </a:pPr>
                <a:endParaRPr lang="en-IN" sz="970" b="1" i="0" u="none" strike="noStrike" kern="1200" baseline="0">
                  <a:solidFill>
                    <a:srgbClr val="FF0066"/>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0520941260990932"/>
              <c:y val="0.48376938622018395"/>
            </c:manualLayout>
          </c:layout>
          <c:overlay val="0"/>
          <c:spPr>
            <a:noFill/>
            <a:ln>
              <a:noFill/>
            </a:ln>
            <a:effectLst/>
          </c:spPr>
          <c:txPr>
            <a:bodyPr rot="-5400000" spcFirstLastPara="1" vertOverflow="ellipsis" vert="horz" wrap="square" anchor="ctr" anchorCtr="1"/>
            <a:lstStyle/>
            <a:p>
              <a:pPr algn="ctr" rtl="0">
                <a:defRPr lang="en-IN" sz="970" b="1" i="0" u="none" strike="noStrike" kern="1200" baseline="0">
                  <a:solidFill>
                    <a:srgbClr val="FF0066"/>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50" b="0" i="0" u="none" strike="noStrike" kern="1200" cap="all" baseline="0">
                <a:solidFill>
                  <a:schemeClr val="dk1">
                    <a:lumMod val="75000"/>
                    <a:lumOff val="25000"/>
                  </a:schemeClr>
                </a:solidFill>
                <a:latin typeface="+mn-lt"/>
                <a:ea typeface="+mn-ea"/>
                <a:cs typeface="+mn-cs"/>
              </a:defRPr>
            </a:pPr>
            <a:endParaRPr lang="en-US"/>
          </a:p>
        </c:txPr>
        <c:crossAx val="1325541696"/>
        <c:crosses val="autoZero"/>
        <c:auto val="1"/>
        <c:lblAlgn val="ctr"/>
        <c:lblOffset val="100"/>
        <c:noMultiLvlLbl val="0"/>
      </c:catAx>
      <c:valAx>
        <c:axId val="1325541696"/>
        <c:scaling>
          <c:orientation val="minMax"/>
        </c:scaling>
        <c:delete val="1"/>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IN" sz="970" b="1" i="0" u="none" strike="noStrike" baseline="0">
                    <a:solidFill>
                      <a:srgbClr val="FF0066"/>
                    </a:solidFill>
                    <a:latin typeface="Calibri" panose="020F0502020204030204" pitchFamily="34" charset="0"/>
                    <a:ea typeface="Calibri" panose="020F0502020204030204" pitchFamily="34" charset="0"/>
                    <a:cs typeface="Calibri" panose="020F0502020204030204" pitchFamily="34" charset="0"/>
                  </a:rPr>
                  <a:t>Total Engagement</a:t>
                </a:r>
                <a:endParaRPr lang="en-IN" sz="970">
                  <a:solidFill>
                    <a:srgbClr val="FF0066"/>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61602711496418827"/>
              <c:y val="0.9407187113865851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IN"/>
            </a:p>
          </c:txPr>
        </c:title>
        <c:numFmt formatCode="0.00" sourceLinked="1"/>
        <c:majorTickMark val="none"/>
        <c:minorTickMark val="none"/>
        <c:tickLblPos val="nextTo"/>
        <c:crossAx val="1325542656"/>
        <c:crosses val="autoZero"/>
        <c:crossBetween val="between"/>
      </c:valAx>
      <c:spPr>
        <a:solidFill>
          <a:schemeClr val="accent6">
            <a:lumMod val="20000"/>
            <a:lumOff val="80000"/>
          </a:schemeClr>
        </a:soli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[Social_media_analytics.dash.xlsx]Pivot!PivotTable6</c:name>
    <c:fmtId val="25"/>
  </c:pivotSource>
  <c:chart>
    <c:title>
      <c:tx>
        <c:rich>
          <a:bodyPr rot="0" spcFirstLastPara="1" vertOverflow="ellipsis" vert="horz" wrap="square" anchor="ctr" anchorCtr="1"/>
          <a:lstStyle/>
          <a:p>
            <a:pPr algn="ctr" rtl="0">
              <a:defRPr lang="en-US" sz="2800" b="1" i="0" u="none" strike="noStrike" kern="1200" cap="all" spc="120" normalizeH="0" baseline="0">
                <a:solidFill>
                  <a:sysClr val="windowText" lastClr="000000">
                    <a:lumMod val="65000"/>
                    <a:lumOff val="35000"/>
                  </a:sysClr>
                </a:solidFill>
                <a:latin typeface="+mn-lt"/>
                <a:ea typeface="+mn-ea"/>
                <a:cs typeface="+mn-cs"/>
              </a:defRPr>
            </a:pPr>
            <a:r>
              <a:rPr lang="en-US" sz="2800" b="1" i="0" u="none" strike="noStrike" kern="1200" cap="all" spc="120" normalizeH="0" baseline="0">
                <a:solidFill>
                  <a:sysClr val="windowText" lastClr="000000">
                    <a:lumMod val="65000"/>
                    <a:lumOff val="35000"/>
                  </a:sysClr>
                </a:solidFill>
                <a:latin typeface="+mn-lt"/>
                <a:ea typeface="+mn-ea"/>
                <a:cs typeface="+mn-cs"/>
              </a:rPr>
              <a:t>Top performing Hashtags</a:t>
            </a:r>
          </a:p>
        </c:rich>
      </c:tx>
      <c:overlay val="0"/>
      <c:spPr>
        <a:solidFill>
          <a:schemeClr val="bg2"/>
        </a:solidFill>
        <a:ln>
          <a:noFill/>
        </a:ln>
        <a:effectLst/>
      </c:spPr>
      <c:txPr>
        <a:bodyPr rot="0" spcFirstLastPara="1" vertOverflow="ellipsis" vert="horz" wrap="square" anchor="ctr" anchorCtr="1"/>
        <a:lstStyle/>
        <a:p>
          <a:pPr algn="ctr" rtl="0">
            <a:defRPr lang="en-US" sz="28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Pivot!$H$2:$H$13</c:f>
              <c:strCache>
                <c:ptCount val="11"/>
                <c:pt idx="0">
                  <c:v>task</c:v>
                </c:pt>
                <c:pt idx="1">
                  <c:v>ahead</c:v>
                </c:pt>
                <c:pt idx="2">
                  <c:v>suffer</c:v>
                </c:pt>
                <c:pt idx="3">
                  <c:v>media</c:v>
                </c:pt>
                <c:pt idx="4">
                  <c:v>music</c:v>
                </c:pt>
                <c:pt idx="5">
                  <c:v>while</c:v>
                </c:pt>
                <c:pt idx="6">
                  <c:v>fund</c:v>
                </c:pt>
                <c:pt idx="7">
                  <c:v>indeed</c:v>
                </c:pt>
                <c:pt idx="8">
                  <c:v>represent</c:v>
                </c:pt>
                <c:pt idx="9">
                  <c:v>determine</c:v>
                </c:pt>
                <c:pt idx="10">
                  <c:v>his</c:v>
                </c:pt>
              </c:strCache>
            </c:strRef>
          </c:cat>
          <c:val>
            <c:numRef>
              <c:f>Pivot!$I$2:$I$13</c:f>
              <c:numCache>
                <c:formatCode>General</c:formatCode>
                <c:ptCount val="11"/>
                <c:pt idx="0">
                  <c:v>15657</c:v>
                </c:pt>
                <c:pt idx="1">
                  <c:v>15657</c:v>
                </c:pt>
                <c:pt idx="2">
                  <c:v>15294</c:v>
                </c:pt>
                <c:pt idx="3">
                  <c:v>15201</c:v>
                </c:pt>
                <c:pt idx="4">
                  <c:v>14907</c:v>
                </c:pt>
                <c:pt idx="5">
                  <c:v>14683</c:v>
                </c:pt>
                <c:pt idx="6">
                  <c:v>14683</c:v>
                </c:pt>
                <c:pt idx="7">
                  <c:v>14525</c:v>
                </c:pt>
                <c:pt idx="8">
                  <c:v>14525</c:v>
                </c:pt>
                <c:pt idx="9">
                  <c:v>14468</c:v>
                </c:pt>
                <c:pt idx="10">
                  <c:v>14468</c:v>
                </c:pt>
              </c:numCache>
            </c:numRef>
          </c:val>
          <c:extLst>
            <c:ext xmlns:c16="http://schemas.microsoft.com/office/drawing/2014/chart" uri="{C3380CC4-5D6E-409C-BE32-E72D297353CC}">
              <c16:uniqueId val="{00000000-5F1E-426D-9583-D3BF645A9F5F}"/>
            </c:ext>
          </c:extLst>
        </c:ser>
        <c:dLbls>
          <c:dLblPos val="outEnd"/>
          <c:showLegendKey val="0"/>
          <c:showVal val="1"/>
          <c:showCatName val="0"/>
          <c:showSerName val="0"/>
          <c:showPercent val="0"/>
          <c:showBubbleSize val="0"/>
        </c:dLbls>
        <c:gapWidth val="182"/>
        <c:axId val="1725043216"/>
        <c:axId val="1725031696"/>
      </c:barChart>
      <c:catAx>
        <c:axId val="1725043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rgbClr val="FF0066"/>
                    </a:solidFill>
                  </a:rPr>
                  <a:t>Hashtags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25031696"/>
        <c:crosses val="autoZero"/>
        <c:auto val="1"/>
        <c:lblAlgn val="ctr"/>
        <c:lblOffset val="100"/>
        <c:noMultiLvlLbl val="0"/>
      </c:catAx>
      <c:valAx>
        <c:axId val="17250316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rgbClr val="FF0066"/>
                    </a:solidFill>
                  </a:rPr>
                  <a:t>Average</a:t>
                </a:r>
                <a:r>
                  <a:rPr lang="en-IN" baseline="0">
                    <a:solidFill>
                      <a:srgbClr val="FF0066"/>
                    </a:solidFill>
                  </a:rPr>
                  <a:t> Engagement</a:t>
                </a:r>
                <a:endParaRPr lang="en-IN">
                  <a:solidFill>
                    <a:srgbClr val="FF0066"/>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72504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4.xml"/><Relationship Id="rId7" Type="http://schemas.openxmlformats.org/officeDocument/2006/relationships/image" Target="../media/image4.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3.jpeg"/><Relationship Id="rId5" Type="http://schemas.openxmlformats.org/officeDocument/2006/relationships/image" Target="../media/image2.jpeg"/><Relationship Id="rId10" Type="http://schemas.openxmlformats.org/officeDocument/2006/relationships/image" Target="../media/image6.png"/><Relationship Id="rId4" Type="http://schemas.openxmlformats.org/officeDocument/2006/relationships/image" Target="../media/image1.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457200</xdr:colOff>
      <xdr:row>16</xdr:row>
      <xdr:rowOff>91440</xdr:rowOff>
    </xdr:from>
    <xdr:to>
      <xdr:col>13</xdr:col>
      <xdr:colOff>71120</xdr:colOff>
      <xdr:row>31</xdr:row>
      <xdr:rowOff>91440</xdr:rowOff>
    </xdr:to>
    <xdr:graphicFrame macro="">
      <xdr:nvGraphicFramePr>
        <xdr:cNvPr id="2" name="Chart 1">
          <a:extLst>
            <a:ext uri="{FF2B5EF4-FFF2-40B4-BE49-F238E27FC236}">
              <a16:creationId xmlns:a16="http://schemas.microsoft.com/office/drawing/2014/main" id="{4B9DB893-53D8-AD19-03B9-AB0E2CD38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24581</xdr:rowOff>
    </xdr:from>
    <xdr:to>
      <xdr:col>54</xdr:col>
      <xdr:colOff>489858</xdr:colOff>
      <xdr:row>104</xdr:row>
      <xdr:rowOff>1</xdr:rowOff>
    </xdr:to>
    <xdr:sp macro="" textlink="">
      <xdr:nvSpPr>
        <xdr:cNvPr id="2" name="TextBox 1">
          <a:extLst>
            <a:ext uri="{FF2B5EF4-FFF2-40B4-BE49-F238E27FC236}">
              <a16:creationId xmlns:a16="http://schemas.microsoft.com/office/drawing/2014/main" id="{45EEB9DD-7024-FD5E-056A-8A9C40772C45}"/>
            </a:ext>
          </a:extLst>
        </xdr:cNvPr>
        <xdr:cNvSpPr txBox="1"/>
      </xdr:nvSpPr>
      <xdr:spPr>
        <a:xfrm>
          <a:off x="0" y="24581"/>
          <a:ext cx="33025486" cy="18741885"/>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70" b="0" i="0" u="none" strike="noStrike" kern="1200" baseline="0">
              <a:solidFill>
                <a:srgbClr val="FF0066"/>
              </a:solidFill>
              <a:latin typeface="Calibri" panose="020F0502020204030204" pitchFamily="34" charset="0"/>
              <a:ea typeface="Calibri" panose="020F0502020204030204" pitchFamily="34" charset="0"/>
              <a:cs typeface="Calibri" panose="020F0502020204030204" pitchFamily="34" charset="0"/>
            </a:rPr>
            <a:t>=SUM(C:C)+SUM(D:D)+SUM(E:E)</a:t>
          </a:r>
          <a:r>
            <a:rPr lang="en-IN" sz="1100" b="1" i="0" u="none" strike="noStrike">
              <a:solidFill>
                <a:schemeClr val="dk1"/>
              </a:solidFill>
              <a:effectLst/>
              <a:latin typeface="+mn-lt"/>
              <a:ea typeface="+mn-ea"/>
              <a:cs typeface="+mn-cs"/>
            </a:rPr>
            <a:t>                    25,96,920.0 </a:t>
          </a:r>
          <a:r>
            <a:rPr lang="en-IN" sz="1000"/>
            <a:t>Total ygyutudashboard using Excel and Power Query, where I performed data transformation, KPI analysis, and derived actionable insights to improve content strategy.”</a:t>
          </a:r>
          <a:endParaRPr lang="en-IN" sz="970" b="0" i="0" u="none" strike="noStrike" kern="1200" baseline="0">
            <a:solidFill>
              <a:srgbClr val="FF0066"/>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0</xdr:colOff>
      <xdr:row>0</xdr:row>
      <xdr:rowOff>0</xdr:rowOff>
    </xdr:from>
    <xdr:to>
      <xdr:col>54</xdr:col>
      <xdr:colOff>508000</xdr:colOff>
      <xdr:row>3</xdr:row>
      <xdr:rowOff>158750</xdr:rowOff>
    </xdr:to>
    <xdr:sp macro="" textlink="">
      <xdr:nvSpPr>
        <xdr:cNvPr id="3" name="TextBox 2">
          <a:extLst>
            <a:ext uri="{FF2B5EF4-FFF2-40B4-BE49-F238E27FC236}">
              <a16:creationId xmlns:a16="http://schemas.microsoft.com/office/drawing/2014/main" id="{9A2F20D0-7895-1C87-8A01-7778425745E1}"/>
            </a:ext>
          </a:extLst>
        </xdr:cNvPr>
        <xdr:cNvSpPr txBox="1"/>
      </xdr:nvSpPr>
      <xdr:spPr>
        <a:xfrm>
          <a:off x="0" y="0"/>
          <a:ext cx="33083500" cy="104775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b="0" i="0" u="none" strike="noStrike">
              <a:solidFill>
                <a:srgbClr val="FFFF00"/>
              </a:solidFill>
              <a:effectLst/>
              <a:latin typeface="Arial Black" panose="020B0A04020102020204" pitchFamily="34" charset="0"/>
              <a:ea typeface="+mn-ea"/>
              <a:cs typeface="+mn-cs"/>
            </a:rPr>
            <a:t>                                         </a:t>
          </a:r>
          <a:r>
            <a:rPr lang="en-IN" sz="4000" b="1" i="0" u="none" strike="noStrike">
              <a:solidFill>
                <a:srgbClr val="00366C"/>
              </a:solidFill>
              <a:effectLst/>
              <a:latin typeface="Arial Black" panose="020B0A04020102020204" pitchFamily="34" charset="0"/>
              <a:ea typeface="+mn-ea"/>
              <a:cs typeface="+mn-cs"/>
            </a:rPr>
            <a:t>SOCIAL PERFORMANCE INTELLIGENCE DASHBOARD</a:t>
          </a:r>
          <a:r>
            <a:rPr lang="en-IN" sz="4000" b="1">
              <a:solidFill>
                <a:srgbClr val="00366C"/>
              </a:solidFill>
              <a:effectLst/>
              <a:latin typeface="Arial Black" panose="020B0A04020102020204" pitchFamily="34" charset="0"/>
            </a:rPr>
            <a:t> </a:t>
          </a:r>
          <a:endParaRPr lang="en-IN" sz="4800" b="1">
            <a:solidFill>
              <a:srgbClr val="00366C"/>
            </a:solidFill>
            <a:latin typeface="Arial Black" panose="020B0A04020102020204" pitchFamily="34" charset="0"/>
          </a:endParaRPr>
        </a:p>
      </xdr:txBody>
    </xdr:sp>
    <xdr:clientData/>
  </xdr:twoCellAnchor>
  <xdr:twoCellAnchor>
    <xdr:from>
      <xdr:col>11</xdr:col>
      <xdr:colOff>81694</xdr:colOff>
      <xdr:row>8</xdr:row>
      <xdr:rowOff>114299</xdr:rowOff>
    </xdr:from>
    <xdr:to>
      <xdr:col>29</xdr:col>
      <xdr:colOff>592665</xdr:colOff>
      <xdr:row>44</xdr:row>
      <xdr:rowOff>28222</xdr:rowOff>
    </xdr:to>
    <xdr:graphicFrame macro="">
      <xdr:nvGraphicFramePr>
        <xdr:cNvPr id="4" name="Chart 3">
          <a:extLst>
            <a:ext uri="{FF2B5EF4-FFF2-40B4-BE49-F238E27FC236}">
              <a16:creationId xmlns:a16="http://schemas.microsoft.com/office/drawing/2014/main" id="{F42105AA-20B5-422E-9531-CFE4EF051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416051</xdr:colOff>
      <xdr:row>8</xdr:row>
      <xdr:rowOff>137471</xdr:rowOff>
    </xdr:from>
    <xdr:to>
      <xdr:col>52</xdr:col>
      <xdr:colOff>218495</xdr:colOff>
      <xdr:row>44</xdr:row>
      <xdr:rowOff>52804</xdr:rowOff>
    </xdr:to>
    <xdr:graphicFrame macro="">
      <xdr:nvGraphicFramePr>
        <xdr:cNvPr id="5" name="Chart 4">
          <a:extLst>
            <a:ext uri="{FF2B5EF4-FFF2-40B4-BE49-F238E27FC236}">
              <a16:creationId xmlns:a16="http://schemas.microsoft.com/office/drawing/2014/main" id="{434720C3-9B71-4F55-9918-89356B837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41590</xdr:colOff>
      <xdr:row>48</xdr:row>
      <xdr:rowOff>55614</xdr:rowOff>
    </xdr:from>
    <xdr:to>
      <xdr:col>30</xdr:col>
      <xdr:colOff>141111</xdr:colOff>
      <xdr:row>80</xdr:row>
      <xdr:rowOff>84667</xdr:rowOff>
    </xdr:to>
    <xdr:graphicFrame macro="">
      <xdr:nvGraphicFramePr>
        <xdr:cNvPr id="7" name="Chart 6">
          <a:extLst>
            <a:ext uri="{FF2B5EF4-FFF2-40B4-BE49-F238E27FC236}">
              <a16:creationId xmlns:a16="http://schemas.microsoft.com/office/drawing/2014/main" id="{B0E09CB6-E2F5-4BCA-A4B9-33B894188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39</xdr:col>
      <xdr:colOff>174171</xdr:colOff>
      <xdr:row>0</xdr:row>
      <xdr:rowOff>130628</xdr:rowOff>
    </xdr:from>
    <xdr:to>
      <xdr:col>52</xdr:col>
      <xdr:colOff>244255</xdr:colOff>
      <xdr:row>3</xdr:row>
      <xdr:rowOff>87086</xdr:rowOff>
    </xdr:to>
    <xdr:pic>
      <xdr:nvPicPr>
        <xdr:cNvPr id="28" name="Picture 27">
          <a:extLst>
            <a:ext uri="{FF2B5EF4-FFF2-40B4-BE49-F238E27FC236}">
              <a16:creationId xmlns:a16="http://schemas.microsoft.com/office/drawing/2014/main" id="{C74174F2-6579-3276-5306-6CC24A62F5C5}"/>
            </a:ext>
          </a:extLst>
        </xdr:cNvPr>
        <xdr:cNvPicPr>
          <a:picLocks noChangeAspect="1"/>
        </xdr:cNvPicPr>
      </xdr:nvPicPr>
      <xdr:blipFill>
        <a:blip xmlns:r="http://schemas.openxmlformats.org/officeDocument/2006/relationships" r:embed="rId4">
          <a:alphaModFix amt="20000"/>
        </a:blip>
        <a:stretch>
          <a:fillRect/>
        </a:stretch>
      </xdr:blipFill>
      <xdr:spPr>
        <a:xfrm>
          <a:off x="23948571" y="130628"/>
          <a:ext cx="7994884" cy="827315"/>
        </a:xfrm>
        <a:prstGeom prst="rect">
          <a:avLst/>
        </a:prstGeom>
        <a:blipFill>
          <a:blip xmlns:r="http://schemas.openxmlformats.org/officeDocument/2006/relationships" r:embed="rId5">
            <a:alphaModFix amt="20000"/>
          </a:blip>
          <a:tile tx="0" ty="0" sx="100000" sy="100000" flip="none" algn="tl"/>
        </a:blipFill>
        <a:effectLst>
          <a:outerShdw blurRad="50800" dist="50800" dir="5400000" algn="ctr" rotWithShape="0">
            <a:srgbClr val="000000">
              <a:alpha val="0"/>
            </a:srgbClr>
          </a:outerShdw>
        </a:effectLst>
      </xdr:spPr>
    </xdr:pic>
    <xdr:clientData/>
  </xdr:twoCellAnchor>
  <xdr:twoCellAnchor editAs="oneCell">
    <xdr:from>
      <xdr:col>0</xdr:col>
      <xdr:colOff>1</xdr:colOff>
      <xdr:row>1</xdr:row>
      <xdr:rowOff>1</xdr:rowOff>
    </xdr:from>
    <xdr:to>
      <xdr:col>13</xdr:col>
      <xdr:colOff>65314</xdr:colOff>
      <xdr:row>3</xdr:row>
      <xdr:rowOff>130630</xdr:rowOff>
    </xdr:to>
    <xdr:pic>
      <xdr:nvPicPr>
        <xdr:cNvPr id="29" name="Picture 28">
          <a:extLst>
            <a:ext uri="{FF2B5EF4-FFF2-40B4-BE49-F238E27FC236}">
              <a16:creationId xmlns:a16="http://schemas.microsoft.com/office/drawing/2014/main" id="{BAC974B1-2062-40E7-AEE3-8168B1976124}"/>
            </a:ext>
          </a:extLst>
        </xdr:cNvPr>
        <xdr:cNvPicPr>
          <a:picLocks noChangeAspect="1"/>
        </xdr:cNvPicPr>
      </xdr:nvPicPr>
      <xdr:blipFill>
        <a:blip xmlns:r="http://schemas.openxmlformats.org/officeDocument/2006/relationships" r:embed="rId4">
          <a:alphaModFix amt="20000"/>
        </a:blip>
        <a:stretch>
          <a:fillRect/>
        </a:stretch>
      </xdr:blipFill>
      <xdr:spPr>
        <a:xfrm>
          <a:off x="1" y="174172"/>
          <a:ext cx="7990113" cy="827315"/>
        </a:xfrm>
        <a:prstGeom prst="rect">
          <a:avLst/>
        </a:prstGeom>
        <a:blipFill>
          <a:blip xmlns:r="http://schemas.openxmlformats.org/officeDocument/2006/relationships" r:embed="rId5">
            <a:alphaModFix amt="20000"/>
          </a:blip>
          <a:tile tx="0" ty="0" sx="100000" sy="100000" flip="none" algn="tl"/>
        </a:blipFill>
        <a:effectLst>
          <a:outerShdw blurRad="50800" dist="50800" dir="5400000" algn="ctr" rotWithShape="0">
            <a:srgbClr val="000000">
              <a:alpha val="0"/>
            </a:srgbClr>
          </a:outerShdw>
        </a:effectLst>
      </xdr:spPr>
    </xdr:pic>
    <xdr:clientData/>
  </xdr:twoCellAnchor>
  <xdr:oneCellAnchor>
    <xdr:from>
      <xdr:col>16</xdr:col>
      <xdr:colOff>304800</xdr:colOff>
      <xdr:row>30</xdr:row>
      <xdr:rowOff>3301</xdr:rowOff>
    </xdr:from>
    <xdr:ext cx="3592286" cy="1368297"/>
    <xdr:sp macro="" textlink="">
      <xdr:nvSpPr>
        <xdr:cNvPr id="6" name="TextBox 5">
          <a:extLst>
            <a:ext uri="{FF2B5EF4-FFF2-40B4-BE49-F238E27FC236}">
              <a16:creationId xmlns:a16="http://schemas.microsoft.com/office/drawing/2014/main" id="{B2ED54B5-D307-968F-06A2-697563C3A589}"/>
            </a:ext>
          </a:extLst>
        </xdr:cNvPr>
        <xdr:cNvSpPr txBox="1"/>
      </xdr:nvSpPr>
      <xdr:spPr>
        <a:xfrm flipV="1">
          <a:off x="10058400" y="5576787"/>
          <a:ext cx="3592286" cy="13682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9</xdr:col>
      <xdr:colOff>312057</xdr:colOff>
      <xdr:row>81</xdr:row>
      <xdr:rowOff>68943</xdr:rowOff>
    </xdr:from>
    <xdr:ext cx="6487885" cy="3598934"/>
    <xdr:sp macro="" textlink="">
      <xdr:nvSpPr>
        <xdr:cNvPr id="9" name="TextBox 8">
          <a:extLst>
            <a:ext uri="{FF2B5EF4-FFF2-40B4-BE49-F238E27FC236}">
              <a16:creationId xmlns:a16="http://schemas.microsoft.com/office/drawing/2014/main" id="{AAD00A94-4E7F-B88F-8B28-3D8B120C9ED1}"/>
            </a:ext>
          </a:extLst>
        </xdr:cNvPr>
        <xdr:cNvSpPr txBox="1"/>
      </xdr:nvSpPr>
      <xdr:spPr>
        <a:xfrm>
          <a:off x="5798457" y="14800943"/>
          <a:ext cx="6487885" cy="3598934"/>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800">
              <a:solidFill>
                <a:srgbClr val="FF0000"/>
              </a:solidFill>
            </a:rPr>
            <a:t>--&gt;Key Insights:</a:t>
          </a:r>
        </a:p>
        <a:p>
          <a:r>
            <a:rPr lang="en-IN" sz="2800"/>
            <a:t>• Poll posts generate the highest total engagement</a:t>
          </a:r>
        </a:p>
        <a:p>
          <a:r>
            <a:rPr lang="en-IN" sz="2800"/>
            <a:t>• Evening time shows peak engagement levels</a:t>
          </a:r>
        </a:p>
        <a:p>
          <a:r>
            <a:rPr lang="en-IN" sz="2800"/>
            <a:t>• Video content consistently performs well</a:t>
          </a:r>
        </a:p>
        <a:p>
          <a:r>
            <a:rPr lang="en-IN" sz="2800"/>
            <a:t>• Higher hashtag usage slightly improves engagement</a:t>
          </a:r>
        </a:p>
      </xdr:txBody>
    </xdr:sp>
    <xdr:clientData/>
  </xdr:oneCellAnchor>
  <xdr:oneCellAnchor>
    <xdr:from>
      <xdr:col>43</xdr:col>
      <xdr:colOff>86307</xdr:colOff>
      <xdr:row>83</xdr:row>
      <xdr:rowOff>74954</xdr:rowOff>
    </xdr:from>
    <xdr:ext cx="6072881" cy="2283959"/>
    <xdr:sp macro="" textlink="">
      <xdr:nvSpPr>
        <xdr:cNvPr id="12" name="TextBox 11">
          <a:extLst>
            <a:ext uri="{FF2B5EF4-FFF2-40B4-BE49-F238E27FC236}">
              <a16:creationId xmlns:a16="http://schemas.microsoft.com/office/drawing/2014/main" id="{D1EA5F51-B04E-4787-FE41-50F573A8E222}"/>
            </a:ext>
          </a:extLst>
        </xdr:cNvPr>
        <xdr:cNvSpPr txBox="1"/>
      </xdr:nvSpPr>
      <xdr:spPr>
        <a:xfrm>
          <a:off x="26299107" y="15162554"/>
          <a:ext cx="6072881" cy="22839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baseline="0">
              <a:solidFill>
                <a:srgbClr val="FF0000"/>
              </a:solidFill>
            </a:rPr>
            <a:t>--&gt;</a:t>
          </a:r>
          <a:r>
            <a:rPr lang="en-IN" sz="2800">
              <a:solidFill>
                <a:srgbClr val="FF0000"/>
              </a:solidFill>
            </a:rPr>
            <a:t>Recommendations:</a:t>
          </a:r>
        </a:p>
        <a:p>
          <a:r>
            <a:rPr lang="en-IN" sz="2800"/>
            <a:t>• Focus on video and poll-based content</a:t>
          </a:r>
        </a:p>
        <a:p>
          <a:r>
            <a:rPr lang="en-IN" sz="2800"/>
            <a:t>• Schedule posts during evening hours</a:t>
          </a:r>
        </a:p>
        <a:p>
          <a:r>
            <a:rPr lang="en-IN" sz="2800"/>
            <a:t>• Use 3–5 hashtags for better reach</a:t>
          </a:r>
        </a:p>
        <a:p>
          <a:r>
            <a:rPr lang="en-IN" sz="2800"/>
            <a:t>• Create more shareable content</a:t>
          </a:r>
        </a:p>
      </xdr:txBody>
    </xdr:sp>
    <xdr:clientData/>
  </xdr:oneCellAnchor>
  <xdr:oneCellAnchor>
    <xdr:from>
      <xdr:col>0</xdr:col>
      <xdr:colOff>0</xdr:colOff>
      <xdr:row>4</xdr:row>
      <xdr:rowOff>5077</xdr:rowOff>
    </xdr:from>
    <xdr:ext cx="5744190" cy="19044923"/>
    <xdr:sp macro="" textlink="">
      <xdr:nvSpPr>
        <xdr:cNvPr id="8" name="TextBox 7">
          <a:extLst>
            <a:ext uri="{FF2B5EF4-FFF2-40B4-BE49-F238E27FC236}">
              <a16:creationId xmlns:a16="http://schemas.microsoft.com/office/drawing/2014/main" id="{9D623B4F-4C67-6AB1-E151-802756611D9E}"/>
            </a:ext>
          </a:extLst>
        </xdr:cNvPr>
        <xdr:cNvSpPr txBox="1"/>
      </xdr:nvSpPr>
      <xdr:spPr>
        <a:xfrm flipH="1" flipV="1">
          <a:off x="0" y="1100452"/>
          <a:ext cx="5744190" cy="19044923"/>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0</xdr:col>
      <xdr:colOff>16899</xdr:colOff>
      <xdr:row>7</xdr:row>
      <xdr:rowOff>0</xdr:rowOff>
    </xdr:from>
    <xdr:to>
      <xdr:col>9</xdr:col>
      <xdr:colOff>130585</xdr:colOff>
      <xdr:row>16</xdr:row>
      <xdr:rowOff>50559</xdr:rowOff>
    </xdr:to>
    <xdr:sp macro="" textlink="">
      <xdr:nvSpPr>
        <xdr:cNvPr id="11" name="TextBox 10">
          <a:extLst>
            <a:ext uri="{FF2B5EF4-FFF2-40B4-BE49-F238E27FC236}">
              <a16:creationId xmlns:a16="http://schemas.microsoft.com/office/drawing/2014/main" id="{BB396DA0-7905-B3D0-0F47-FD5A9755E72C}"/>
            </a:ext>
          </a:extLst>
        </xdr:cNvPr>
        <xdr:cNvSpPr txBox="1"/>
      </xdr:nvSpPr>
      <xdr:spPr>
        <a:xfrm>
          <a:off x="16899" y="1666875"/>
          <a:ext cx="5685811" cy="1765059"/>
        </a:xfrm>
        <a:prstGeom prst="rect">
          <a:avLst/>
        </a:prstGeom>
        <a:solidFill>
          <a:schemeClr val="bg2">
            <a:lumMod val="9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pPr algn="r"/>
          <a:r>
            <a:rPr lang="en-IN" sz="3600" b="1"/>
            <a:t>Total Engagement</a:t>
          </a:r>
          <a:endParaRPr lang="en-IN" sz="3600" b="1" i="0">
            <a:solidFill>
              <a:schemeClr val="dk1"/>
            </a:solidFill>
            <a:effectLst/>
            <a:latin typeface="+mn-lt"/>
            <a:ea typeface="+mn-ea"/>
            <a:cs typeface="+mn-cs"/>
          </a:endParaRPr>
        </a:p>
        <a:p>
          <a:pPr algn="r"/>
          <a:r>
            <a:rPr lang="en-IN" sz="4800" b="1" i="0" u="none" strike="noStrike">
              <a:solidFill>
                <a:schemeClr val="dk1"/>
              </a:solidFill>
              <a:effectLst/>
              <a:latin typeface="+mn-lt"/>
              <a:ea typeface="+mn-ea"/>
              <a:cs typeface="+mn-cs"/>
            </a:rPr>
            <a:t>2.6M</a:t>
          </a:r>
          <a:r>
            <a:rPr lang="en-IN" sz="4800">
              <a:effectLst/>
            </a:rPr>
            <a:t> </a:t>
          </a:r>
          <a:endParaRPr lang="en-IN" sz="4800"/>
        </a:p>
      </xdr:txBody>
    </xdr:sp>
    <xdr:clientData/>
  </xdr:twoCellAnchor>
  <xdr:twoCellAnchor editAs="oneCell">
    <xdr:from>
      <xdr:col>0</xdr:col>
      <xdr:colOff>410375</xdr:colOff>
      <xdr:row>10</xdr:row>
      <xdr:rowOff>93789</xdr:rowOff>
    </xdr:from>
    <xdr:to>
      <xdr:col>3</xdr:col>
      <xdr:colOff>167456</xdr:colOff>
      <xdr:row>15</xdr:row>
      <xdr:rowOff>47625</xdr:rowOff>
    </xdr:to>
    <xdr:pic>
      <xdr:nvPicPr>
        <xdr:cNvPr id="15" name="Picture 14" descr="Engagement Icon for Customer and User Interaction">
          <a:extLst>
            <a:ext uri="{FF2B5EF4-FFF2-40B4-BE49-F238E27FC236}">
              <a16:creationId xmlns:a16="http://schemas.microsoft.com/office/drawing/2014/main" id="{39B6C818-F95D-4E6F-A8BB-09C4E9C20D7C}"/>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10375" y="2332164"/>
          <a:ext cx="1614456" cy="906336"/>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xdr:colOff>
      <xdr:row>18</xdr:row>
      <xdr:rowOff>138465</xdr:rowOff>
    </xdr:from>
    <xdr:to>
      <xdr:col>9</xdr:col>
      <xdr:colOff>130586</xdr:colOff>
      <xdr:row>27</xdr:row>
      <xdr:rowOff>166687</xdr:rowOff>
    </xdr:to>
    <xdr:sp macro="" textlink="">
      <xdr:nvSpPr>
        <xdr:cNvPr id="10" name="TextBox 9">
          <a:extLst>
            <a:ext uri="{FF2B5EF4-FFF2-40B4-BE49-F238E27FC236}">
              <a16:creationId xmlns:a16="http://schemas.microsoft.com/office/drawing/2014/main" id="{9CB7972E-379C-BEFB-AB44-99B4C57A048C}"/>
            </a:ext>
          </a:extLst>
        </xdr:cNvPr>
        <xdr:cNvSpPr txBox="1"/>
      </xdr:nvSpPr>
      <xdr:spPr>
        <a:xfrm>
          <a:off x="1" y="3900840"/>
          <a:ext cx="5702710" cy="1742722"/>
        </a:xfrm>
        <a:prstGeom prst="rect">
          <a:avLst/>
        </a:prstGeom>
        <a:solidFill>
          <a:schemeClr val="bg2">
            <a:lumMod val="9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pPr marL="0" marR="0" lvl="0" indent="0" algn="r" defTabSz="914400" rtl="0" eaLnBrk="1" fontAlgn="auto" latinLnBrk="0" hangingPunct="1">
            <a:lnSpc>
              <a:spcPct val="100000"/>
            </a:lnSpc>
            <a:spcBef>
              <a:spcPts val="0"/>
            </a:spcBef>
            <a:spcAft>
              <a:spcPts val="0"/>
            </a:spcAft>
            <a:buClrTx/>
            <a:buSzTx/>
            <a:buFontTx/>
            <a:buNone/>
            <a:tabLst/>
            <a:defRPr/>
          </a:pPr>
          <a:r>
            <a:rPr lang="en-IN" sz="3200" b="1"/>
            <a:t>Avg Engagement Rate</a:t>
          </a:r>
        </a:p>
        <a:p>
          <a:pPr marL="0" marR="0" lvl="0" indent="0" algn="r" defTabSz="914400" rtl="0" eaLnBrk="1" fontAlgn="auto" latinLnBrk="0" hangingPunct="1">
            <a:lnSpc>
              <a:spcPct val="100000"/>
            </a:lnSpc>
            <a:spcBef>
              <a:spcPts val="0"/>
            </a:spcBef>
            <a:spcAft>
              <a:spcPts val="0"/>
            </a:spcAft>
            <a:buClrTx/>
            <a:buSzTx/>
            <a:buFontTx/>
            <a:buNone/>
            <a:tabLst/>
            <a:defRPr/>
          </a:pPr>
          <a:r>
            <a:rPr lang="en-IN" sz="4800" b="1" i="0" u="none" strike="noStrike">
              <a:solidFill>
                <a:schemeClr val="dk1"/>
              </a:solidFill>
              <a:effectLst/>
              <a:latin typeface="+mn-lt"/>
              <a:ea typeface="+mn-ea"/>
              <a:cs typeface="+mn-cs"/>
            </a:rPr>
            <a:t>53%</a:t>
          </a:r>
        </a:p>
        <a:p>
          <a:pPr algn="r"/>
          <a:endParaRPr lang="en-IN" sz="3200" b="1"/>
        </a:p>
      </xdr:txBody>
    </xdr:sp>
    <xdr:clientData/>
  </xdr:twoCellAnchor>
  <xdr:twoCellAnchor editAs="oneCell">
    <xdr:from>
      <xdr:col>0</xdr:col>
      <xdr:colOff>410375</xdr:colOff>
      <xdr:row>20</xdr:row>
      <xdr:rowOff>95250</xdr:rowOff>
    </xdr:from>
    <xdr:to>
      <xdr:col>3</xdr:col>
      <xdr:colOff>47624</xdr:colOff>
      <xdr:row>26</xdr:row>
      <xdr:rowOff>95250</xdr:rowOff>
    </xdr:to>
    <xdr:pic>
      <xdr:nvPicPr>
        <xdr:cNvPr id="18" name="Picture 17">
          <a:extLst>
            <a:ext uri="{FF2B5EF4-FFF2-40B4-BE49-F238E27FC236}">
              <a16:creationId xmlns:a16="http://schemas.microsoft.com/office/drawing/2014/main" id="{9652BC77-D7D0-AA77-B19E-DB2B74A33D0E}"/>
            </a:ext>
          </a:extLst>
        </xdr:cNvPr>
        <xdr:cNvPicPr>
          <a:picLocks noChangeAspect="1"/>
        </xdr:cNvPicPr>
      </xdr:nvPicPr>
      <xdr:blipFill>
        <a:blip xmlns:r="http://schemas.openxmlformats.org/officeDocument/2006/relationships" r:embed="rId7"/>
        <a:stretch>
          <a:fillRect/>
        </a:stretch>
      </xdr:blipFill>
      <xdr:spPr>
        <a:xfrm>
          <a:off x="410375" y="4238625"/>
          <a:ext cx="1494624" cy="1143000"/>
        </a:xfrm>
        <a:prstGeom prst="rect">
          <a:avLst/>
        </a:prstGeom>
        <a:ln>
          <a:noFill/>
        </a:ln>
        <a:effectLst>
          <a:softEdge rad="112500"/>
        </a:effectLst>
      </xdr:spPr>
    </xdr:pic>
    <xdr:clientData/>
  </xdr:twoCellAnchor>
  <xdr:oneCellAnchor>
    <xdr:from>
      <xdr:col>0</xdr:col>
      <xdr:colOff>16899</xdr:colOff>
      <xdr:row>41</xdr:row>
      <xdr:rowOff>0</xdr:rowOff>
    </xdr:from>
    <xdr:ext cx="5685811" cy="1720152"/>
    <xdr:sp macro="" textlink="">
      <xdr:nvSpPr>
        <xdr:cNvPr id="17" name="TextBox 16">
          <a:extLst>
            <a:ext uri="{FF2B5EF4-FFF2-40B4-BE49-F238E27FC236}">
              <a16:creationId xmlns:a16="http://schemas.microsoft.com/office/drawing/2014/main" id="{D3CF2799-4AB9-035E-2082-5A6E56E5B201}"/>
            </a:ext>
          </a:extLst>
        </xdr:cNvPr>
        <xdr:cNvSpPr txBox="1"/>
      </xdr:nvSpPr>
      <xdr:spPr>
        <a:xfrm>
          <a:off x="16899" y="8143875"/>
          <a:ext cx="5685811" cy="1720152"/>
        </a:xfrm>
        <a:prstGeom prst="rect">
          <a:avLst/>
        </a:prstGeom>
        <a:solidFill>
          <a:schemeClr val="bg2">
            <a:lumMod val="9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noAutofit/>
        </a:bodyPr>
        <a:lstStyle/>
        <a:p>
          <a:pPr algn="r"/>
          <a:r>
            <a:rPr lang="en-IN" sz="4400" b="1"/>
            <a:t>         </a:t>
          </a:r>
          <a:r>
            <a:rPr lang="en-IN" sz="3600" b="1"/>
            <a:t>Average CTR</a:t>
          </a:r>
          <a:endParaRPr lang="en-IN" sz="4400" b="1"/>
        </a:p>
        <a:p>
          <a:pPr algn="r"/>
          <a:r>
            <a:rPr lang="en-IN" sz="4400" b="1"/>
            <a:t>                 </a:t>
          </a:r>
          <a:r>
            <a:rPr lang="en-IN" sz="4800" b="1"/>
            <a:t>5%</a:t>
          </a:r>
          <a:endParaRPr lang="en-IN" sz="4400" b="1"/>
        </a:p>
        <a:p>
          <a:endParaRPr lang="en-IN" sz="4400" b="1"/>
        </a:p>
      </xdr:txBody>
    </xdr:sp>
    <xdr:clientData/>
  </xdr:oneCellAnchor>
  <xdr:twoCellAnchor editAs="oneCell">
    <xdr:from>
      <xdr:col>1</xdr:col>
      <xdr:colOff>0</xdr:colOff>
      <xdr:row>42</xdr:row>
      <xdr:rowOff>0</xdr:rowOff>
    </xdr:from>
    <xdr:to>
      <xdr:col>3</xdr:col>
      <xdr:colOff>47624</xdr:colOff>
      <xdr:row>49</xdr:row>
      <xdr:rowOff>5652</xdr:rowOff>
    </xdr:to>
    <xdr:pic>
      <xdr:nvPicPr>
        <xdr:cNvPr id="20" name="Picture 19">
          <a:extLst>
            <a:ext uri="{FF2B5EF4-FFF2-40B4-BE49-F238E27FC236}">
              <a16:creationId xmlns:a16="http://schemas.microsoft.com/office/drawing/2014/main" id="{A971078D-855A-7F93-6F3E-F1588CC1D82A}"/>
            </a:ext>
          </a:extLst>
        </xdr:cNvPr>
        <xdr:cNvPicPr>
          <a:picLocks noChangeAspect="1"/>
        </xdr:cNvPicPr>
      </xdr:nvPicPr>
      <xdr:blipFill>
        <a:blip xmlns:r="http://schemas.openxmlformats.org/officeDocument/2006/relationships" r:embed="rId8"/>
        <a:stretch>
          <a:fillRect/>
        </a:stretch>
      </xdr:blipFill>
      <xdr:spPr>
        <a:xfrm>
          <a:off x="619125" y="8334375"/>
          <a:ext cx="1285874" cy="1339152"/>
        </a:xfrm>
        <a:prstGeom prst="rect">
          <a:avLst/>
        </a:prstGeom>
        <a:ln>
          <a:noFill/>
        </a:ln>
        <a:effectLst>
          <a:softEdge rad="112500"/>
        </a:effectLst>
      </xdr:spPr>
    </xdr:pic>
    <xdr:clientData/>
  </xdr:twoCellAnchor>
  <xdr:twoCellAnchor editAs="oneCell">
    <xdr:from>
      <xdr:col>1</xdr:col>
      <xdr:colOff>76200</xdr:colOff>
      <xdr:row>54</xdr:row>
      <xdr:rowOff>0</xdr:rowOff>
    </xdr:from>
    <xdr:to>
      <xdr:col>7</xdr:col>
      <xdr:colOff>594450</xdr:colOff>
      <xdr:row>69</xdr:row>
      <xdr:rowOff>22500</xdr:rowOff>
    </xdr:to>
    <mc:AlternateContent xmlns:mc="http://schemas.openxmlformats.org/markup-compatibility/2006">
      <mc:Choice xmlns:a14="http://schemas.microsoft.com/office/drawing/2010/main" Requires="a14">
        <xdr:graphicFrame macro="">
          <xdr:nvGraphicFramePr>
            <xdr:cNvPr id="22" name="post_type">
              <a:extLst>
                <a:ext uri="{FF2B5EF4-FFF2-40B4-BE49-F238E27FC236}">
                  <a16:creationId xmlns:a16="http://schemas.microsoft.com/office/drawing/2014/main" id="{25985B5C-DCED-446D-8F51-74AF29F6A31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ost_type"/>
            </a:graphicData>
          </a:graphic>
        </xdr:graphicFrame>
      </mc:Choice>
      <mc:Fallback>
        <xdr:sp macro="" textlink="">
          <xdr:nvSpPr>
            <xdr:cNvPr id="0" name=""/>
            <xdr:cNvSpPr>
              <a:spLocks noTextEdit="1"/>
            </xdr:cNvSpPr>
          </xdr:nvSpPr>
          <xdr:spPr>
            <a:xfrm>
              <a:off x="695325" y="10620375"/>
              <a:ext cx="4233000" cy="28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81643</xdr:colOff>
      <xdr:row>70</xdr:row>
      <xdr:rowOff>71437</xdr:rowOff>
    </xdr:from>
    <xdr:to>
      <xdr:col>8</xdr:col>
      <xdr:colOff>0</xdr:colOff>
      <xdr:row>83</xdr:row>
      <xdr:rowOff>164569</xdr:rowOff>
    </xdr:to>
    <mc:AlternateContent xmlns:mc="http://schemas.openxmlformats.org/markup-compatibility/2006">
      <mc:Choice xmlns:a14="http://schemas.microsoft.com/office/drawing/2010/main" Requires="a14">
        <xdr:graphicFrame macro="">
          <xdr:nvGraphicFramePr>
            <xdr:cNvPr id="25" name="hashtags">
              <a:extLst>
                <a:ext uri="{FF2B5EF4-FFF2-40B4-BE49-F238E27FC236}">
                  <a16:creationId xmlns:a16="http://schemas.microsoft.com/office/drawing/2014/main" id="{11B60667-E3FA-4C08-88DE-6B463BCB9347}"/>
                </a:ext>
              </a:extLst>
            </xdr:cNvPr>
            <xdr:cNvGraphicFramePr/>
          </xdr:nvGraphicFramePr>
          <xdr:xfrm>
            <a:off x="0" y="0"/>
            <a:ext cx="0" cy="0"/>
          </xdr:xfrm>
          <a:graphic>
            <a:graphicData uri="http://schemas.microsoft.com/office/drawing/2010/slicer">
              <sle:slicer xmlns:sle="http://schemas.microsoft.com/office/drawing/2010/slicer" name="hashtags"/>
            </a:graphicData>
          </a:graphic>
        </xdr:graphicFrame>
      </mc:Choice>
      <mc:Fallback>
        <xdr:sp macro="" textlink="">
          <xdr:nvSpPr>
            <xdr:cNvPr id="0" name=""/>
            <xdr:cNvSpPr>
              <a:spLocks noTextEdit="1"/>
            </xdr:cNvSpPr>
          </xdr:nvSpPr>
          <xdr:spPr>
            <a:xfrm>
              <a:off x="700768" y="13739812"/>
              <a:ext cx="4252232" cy="2569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81643</xdr:colOff>
      <xdr:row>85</xdr:row>
      <xdr:rowOff>0</xdr:rowOff>
    </xdr:from>
    <xdr:to>
      <xdr:col>7</xdr:col>
      <xdr:colOff>601719</xdr:colOff>
      <xdr:row>102</xdr:row>
      <xdr:rowOff>0</xdr:rowOff>
    </xdr:to>
    <mc:AlternateContent xmlns:mc="http://schemas.openxmlformats.org/markup-compatibility/2006">
      <mc:Choice xmlns:a14="http://schemas.microsoft.com/office/drawing/2010/main" Requires="a14">
        <xdr:graphicFrame macro="">
          <xdr:nvGraphicFramePr>
            <xdr:cNvPr id="23" name="posting_time">
              <a:extLst>
                <a:ext uri="{FF2B5EF4-FFF2-40B4-BE49-F238E27FC236}">
                  <a16:creationId xmlns:a16="http://schemas.microsoft.com/office/drawing/2014/main" id="{D4C0FACB-B04D-4C99-8EA9-61796EA6D17D}"/>
                </a:ext>
              </a:extLst>
            </xdr:cNvPr>
            <xdr:cNvGraphicFramePr/>
          </xdr:nvGraphicFramePr>
          <xdr:xfrm>
            <a:off x="0" y="0"/>
            <a:ext cx="0" cy="0"/>
          </xdr:xfrm>
          <a:graphic>
            <a:graphicData uri="http://schemas.microsoft.com/office/drawing/2010/slicer">
              <sle:slicer xmlns:sle="http://schemas.microsoft.com/office/drawing/2010/slicer" name="posting_time"/>
            </a:graphicData>
          </a:graphic>
        </xdr:graphicFrame>
      </mc:Choice>
      <mc:Fallback>
        <xdr:sp macro="" textlink="">
          <xdr:nvSpPr>
            <xdr:cNvPr id="0" name=""/>
            <xdr:cNvSpPr>
              <a:spLocks noTextEdit="1"/>
            </xdr:cNvSpPr>
          </xdr:nvSpPr>
          <xdr:spPr>
            <a:xfrm>
              <a:off x="700768" y="16525875"/>
              <a:ext cx="4234826" cy="323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211667</xdr:colOff>
      <xdr:row>82</xdr:row>
      <xdr:rowOff>14111</xdr:rowOff>
    </xdr:from>
    <xdr:to>
      <xdr:col>36</xdr:col>
      <xdr:colOff>76200</xdr:colOff>
      <xdr:row>101</xdr:row>
      <xdr:rowOff>79022</xdr:rowOff>
    </xdr:to>
    <xdr:sp macro="" textlink="">
      <xdr:nvSpPr>
        <xdr:cNvPr id="13" name="TextBox 12">
          <a:extLst>
            <a:ext uri="{FF2B5EF4-FFF2-40B4-BE49-F238E27FC236}">
              <a16:creationId xmlns:a16="http://schemas.microsoft.com/office/drawing/2014/main" id="{DB5DD5FB-0F47-B7B1-9133-B2D4357641EB}"/>
            </a:ext>
          </a:extLst>
        </xdr:cNvPr>
        <xdr:cNvSpPr txBox="1"/>
      </xdr:nvSpPr>
      <xdr:spPr>
        <a:xfrm>
          <a:off x="16670867" y="14923911"/>
          <a:ext cx="5350933" cy="3443111"/>
        </a:xfrm>
        <a:prstGeom prst="rect">
          <a:avLst/>
        </a:prstGeom>
        <a:solidFill>
          <a:schemeClr val="bg2"/>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rgbClr val="FF0000"/>
              </a:solidFill>
            </a:rPr>
            <a:t>Result: </a:t>
          </a:r>
        </a:p>
        <a:p>
          <a:r>
            <a:rPr lang="en-IN" sz="2800"/>
            <a:t>I built an end-to-end social media analytics dashboard using Excel and Power Query, where I performed data transformation, KPI analysis, and derived actionable insights to improve content strategy.</a:t>
          </a:r>
        </a:p>
      </xdr:txBody>
    </xdr:sp>
    <xdr:clientData/>
  </xdr:twoCellAnchor>
  <xdr:twoCellAnchor>
    <xdr:from>
      <xdr:col>33</xdr:col>
      <xdr:colOff>415636</xdr:colOff>
      <xdr:row>48</xdr:row>
      <xdr:rowOff>0</xdr:rowOff>
    </xdr:from>
    <xdr:to>
      <xdr:col>52</xdr:col>
      <xdr:colOff>138546</xdr:colOff>
      <xdr:row>80</xdr:row>
      <xdr:rowOff>0</xdr:rowOff>
    </xdr:to>
    <xdr:graphicFrame macro="">
      <xdr:nvGraphicFramePr>
        <xdr:cNvPr id="27" name="Chart 26">
          <a:extLst>
            <a:ext uri="{FF2B5EF4-FFF2-40B4-BE49-F238E27FC236}">
              <a16:creationId xmlns:a16="http://schemas.microsoft.com/office/drawing/2014/main" id="{D45667BB-BD42-4CCD-B239-B78C7704E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0</xdr:col>
      <xdr:colOff>0</xdr:colOff>
      <xdr:row>30</xdr:row>
      <xdr:rowOff>3301</xdr:rowOff>
    </xdr:from>
    <xdr:ext cx="5702710" cy="1711199"/>
    <xdr:sp macro="" textlink="">
      <xdr:nvSpPr>
        <xdr:cNvPr id="14" name="TextBox 13">
          <a:extLst>
            <a:ext uri="{FF2B5EF4-FFF2-40B4-BE49-F238E27FC236}">
              <a16:creationId xmlns:a16="http://schemas.microsoft.com/office/drawing/2014/main" id="{A3182DA7-454E-4EAF-A3D4-772F33654A79}"/>
            </a:ext>
          </a:extLst>
        </xdr:cNvPr>
        <xdr:cNvSpPr txBox="1"/>
      </xdr:nvSpPr>
      <xdr:spPr>
        <a:xfrm>
          <a:off x="0" y="6051676"/>
          <a:ext cx="5702710" cy="1711199"/>
        </a:xfrm>
        <a:prstGeom prst="rect">
          <a:avLst/>
        </a:prstGeom>
        <a:solidFill>
          <a:schemeClr val="bg2">
            <a:lumMod val="9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noAutofit/>
        </a:bodyPr>
        <a:lstStyle/>
        <a:p>
          <a:r>
            <a:rPr lang="en-IN" sz="4400" b="1"/>
            <a:t>                           </a:t>
          </a:r>
          <a:r>
            <a:rPr lang="en-IN" sz="3200" b="1">
              <a:solidFill>
                <a:schemeClr val="dk1"/>
              </a:solidFill>
              <a:effectLst/>
              <a:latin typeface="+mn-lt"/>
              <a:ea typeface="+mn-ea"/>
              <a:cs typeface="+mn-cs"/>
            </a:rPr>
            <a:t>Total Reach             </a:t>
          </a:r>
          <a:endParaRPr lang="en-IN" sz="8000">
            <a:effectLst/>
          </a:endParaRPr>
        </a:p>
        <a:p>
          <a:r>
            <a:rPr lang="en-IN" sz="3200" b="1" i="0">
              <a:solidFill>
                <a:schemeClr val="dk1"/>
              </a:solidFill>
              <a:effectLst/>
              <a:latin typeface="+mn-lt"/>
              <a:ea typeface="+mn-ea"/>
              <a:cs typeface="+mn-cs"/>
            </a:rPr>
            <a:t>                                          </a:t>
          </a:r>
          <a:r>
            <a:rPr lang="en-IN" sz="4400" b="1" i="0">
              <a:solidFill>
                <a:schemeClr val="dk1"/>
              </a:solidFill>
              <a:effectLst/>
              <a:latin typeface="+mn-lt"/>
              <a:ea typeface="+mn-ea"/>
              <a:cs typeface="+mn-cs"/>
            </a:rPr>
            <a:t>16.0M</a:t>
          </a:r>
          <a:r>
            <a:rPr lang="en-IN" sz="3200">
              <a:solidFill>
                <a:schemeClr val="dk1"/>
              </a:solidFill>
              <a:effectLst/>
              <a:latin typeface="+mn-lt"/>
              <a:ea typeface="+mn-ea"/>
              <a:cs typeface="+mn-cs"/>
            </a:rPr>
            <a:t> </a:t>
          </a:r>
          <a:r>
            <a:rPr lang="en-IN" sz="3200" b="1">
              <a:solidFill>
                <a:schemeClr val="dk1"/>
              </a:solidFill>
              <a:effectLst/>
              <a:latin typeface="+mn-lt"/>
              <a:ea typeface="+mn-ea"/>
              <a:cs typeface="+mn-cs"/>
            </a:rPr>
            <a:t> </a:t>
          </a:r>
          <a:endParaRPr lang="en-IN" sz="8000">
            <a:effectLst/>
          </a:endParaRPr>
        </a:p>
        <a:p>
          <a:endParaRPr lang="en-IN" sz="4400" b="1"/>
        </a:p>
      </xdr:txBody>
    </xdr:sp>
    <xdr:clientData/>
  </xdr:oneCellAnchor>
  <xdr:twoCellAnchor editAs="oneCell">
    <xdr:from>
      <xdr:col>0</xdr:col>
      <xdr:colOff>595312</xdr:colOff>
      <xdr:row>31</xdr:row>
      <xdr:rowOff>80130</xdr:rowOff>
    </xdr:from>
    <xdr:to>
      <xdr:col>2</xdr:col>
      <xdr:colOff>595312</xdr:colOff>
      <xdr:row>37</xdr:row>
      <xdr:rowOff>142875</xdr:rowOff>
    </xdr:to>
    <xdr:pic>
      <xdr:nvPicPr>
        <xdr:cNvPr id="19" name="Picture 18">
          <a:extLst>
            <a:ext uri="{FF2B5EF4-FFF2-40B4-BE49-F238E27FC236}">
              <a16:creationId xmlns:a16="http://schemas.microsoft.com/office/drawing/2014/main" id="{26F3CC78-77D2-E659-F014-591FF37F95FF}"/>
            </a:ext>
          </a:extLst>
        </xdr:cNvPr>
        <xdr:cNvPicPr>
          <a:picLocks noChangeAspect="1"/>
        </xdr:cNvPicPr>
      </xdr:nvPicPr>
      <xdr:blipFill>
        <a:blip xmlns:r="http://schemas.openxmlformats.org/officeDocument/2006/relationships" r:embed="rId10"/>
        <a:stretch>
          <a:fillRect/>
        </a:stretch>
      </xdr:blipFill>
      <xdr:spPr>
        <a:xfrm>
          <a:off x="595312" y="6319005"/>
          <a:ext cx="1238250" cy="1205745"/>
        </a:xfrm>
        <a:prstGeom prst="rect">
          <a:avLst/>
        </a:prstGeom>
        <a:ln>
          <a:noFill/>
        </a:ln>
        <a:effectLst>
          <a:softEdge rad="112500"/>
        </a:effectLst>
      </xdr:spPr>
    </xdr:pic>
    <xdr:clientData/>
  </xdr:twoCellAnchor>
</xdr:wsDr>
</file>

<file path=xl/drawings/drawing3.xml><?xml version="1.0" encoding="utf-8"?>
<c:userShapes xmlns:c="http://schemas.openxmlformats.org/drawingml/2006/chart">
  <cdr:relSizeAnchor xmlns:cdr="http://schemas.openxmlformats.org/drawingml/2006/chartDrawing">
    <cdr:from>
      <cdr:x>0.47906</cdr:x>
      <cdr:y>0.50409</cdr:y>
    </cdr:from>
    <cdr:to>
      <cdr:x>0.58559</cdr:x>
      <cdr:y>0.66636</cdr:y>
    </cdr:to>
    <cdr:sp macro="" textlink="">
      <cdr:nvSpPr>
        <cdr:cNvPr id="2" name="TextBox 1">
          <a:extLst xmlns:a="http://schemas.openxmlformats.org/drawingml/2006/main">
            <a:ext uri="{FF2B5EF4-FFF2-40B4-BE49-F238E27FC236}">
              <a16:creationId xmlns:a16="http://schemas.microsoft.com/office/drawing/2014/main" id="{37A679AE-8B25-6863-30BA-F3B8FF08A935}"/>
            </a:ext>
          </a:extLst>
        </cdr:cNvPr>
        <cdr:cNvSpPr txBox="1"/>
      </cdr:nvSpPr>
      <cdr:spPr>
        <a:xfrm xmlns:a="http://schemas.openxmlformats.org/drawingml/2006/main">
          <a:off x="3255309" y="2485464"/>
          <a:ext cx="723900" cy="8001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itha" refreshedDate="46099.936253819447" createdVersion="8" refreshedVersion="8" minRefreshableVersion="3" recordCount="300" xr:uid="{240118A6-F63D-4B1D-8D68-FD71FAD19F5A}">
  <cacheSource type="worksheet">
    <worksheetSource ref="A1:S301" sheet="Data"/>
  </cacheSource>
  <cacheFields count="19">
    <cacheField name="post_id" numFmtId="0">
      <sharedItems count="300">
        <s v="c4e1f1b3-0d27-4ebd-927a-969eddfa0263"/>
        <s v="20a8b3b3-e607-43ba-a495-e902c680a047"/>
        <s v="10f2dff0-06f7-46f8-a8ad-518b3342ec90"/>
        <s v="aded85d0-f364-49de-be2a-44fde916405d"/>
        <s v="f0e3ad71-e8b7-42c4-b659-99bafe380a83"/>
        <s v="810bb44d-df35-4fd6-be93-b5ae37dc1be5"/>
        <s v="757ad123-9f7d-4e73-aa24-228576baeea6"/>
        <s v="d3c380c5-11e0-4f4a-8570-05c13d2cada0"/>
        <s v="591bf8fe-8978-4583-a9fb-ea908934b2e2"/>
        <s v="05e50b5f-e08f-4982-b0f2-e2689917bbe6"/>
        <s v="a19765fc-e339-446d-a475-ccbabe1e1b63"/>
        <s v="d589b7aa-246d-4d0f-97b5-dbd13ba56be0"/>
        <s v="f4b65ba5-c9d9-4822-ac04-128de73dbe4f"/>
        <s v="b5a5793c-c356-4106-ae47-a3564b257814"/>
        <s v="dfb9ee43-e2bc-4637-9e51-374994cf9d47"/>
        <s v="a579f475-2212-4372-bc68-0578aa260bee"/>
        <s v="005482ad-eaba-4edb-aab7-aa499f166c6f"/>
        <s v="f72ebd83-fef6-4eb1-9415-0e2267779a5f"/>
        <s v="71f35d59-b999-411e-a19e-965ac1677431"/>
        <s v="3bee4455-c6b6-4d1b-9021-1148d5656bdf"/>
        <s v="4203fb47-0fcb-4418-85ba-7d4236f705e4"/>
        <s v="259732c8-a99a-49ea-b529-d824537b4749"/>
        <s v="161a3474-19ad-42ff-80f7-102bb2d6612e"/>
        <s v="641eca4b-26b1-4902-b685-37fe1bae36c3"/>
        <s v="1ac38d57-9b8b-4973-9141-74feb4446a38"/>
        <s v="2b8b2f74-19a2-4daa-85ae-37d43bb66f97"/>
        <s v="fef10df4-d34c-4d00-9267-a4f577eb06b5"/>
        <s v="f3048eb4-63de-4c8c-99ca-c72e8598dc2a"/>
        <s v="30dac416-b621-4f18-8b70-2c44e0fcd8bc"/>
        <s v="44dbdc04-37d6-4a9a-8889-0f72f2405bcd"/>
        <s v="025dd42c-05d6-4498-b31d-63fee0f9fe88"/>
        <s v="d6c573ff-40b7-4028-8445-996431708893"/>
        <s v="625d6e05-ddf8-4c47-bb6b-dc2e88af37ab"/>
        <s v="5233324f-72e8-4fca-bda2-1eadf7fa18e4"/>
        <s v="23125daf-a578-4988-ab22-ace131bce08d"/>
        <s v="1f8f50fd-ee51-497e-894e-9095f7a7ab21"/>
        <s v="1939c6f0-b709-4aab-b322-5d9ae4ea9f89"/>
        <s v="c876ffdf-8ad4-4cda-bd6d-dddc1eef8d20"/>
        <s v="e9afb38c-1caa-49bf-9b07-20b43df8f7c3"/>
        <s v="54b9eff5-ab27-4919-bb5d-b1c05619b955"/>
        <s v="fc14eeeb-bb3f-4b09-81df-d7ed08ef9fa4"/>
        <s v="12066dd0-a28d-4a6e-a5f5-668eb864a510"/>
        <s v="cb4a8d90-4fe7-49cb-8778-29efb70632af"/>
        <s v="aa7d712c-f078-4bf8-ab62-91a75fe4f859"/>
        <s v="e4f54dd9-ad6b-414b-9b1e-628f96b14b84"/>
        <s v="d453af2c-6cb3-49f6-8682-9e2ba19cfc16"/>
        <s v="bfe1d201-e244-41bf-8532-1b9c1e84f445"/>
        <s v="9f3ed2b8-233a-4772-b9d8-b79e02263ad6"/>
        <s v="5ea747d9-50ed-4fd0-9faf-c2bf73610331"/>
        <s v="ecf98644-e5a4-4663-bb97-257aa4b41e41"/>
        <s v="d032b736-625f-445e-afa7-8628f7872c05"/>
        <s v="e518fe80-23f6-4648-9f1b-da2d060f70fe"/>
        <s v="82a683ac-a5dc-4401-b63d-dda64e413930"/>
        <s v="77fe9db2-73eb-4171-9471-f7a17b6aeb5e"/>
        <s v="eee38604-5e95-4421-9912-a4a852666979"/>
        <s v="13b85f38-ee4c-4ed5-9434-6eb20fdcd8a5"/>
        <s v="852ad19b-4e12-4580-b352-2e84c37e128d"/>
        <s v="82860a7c-d74c-4b61-b944-fa451306e0e3"/>
        <s v="249b47bb-9608-4008-88d9-dd7690449078"/>
        <s v="e36d1838-ed66-47e1-aad7-bc9980fa2b4d"/>
        <s v="c0638ddb-56ab-4e5b-b252-58a748da2bfd"/>
        <s v="1c2396d0-86c6-4937-8953-69b1ac96f89e"/>
        <s v="5b22ebc2-d4bd-42c3-8ba2-c2dd6ca9a504"/>
        <s v="83681b56-9ce8-489c-8aa9-2d3a1777386b"/>
        <s v="71fa4a06-69c6-4dee-91cf-c090ab9ba41b"/>
        <s v="866fdf7a-0fcc-4a37-bba1-72e277dfc4eb"/>
        <s v="96418f4a-cd38-4449-9e85-33867859ce96"/>
        <s v="91e5c811-e505-453f-9cc9-8f384283bd7f"/>
        <s v="aeccf81f-b9a3-4a78-9261-e9a42c11f511"/>
        <s v="56bdcf3a-5589-4c0a-a7a1-d59fdc478922"/>
        <s v="29fc9f45-341d-4f58-9d87-96b263ae9945"/>
        <s v="f4a52772-e6fa-4f1b-a41d-d5f6970adba5"/>
        <s v="29371e78-a5fc-4485-9fc5-6169abadf659"/>
        <s v="457cfd4e-a8d6-42fb-a11b-865d9c927194"/>
        <s v="91687029-404f-48cd-bb4d-3229e5f385d7"/>
        <s v="3cac435c-6b07-45c7-9916-b1c62c301100"/>
        <s v="8e485377-b7c3-450f-9517-66c4baf5a4a1"/>
        <s v="fcf21392-8844-4306-bd49-ac64447751b7"/>
        <s v="bf76b058-fedb-43a1-a74a-490ff6f56701"/>
        <s v="856c3e00-3bbf-4e00-b15d-a3b18d40c620"/>
        <s v="c8a539f0-00db-4396-957e-a656e0267397"/>
        <s v="b67613b6-de0a-4ced-8675-ed18bab4715d"/>
        <s v="953729d0-4f79-484f-a551-aa4722403cdf"/>
        <s v="655633b6-7a47-4386-9a4a-e666876a6980"/>
        <s v="c648ec85-c832-4faf-b228-530d160172a5"/>
        <s v="a36a7a8b-cdeb-40d6-baa3-f94a782bfce0"/>
        <s v="61c015ae-a84c-470e-9445-b4461b3b6020"/>
        <s v="416ef4f4-ce54-4013-b852-5b12db5faffc"/>
        <s v="ecb38852-cc09-4ea4-9866-64ee1171d3d4"/>
        <s v="8ced8d15-db37-49ef-9e96-3e114e868225"/>
        <s v="ecdb0915-f774-409e-9869-f5b90572d15e"/>
        <s v="b648c3a9-6438-4259-ba9d-44ceb07be777"/>
        <s v="698def13-d870-47a6-9a64-294524cfcc90"/>
        <s v="f6302d87-84c7-449d-b2a2-de53bd728852"/>
        <s v="2cce5efd-7b6b-484f-86f9-0678a0a369b1"/>
        <s v="b2a9d64e-3744-42c5-8640-39fac4ea28ab"/>
        <s v="38a1464d-f755-45b1-993b-846e510d8931"/>
        <s v="62d3c061-e127-4b47-a1ac-df384d2030f6"/>
        <s v="c54e1d43-eadd-4177-8b83-882d48d27bc5"/>
        <s v="01a18bf4-0866-43b4-a6ae-dfd4437ef05e"/>
        <s v="7e8ee616-0790-4aa5-9722-29185edf0d2d"/>
        <s v="249928d1-d8db-4f03-8872-11b39957c46b"/>
        <s v="9da2809a-0cf8-41ec-a355-fcfd32259138"/>
        <s v="ebdb2f1c-5ddf-4d6b-a827-00cb918bb623"/>
        <s v="cf651e2f-937b-4eee-bd5d-90eee97629ff"/>
        <s v="e5b290fb-8fd5-4e41-9a53-9a19a9af6f64"/>
        <s v="5835b517-dc8d-42de-af26-a7910f8446f7"/>
        <s v="4476d073-7f61-4fda-965b-7d27900021d7"/>
        <s v="af139ab6-ea5c-46a7-bdb3-b767a80b78e9"/>
        <s v="eaae9db5-d62f-4108-85eb-5751e3a8d209"/>
        <s v="205eddea-33d3-43aa-8ed1-e4aa8cc84a69"/>
        <s v="e1021f37-7e77-487f-a61c-b2e8f823d6f4"/>
        <s v="a0bb4ecd-6a9f-4177-bd5d-0cd490650ade"/>
        <s v="d32bd3b0-1324-4bef-83a0-f01aa7276b06"/>
        <s v="7680894f-2754-40d9-a879-e778982d9a05"/>
        <s v="0219c215-faa5-4272-be38-78a923b3c649"/>
        <s v="dae2d861-d7cb-4fa2-add2-89024a41958e"/>
        <s v="7e80e9b3-c3fc-400d-811b-16969348e957"/>
        <s v="1ed3417c-3048-4c54-b020-2ea3f4ee5610"/>
        <s v="b45ecb10-73af-4bc6-b02f-aa6ffa5dc451"/>
        <s v="104a86ca-8b27-4d59-9364-c92531ce3f93"/>
        <s v="dca83de5-1348-44c6-8e68-f237a300d619"/>
        <s v="7fae506d-16d5-4eb9-9ffc-66c0d80ade68"/>
        <s v="07ff5487-eede-4dcf-9f24-98d03b41be27"/>
        <s v="740fbf5b-a2c7-4885-a32b-36e194496e0d"/>
        <s v="95297b74-a985-4f91-a488-ca3e8d82bb80"/>
        <s v="c169446c-3810-4375-a33d-d276ec16ec20"/>
        <s v="0b47da89-d029-4e9c-98e7-a1c74c16e6c7"/>
        <s v="ac43d196-51df-4453-8fc1-f16a7d5f5a9d"/>
        <s v="f9847e67-3490-4e17-8e6b-bb3215bd7fc0"/>
        <s v="34f005ea-8e5f-49a1-954a-2a12301ec8d7"/>
        <s v="d94d0905-1460-4030-895c-9610afe5a8b1"/>
        <s v="09a2169e-871e-4007-af3a-c05d75bc612e"/>
        <s v="574bf9ca-5c2b-4f64-a57f-148eb65e6428"/>
        <s v="d529ff70-f580-4226-a1ac-6a520fab374b"/>
        <s v="2976bf40-be70-4bd5-a86d-30e5542d9558"/>
        <s v="b80aeca0-0ea4-4610-9b18-186db5fe5826"/>
        <s v="7c59d7c5-e1b6-493b-a978-6d96e40d1272"/>
        <s v="8901342e-bf41-491f-8e08-2fed4ad94b9d"/>
        <s v="683635ff-b96f-458b-b6f9-272389a8fbc1"/>
        <s v="15420370-ae54-4bff-a87a-b61daec3fb71"/>
        <s v="b5a33f07-5157-402b-9964-465ae3345d9d"/>
        <s v="a61ec259-5224-4dab-aab2-42475c73d0bd"/>
        <s v="63e3c165-a084-46ad-bb52-39e444c698b2"/>
        <s v="c5ea5fbd-8e8a-43fc-9dc7-250a42c4a7c7"/>
        <s v="5e023e16-56b7-435c-a9e0-1441db4203c2"/>
        <s v="f7b96575-b76a-4e3b-bf61-24f1f5a7fd50"/>
        <s v="790888d1-37b1-4596-92e4-e0a03c692171"/>
        <s v="5b76ee5d-6130-4778-8970-7138cacc0f4c"/>
        <s v="0dee04df-788c-402b-a96c-063babcd37b0"/>
        <s v="772f1950-6f54-43e1-aa33-b5e88c6b720b"/>
        <s v="8c01bf1f-0d1a-4fee-be07-8a448782548c"/>
        <s v="9898774b-f5c5-457b-96de-788a89614945"/>
        <s v="9c7a2c37-4dae-4535-84af-3b8517611a1e"/>
        <s v="c2c73efb-97c3-445f-90ee-50fda393f4e1"/>
        <s v="cae290d1-663a-4c43-a908-b4da550f4bcc"/>
        <s v="1d96b587-720d-4b15-8b8b-92c92184b707"/>
        <s v="1176eacc-6895-4632-977f-6521cf2b80f0"/>
        <s v="d770cc32-3a6e-4a0a-b0c6-2ba74bff26a3"/>
        <s v="e61106a1-d2eb-48cd-a43f-094b098b6cb1"/>
        <s v="6df95b0d-2b7e-4a60-8736-bad0012e5ec8"/>
        <s v="d5aaa436-301a-497a-aecb-f3c9a327cee7"/>
        <s v="1a8a3a8a-28e5-4d9a-8d9a-4dc858f9c2ec"/>
        <s v="7d5c14a1-33f3-4f2d-851a-e5682021e258"/>
        <s v="ee8f3bfa-61a5-4573-898d-7039ad1ce182"/>
        <s v="b451177f-1b7f-4153-93b9-06bd7a79818f"/>
        <s v="bc81ad48-07b6-4144-ab1e-0bbf76793b03"/>
        <s v="933d8313-ecc8-4e44-a3f0-990dd2a904a8"/>
        <s v="8bc71b2a-addf-4999-aa2f-dd3f3e3bf567"/>
        <s v="0a825bc6-9a1b-480d-97d9-d41e845e42ce"/>
        <s v="024764d4-0e0f-4cbf-b9a8-f017755b3ac5"/>
        <s v="6def4324-7657-44f7-9867-acd31cd874ea"/>
        <s v="f48effa7-e06b-4d29-ab4a-c545a23e1732"/>
        <s v="626c9a29-f769-4c65-bd96-d67aec1183f9"/>
        <s v="ea8c7236-2f5c-4b94-b565-84f3c8039f79"/>
        <s v="85807fe0-9e99-4862-95c4-b4af276c9e95"/>
        <s v="b0b6ebe7-705c-465b-b8bc-9ac8d0b7bef9"/>
        <s v="2b781cd5-9445-4a25-baef-f7a0861da5d4"/>
        <s v="72eb6416-81e5-4bd3-a934-9d8ba6d66816"/>
        <s v="66ea029d-cdb3-4353-9059-8fc873ca120f"/>
        <s v="076dbee9-2745-48e2-9125-04a36c19def8"/>
        <s v="b464c22d-1216-4726-9445-564fc070c6a0"/>
        <s v="1febb052-1859-4d37-ae6d-aa4800de57e7"/>
        <s v="b0beec68-023a-4f0c-ac78-9076b4548786"/>
        <s v="d640750f-aeb0-4940-bbe8-91295a211fd7"/>
        <s v="5ae515cb-49dd-4aa0-b703-68110f33ef91"/>
        <s v="f3c5f074-2235-4d47-9500-6594304ab10a"/>
        <s v="4112851a-7c66-428d-8376-a901ff802d85"/>
        <s v="1f5278c6-cb12-45a9-9d96-152615b92c5a"/>
        <s v="65e1c600-c471-4763-823f-e02e8ffc3cb2"/>
        <s v="117bbcbc-046a-4d20-96e3-8dffe4d284e9"/>
        <s v="7c0878cc-6c47-4826-9423-311899c8b3f0"/>
        <s v="a43193bd-61c0-4876-9763-9ea509c950f4"/>
        <s v="06c9b427-59d9-4101-83ba-c326ab357a83"/>
        <s v="64d26019-c2fc-426c-a189-abd90bc4d487"/>
        <s v="2ce896e1-4651-4334-b193-1c3114db3e39"/>
        <s v="5df458c4-c133-4ed5-bf46-9269445be558"/>
        <s v="fb62b7df-3d86-4e80-aabe-4f594c8a79d5"/>
        <s v="3155be37-a28a-414e-9215-18c38bd4015d"/>
        <s v="d3c3358f-9b98-4267-b6a1-e67f3d12d751"/>
        <s v="e62f4850-1c5f-4a61-bd31-c5e35e40a568"/>
        <s v="74c6cdef-bebc-4f46-a814-00fa583f4f98"/>
        <s v="ffbe078a-85f5-44f0-8761-e5d3629c9eb1"/>
        <s v="c01f1912-8394-4469-80ac-53a1a27e6c95"/>
        <s v="87a3c664-0b3c-4ff7-bc13-c23a60ba4228"/>
        <s v="ff29c2c8-fab7-479f-8891-4cfc3196aea5"/>
        <s v="d5083ec7-a64e-4aed-9f2d-600502a602a5"/>
        <s v="2ebc5f04-a4f9-4542-9ef7-5720c525035e"/>
        <s v="49036873-f16d-4d8f-8fe2-2ea11145dc20"/>
        <s v="8d01ceb9-ac99-4f12-a951-79734de27089"/>
        <s v="376842b0-b7f9-4756-a1b0-de97587e1397"/>
        <s v="c3ac5957-f972-42b5-b092-cb537e141357"/>
        <s v="db1a52f5-8bf6-4a29-a3be-18df354d1972"/>
        <s v="e38d60d7-8439-450d-ae43-1d9b7facb3fa"/>
        <s v="1e06ac56-a83c-4cce-a02f-0ff592d7d543"/>
        <s v="9c206bd1-297f-4f9e-9875-5ea7aca33b44"/>
        <s v="381a4be5-3df9-413a-aed7-8bc844cc9f6a"/>
        <s v="d518727e-2952-4349-ae6e-86d028773e30"/>
        <s v="58abc8be-60de-4802-b9a4-7b733e64b51a"/>
        <s v="16c57c0d-10b1-4699-9709-1a42b652577b"/>
        <s v="18f6d122-40db-4f24-8941-e52960d94714"/>
        <s v="b7ee8462-8b49-4c43-b63d-71f77ec607d3"/>
        <s v="96645eac-866e-4e50-8e4a-c7375baa2a21"/>
        <s v="08cac43c-76f7-4da5-87e4-ceca3da74ae3"/>
        <s v="feab625f-51ff-4fd6-b32d-cd328c6e4035"/>
        <s v="aa82fe0c-dc73-4c00-bbf8-9e1da96a981c"/>
        <s v="c9f01437-02e2-4409-b3fb-cdcb18f72b25"/>
        <s v="2d40d0bc-b066-4647-a782-b452e3562247"/>
        <s v="d1d09bcf-4d79-4366-b908-e29dc7a915f0"/>
        <s v="1b67ff3d-aaa2-447a-a0a2-4396c4bcd893"/>
        <s v="49ffc989-daa3-4ca8-ae2d-68cdd2c7609b"/>
        <s v="dc3400bb-81d6-42ec-8f7d-79169ad5b8c0"/>
        <s v="bcad8789-fd40-48af-bb23-b921d84c1f7a"/>
        <s v="c07cfdd4-e208-4fc2-a517-ef17b046cd3f"/>
        <s v="8d69a287-5637-4448-8903-cf4431f42b6b"/>
        <s v="acfcb7b9-c52c-4c8c-99cd-3184ca20c137"/>
        <s v="fad41d09-4182-4b78-8409-74ad535eb35e"/>
        <s v="21ba918c-b19a-4239-8b4c-8bf60ca0309e"/>
        <s v="cdbe474f-ea5c-43c3-b0f4-5b279c40b48b"/>
        <s v="2b4f0af8-70d1-49a5-a78d-b62b03ac9743"/>
        <s v="b7523474-a54f-46b9-bd9f-b4015d060f5c"/>
        <s v="35a39509-378b-4e83-b858-7ab3353a7d7a"/>
        <s v="f25a23b4-9787-4e54-ac35-70c69f9479c3"/>
        <s v="c114af7b-e304-4401-9fff-e505e584f156"/>
        <s v="7e8b992c-16c0-4ef7-baab-f8aaff1f544b"/>
        <s v="70692973-9498-40c8-ae47-765bf749ebf9"/>
        <s v="c8be09bf-8ec0-46e5-b485-942a180d4fd8"/>
        <s v="74df5709-fa64-4234-a07d-4ead5d86b440"/>
        <s v="f2c61481-7a01-4103-ae89-b0b8dd590d42"/>
        <s v="b0f576a8-d73f-487f-93da-846e585d0442"/>
        <s v="c9bb3f22-552f-4de8-b5a1-69866cb648b9"/>
        <s v="e8a97c8c-0a09-477a-9c31-7d8b6948faa4"/>
        <s v="9d28da6f-879e-486a-88b1-dde9e26cca66"/>
        <s v="b28723fc-c3a5-4385-bc74-474abda0ec6b"/>
        <s v="2da15e6e-0e93-45a2-bce6-b7af316503f7"/>
        <s v="2320e466-58af-4f5a-bb05-7df83e9b9f28"/>
        <s v="c38848f6-3952-463e-9887-dd83b8817a84"/>
        <s v="5ad7bc49-9d6f-4699-9396-566d8789bb80"/>
        <s v="20ebd8af-a813-4768-8fee-7d1968f75e1f"/>
        <s v="ab09cd90-7b08-4a8b-a388-bdf665076cfe"/>
        <s v="6d4b765e-e0f6-4f07-af8e-c1ca2c427574"/>
        <s v="56f00943-8bfd-4727-8e76-5c9f2de482b0"/>
        <s v="4eb2a80e-3b16-4212-9595-5261c2a7c17f"/>
        <s v="83f6b9fc-7c7c-4597-8b60-72022bcefb31"/>
        <s v="ad071ecc-7103-475b-8ebf-79f1780153b3"/>
        <s v="0736d107-50a9-49b3-988e-3b5d01b33a5d"/>
        <s v="a4db828f-76a8-4660-a43c-3342ca5cb2b9"/>
        <s v="4036c2d6-75a2-4944-98df-eb4f7038e0b9"/>
        <s v="97b255fc-1540-4449-a1f1-923893c07256"/>
        <s v="a4ec05ed-82a8-4fa3-a31e-4d92ff406f15"/>
        <s v="666e0fb7-7f7a-414b-b4c9-c595b9e7e223"/>
        <s v="0687b489-4442-4200-8bfd-c6d05d511432"/>
        <s v="0b661d7c-abf2-4733-ae3e-288fd6e0ee1c"/>
        <s v="99a2b49c-a5f5-4d77-bfa8-d860762b2f94"/>
        <s v="38a324ab-abd7-4101-b7c2-2e479280ff50"/>
        <s v="3bbf1d13-2e9b-4935-95f2-5178884301eb"/>
        <s v="b86a5547-caeb-4471-b9c0-f468dbffa896"/>
        <s v="6dd69a31-fe94-4ab6-bc65-2a3dcdc748f8"/>
        <s v="d2978a54-f88e-402e-b8b2-b1d2bb6e996a"/>
        <s v="63724c5d-e37a-4d97-a84c-3bf26dc19179"/>
        <s v="5f3f72a3-b90b-4fc5-87e9-b46266217395"/>
        <s v="d0df210f-d285-4158-a21e-c5665e612ea3"/>
        <s v="906b5970-f30d-4674-a495-e43c9daa771b"/>
        <s v="7a7528c1-556c-45c7-a0e5-60ac531aacfb"/>
        <s v="bc20746c-b0cd-499c-a66b-c5fa52c08761"/>
        <s v="ca87a8a0-3aaf-412e-9966-2f58a5042450"/>
        <s v="ea35a4b0-b7af-44b3-ad08-4a6f358d504c"/>
        <s v="178ce62b-ae80-45ef-80b8-25e434445935"/>
        <s v="149bec96-362e-4f4a-931b-703355c47866"/>
        <s v="ad5ddc51-a696-4fe4-83e3-62b6cdc60fda"/>
        <s v="a0f27292-5842-4adb-9a76-cf7294511bd8"/>
        <s v="c591d201-6006-4227-84be-03d1bc7a917c"/>
        <s v="5ea3d675-9d40-49c4-a02b-d222cdc6066b"/>
        <s v="01bac31e-3f87-4b8b-9925-d8b21892df3a"/>
        <s v="dff72481-64b3-42f4-a04e-c97fa4ae6ab1"/>
        <s v="eac39fd7-9d24-4be8-98a3-35ff700769ee"/>
        <s v="e4d6fef0-18e3-451d-b8b7-460f1a022bb4"/>
        <s v="a77df14f-7a10-4416-8898-6b6145de442c"/>
        <s v="1f997628-d85c-483c-9a07-05b62e2b32cd"/>
        <s v="151f6d97-fea5-4950-87d0-a97ea8579ced"/>
      </sharedItems>
    </cacheField>
    <cacheField name="user_id" numFmtId="0">
      <sharedItems/>
    </cacheField>
    <cacheField name="likes" numFmtId="2">
      <sharedItems containsSemiMixedTypes="0" containsString="0" containsNumber="1" containsInteger="1" minValue="54" maxValue="9984"/>
    </cacheField>
    <cacheField name="shares" numFmtId="2">
      <sharedItems containsSemiMixedTypes="0" containsString="0" containsNumber="1" containsInteger="1" minValue="8" maxValue="4979"/>
    </cacheField>
    <cacheField name="comments" numFmtId="2">
      <sharedItems containsSemiMixedTypes="0" containsString="0" containsNumber="1" containsInteger="1" minValue="0" maxValue="1993"/>
    </cacheField>
    <cacheField name="engagement_rate" numFmtId="0">
      <sharedItems containsSemiMixedTypes="0" containsString="0" containsNumber="1" minValue="0.38" maxValue="99.73"/>
    </cacheField>
    <cacheField name="impressions" numFmtId="0">
      <sharedItems containsSemiMixedTypes="0" containsString="0" containsNumber="1" containsInteger="1" minValue="891" maxValue="99233"/>
    </cacheField>
    <cacheField name="reach" numFmtId="0">
      <sharedItems containsSemiMixedTypes="0" containsString="0" containsNumber="1" containsInteger="1" minValue="129" maxValue="99906"/>
    </cacheField>
    <cacheField name="ctr" numFmtId="9">
      <sharedItems containsSemiMixedTypes="0" containsString="0" containsNumber="1" minValue="0.02" maxValue="9.9600000000000009"/>
    </cacheField>
    <cacheField name="post_type" numFmtId="0">
      <sharedItems count="4">
        <s v="Image"/>
        <s v="Poll"/>
        <s v="Video"/>
        <s v="Text"/>
      </sharedItems>
    </cacheField>
    <cacheField name="hashtags" numFmtId="0">
      <sharedItems count="300">
        <s v="white, friend, nothing"/>
        <s v="through, again, once"/>
        <s v="pull, food, blood"/>
        <s v="personal, accept, unit"/>
        <s v="make, when, debate"/>
        <s v="another, theory, view"/>
        <s v="the, can, PM"/>
        <s v="plan, already, far"/>
        <s v="help, authority, example"/>
        <s v="west, wide, remain"/>
        <s v="and, style, father"/>
        <s v="they, continue, mouth"/>
        <s v="significant, total, others"/>
        <s v="quickly, among, floor"/>
        <s v="natural, building, good"/>
        <s v="guess, growth, ready"/>
        <s v="market, PM, finally"/>
        <s v="by, drop, likely"/>
        <s v="number, true, job"/>
        <s v="final, glass, instead"/>
        <s v="green, strategy, too"/>
        <s v="old, product, play"/>
        <s v="only, yard, picture"/>
        <s v="turn, large, add"/>
        <s v="amount, since, floor"/>
        <s v="state, will, find"/>
        <s v="space, must, although"/>
        <s v="win, company, city"/>
        <s v="man, will, thing"/>
        <s v="quality, make, follow"/>
        <s v="soon, course, one"/>
        <s v="action, shoulder, skin"/>
        <s v="certainly, pick, success"/>
        <s v="professor, society, guy"/>
        <s v="effort, star, nature"/>
        <s v="front, four, here"/>
        <s v="serious, send, president"/>
        <s v="fish, point, stage"/>
        <s v="we, begin, card"/>
        <s v="fall, buy, relate"/>
        <s v="campaign, scene, star"/>
        <s v="court, section, low"/>
        <s v="popular, investment, body"/>
        <s v="look, business, peace"/>
        <s v="activity, type, ability"/>
        <s v="phone, free, believe"/>
        <s v="also, lawyer, wait"/>
        <s v="while, perhaps, fund"/>
        <s v="treat, resource, seven"/>
        <s v="food, himself, after"/>
        <s v="discuss, note, cold"/>
        <s v="upon, turn, record"/>
        <s v="whose, adult, participant"/>
        <s v="agent, thousand, data"/>
        <s v="allow, outside, discuss"/>
        <s v="work, save, person"/>
        <s v="myself, teacher, control"/>
        <s v="only, performance, back"/>
        <s v="prevent, nice, chance"/>
        <s v="middle, author, floor"/>
        <s v="production, next, staff"/>
        <s v="himself, Democrat, but"/>
        <s v="short, main, what"/>
        <s v="research, hospital, risk"/>
        <s v="quality, stop, middle"/>
        <s v="result, process, new"/>
        <s v="my, it, marriage"/>
        <s v="feel, enough, law"/>
        <s v="into, draw, character"/>
        <s v="view, machine, still"/>
        <s v="feel, beautiful, the"/>
        <s v="plant, true, south"/>
        <s v="capital, seek, there"/>
        <s v="current, mouth, tree"/>
        <s v="election, certain, true"/>
        <s v="interview, watch, article"/>
        <s v="service, each, usually"/>
        <s v="response, short, because"/>
        <s v="future, pattern, draw"/>
        <s v="very, good, none"/>
        <s v="speak, short, ago"/>
        <s v="area, huge, state"/>
        <s v="lose, community, someone"/>
        <s v="once, kid, do"/>
        <s v="think, area, before"/>
        <s v="yard, professor, still"/>
        <s v="half, face, step"/>
        <s v="short, perform, election"/>
        <s v="herself, rather, analysis"/>
        <s v="guess, try, very"/>
        <s v="sign, quite, season"/>
        <s v="a, either, happy"/>
        <s v="small, enter, low"/>
        <s v="point, teach, city"/>
        <s v="admit, bank, very"/>
        <s v="yes, voice, piece"/>
        <s v="name, fall, growth"/>
        <s v="reflect, under, near"/>
        <s v="would, heart, work"/>
        <s v="tend, stay, heavy"/>
        <s v="oil, course, study"/>
        <s v="line, likely, street"/>
        <s v="parent, give, everything"/>
        <s v="market, different, term"/>
        <s v="protect, just, they"/>
        <s v="one, me, other"/>
        <s v="send, first, section"/>
        <s v="imagine, cause, produce"/>
        <s v="could, but, only"/>
        <s v="itself, life, film"/>
        <s v="race, term, career"/>
        <s v="send, what, project"/>
        <s v="great, contain, consider"/>
        <s v="show, tonight, practice"/>
        <s v="thousand, open, thought"/>
        <s v="remember, generation, Democrat"/>
        <s v="air, similar, Mrs"/>
        <s v="amount, arm, best"/>
        <s v="certain, memory, when"/>
        <s v="sit, either, rich"/>
        <s v="fine, base, assume"/>
        <s v="establish, future, certain"/>
        <s v="wonder, thank, mouth"/>
        <s v="behavior, successful, truth"/>
        <s v="a, recognize, little"/>
        <s v="far, they, pull"/>
        <s v="someone, yes, answer"/>
        <s v="job, certain, on"/>
        <s v="article, art, its"/>
        <s v="ball, style, wear"/>
        <s v="better, people, policy"/>
        <s v="improve, very, baby"/>
        <s v="cultural, animal, who"/>
        <s v="half, father, Democrat"/>
        <s v="idea, successful, attorney"/>
        <s v="build, want, window"/>
        <s v="action, group, minute"/>
        <s v="head, design, ok"/>
        <s v="most, boy, throughout"/>
        <s v="loss, everybody, probably"/>
        <s v="until, so, out"/>
        <s v="industry, pick, trip"/>
        <s v="as, she, eat"/>
        <s v="sit, cup, oil"/>
        <s v="follow, any, south"/>
        <s v="issue, rather, institution"/>
        <s v="research, fast, role"/>
        <s v="compare, source, recent"/>
        <s v="throughout, grow, sort"/>
        <s v="consumer, lot, good"/>
        <s v="up, you, from"/>
        <s v="minute, detail, decide"/>
        <s v="card, main, theory"/>
        <s v="claim, plan, possible"/>
        <s v="health, your, behind"/>
        <s v="student, close, collection"/>
        <s v="seek, improve, personal"/>
        <s v="available, crime, center"/>
        <s v="statement, practice, important"/>
        <s v="exactly, history, remember"/>
        <s v="ask, which, for"/>
        <s v="policy, show, beat"/>
        <s v="general, main, behind"/>
        <s v="something, green, yard"/>
        <s v="easy, several, beat"/>
        <s v="top, surface, white"/>
        <s v="computer, everything, serious"/>
        <s v="we, him, five"/>
        <s v="speech, mean, ready"/>
        <s v="pretty, usually, away"/>
        <s v="price, seek, responsibility"/>
        <s v="policy, work, clear"/>
        <s v="market, tree, address"/>
        <s v="point, guess, likely"/>
        <s v="amount, hour, play"/>
        <s v="ago, production, sort"/>
        <s v="sing, line, same"/>
        <s v="account, response, you"/>
        <s v="really, society, moment"/>
        <s v="born, home, those"/>
        <s v="I, positive, chance"/>
        <s v="compare, agency, drug"/>
        <s v="prepare, detail, responsibility"/>
        <s v="pick, include, similar"/>
        <s v="important, entire, remain"/>
        <s v="admit, feel, character"/>
        <s v="community, reflect, attack"/>
        <s v="human, test, million"/>
        <s v="music, someone, from"/>
        <s v="soldier, billion, trouble"/>
        <s v="party, general, choose"/>
        <s v="general, to, officer"/>
        <s v="day, poor, site"/>
        <s v="and, resource, democratic"/>
        <s v="true, more, both"/>
        <s v="item, director, model"/>
        <s v="capital, nature, toward"/>
        <s v="paper, probably, stage"/>
        <s v="provide, order, full"/>
        <s v="activity, production, show"/>
        <s v="citizen, computer, tree"/>
        <s v="dark, make, small"/>
        <s v="thing, stuff, price"/>
        <s v="involve, city, term"/>
        <s v="support, wish, positive"/>
        <s v="industry, friend, old"/>
        <s v="member, describe, house"/>
        <s v="miss, design, idea"/>
        <s v="chair, send, eight"/>
        <s v="activity, whatever, itself"/>
        <s v="you, sit, address"/>
        <s v="reality, charge, arm"/>
        <s v="southern, discussion, street"/>
        <s v="price, evidence, tax"/>
        <s v="environmental, reason, population"/>
        <s v="vote, yet, age"/>
        <s v="represent, indeed, hold"/>
        <s v="off, huge, spend"/>
        <s v="stand, stock, debate"/>
        <s v="step, heart, us"/>
        <s v="race, above, scientist"/>
        <s v="player, professional, send"/>
        <s v="heavy, quite, two"/>
        <s v="involve, reduce, foreign"/>
        <s v="paper, role, city"/>
        <s v="both, put, may"/>
        <s v="quite, research, technology"/>
        <s v="me, future, Mrs"/>
        <s v="join, trade, up"/>
        <s v="left, all, first"/>
        <s v="final, remember, front"/>
        <s v="race, industry, sister"/>
        <s v="media, several, price"/>
        <s v="technology, left, individual"/>
        <s v="raise, manager, people"/>
        <s v="identify, father, sea"/>
        <s v="quickly, rock, company"/>
        <s v="reason, TV, base"/>
        <s v="court, sport, animal"/>
        <s v="pass, range, appear"/>
        <s v="body, writer, challenge"/>
        <s v="again, recently, body"/>
        <s v="figure, collection, stay"/>
        <s v="fine, real, young"/>
        <s v="people, remember, hospital"/>
        <s v="not, important, hour"/>
        <s v="best, name, door"/>
        <s v="peace, no, population"/>
        <s v="purpose, on, begin"/>
        <s v="animal, identify, energy"/>
        <s v="so, reveal, fine"/>
        <s v="point, stop, positive"/>
        <s v="ahead, task, Democrat"/>
        <s v="voice, pass, several"/>
        <s v="minute, attention, often"/>
        <s v="firm, foot, audience"/>
        <s v="interest, responsibility, enter"/>
        <s v="those, probably, agency"/>
        <s v="high, sit, beautiful"/>
        <s v="news, and, visit"/>
        <s v="thought, animal, TV"/>
        <s v="support, then, stop"/>
        <s v="improve, could, seem"/>
        <s v="single, Mrs, husband"/>
        <s v="learn, safe, could"/>
        <s v="step, know, wind"/>
        <s v="his, director, determine"/>
        <s v="well, threat, pull"/>
        <s v="kid, well, focus"/>
        <s v="American, fish, sense"/>
        <s v="citizen, court, science"/>
        <s v="law, cultural, until"/>
        <s v="smile, pressure, whether"/>
        <s v="president, perhaps, direction"/>
        <s v="parent, everyone, heart"/>
        <s v="thing, and, special"/>
        <s v="month, sense, instead"/>
        <s v="better, laugh, individual"/>
        <s v="hold, field, cell"/>
        <s v="must, hospital, strategy"/>
        <s v="head, defense, wonder"/>
        <s v="off, should, position"/>
        <s v="cut, conference, policy"/>
        <s v="store, marriage, between"/>
        <s v="Congress, only, positive"/>
        <s v="evidence, remember, since"/>
        <s v="apply, president, spend"/>
        <s v="easy, green, top"/>
        <s v="themselves, economy, room"/>
        <s v="challenge, rather, simply"/>
        <s v="security, civil, air"/>
        <s v="tonight, cover, moment"/>
        <s v="end, teach, start"/>
        <s v="parent, get, best"/>
        <s v="statement, eight, have"/>
        <s v="spring, even, within"/>
        <s v="evidence, suffer, ok"/>
        <s v="nation, cause, son"/>
        <s v="left, five, note"/>
        <s v="although, add, others"/>
      </sharedItems>
    </cacheField>
    <cacheField name="posting_time" numFmtId="0">
      <sharedItems count="300">
        <s v="15:32:04"/>
        <s v="14:39:21"/>
        <s v="11:39:02"/>
        <s v="10:57:56"/>
        <s v="03:53:01"/>
        <s v="23:01:53"/>
        <s v="19:15:48"/>
        <s v="08:42:14"/>
        <s v="06:02:16"/>
        <s v="02:24:15"/>
        <s v="02:54:58"/>
        <s v="05:43:52"/>
        <s v="08:34:19"/>
        <s v="08:55:41"/>
        <s v="22:21:05"/>
        <s v="16:39:17"/>
        <s v="13:32:34"/>
        <s v="02:20:18"/>
        <s v="12:55:38"/>
        <s v="20:09:12"/>
        <s v="04:23:50"/>
        <s v="11:06:31"/>
        <s v="17:59:36"/>
        <s v="19:21:11"/>
        <s v="07:00:27"/>
        <s v="00:25:18"/>
        <s v="14:22:54"/>
        <s v="03:47:32"/>
        <s v="18:46:18"/>
        <s v="07:28:38"/>
        <s v="07:51:00"/>
        <s v="08:01:49"/>
        <s v="09:13:27"/>
        <s v="12:56:09"/>
        <s v="13:14:49"/>
        <s v="02:16:59"/>
        <s v="20:47:39"/>
        <s v="19:19:38"/>
        <s v="07:14:09"/>
        <s v="02:24:04"/>
        <s v="13:52:49"/>
        <s v="10:56:40"/>
        <s v="14:10:14"/>
        <s v="09:16:54"/>
        <s v="21:06:50"/>
        <s v="15:54:10"/>
        <s v="22:37:28"/>
        <s v="05:47:24"/>
        <s v="04:53:29"/>
        <s v="04:57:26"/>
        <s v="04:43:40"/>
        <s v="11:38:20"/>
        <s v="17:15:36"/>
        <s v="22:31:34"/>
        <s v="12:06:48"/>
        <s v="05:15:25"/>
        <s v="22:30:53"/>
        <s v="08:12:16"/>
        <s v="04:46:16"/>
        <s v="11:26:40"/>
        <s v="12:56:57"/>
        <s v="05:01:35"/>
        <s v="18:07:32"/>
        <s v="01:42:33"/>
        <s v="16:34:33"/>
        <s v="16:23:46"/>
        <s v="02:44:24"/>
        <s v="21:47:40"/>
        <s v="04:29:38"/>
        <s v="16:15:46"/>
        <s v="05:39:10"/>
        <s v="15:17:17"/>
        <s v="07:44:30"/>
        <s v="18:05:48"/>
        <s v="20:27:53"/>
        <s v="18:23:08"/>
        <s v="13:01:25"/>
        <s v="11:06:04"/>
        <s v="09:25:16"/>
        <s v="12:07:18"/>
        <s v="14:40:19"/>
        <s v="03:16:07"/>
        <s v="16:47:13"/>
        <s v="07:36:02"/>
        <s v="16:58:48"/>
        <s v="20:52:49"/>
        <s v="16:17:53"/>
        <s v="04:18:53"/>
        <s v="00:20:52"/>
        <s v="07:56:33"/>
        <s v="16:38:40"/>
        <s v="11:33:37"/>
        <s v="08:06:16"/>
        <s v="10:18:23"/>
        <s v="08:22:05"/>
        <s v="05:57:27"/>
        <s v="00:27:15"/>
        <s v="17:39:33"/>
        <s v="19:15:20"/>
        <s v="10:57:52"/>
        <s v="09:25:42"/>
        <s v="10:30:44"/>
        <s v="00:02:59"/>
        <s v="14:36:38"/>
        <s v="12:36:36"/>
        <s v="11:12:10"/>
        <s v="17:51:41"/>
        <s v="07:56:09"/>
        <s v="15:01:21"/>
        <s v="08:43:04"/>
        <s v="07:54:33"/>
        <s v="19:56:46"/>
        <s v="14:09:30"/>
        <s v="14:52:18"/>
        <s v="11:38:01"/>
        <s v="12:52:19"/>
        <s v="21:44:33"/>
        <s v="18:33:56"/>
        <s v="22:04:03"/>
        <s v="02:11:11"/>
        <s v="15:55:51"/>
        <s v="05:44:00"/>
        <s v="08:16:03"/>
        <s v="06:08:36"/>
        <s v="20:16:23"/>
        <s v="06:56:07"/>
        <s v="03:02:25"/>
        <s v="00:19:49"/>
        <s v="19:04:07"/>
        <s v="08:04:39"/>
        <s v="11:48:02"/>
        <s v="19:30:44"/>
        <s v="09:34:50"/>
        <s v="13:50:56"/>
        <s v="18:51:17"/>
        <s v="07:55:56"/>
        <s v="09:00:14"/>
        <s v="07:50:03"/>
        <s v="02:37:24"/>
        <s v="17:03:42"/>
        <s v="20:06:08"/>
        <s v="14:25:48"/>
        <s v="05:03:25"/>
        <s v="21:34:34"/>
        <s v="08:50:35"/>
        <s v="16:46:50"/>
        <s v="08:45:20"/>
        <s v="14:25:00"/>
        <s v="12:01:29"/>
        <s v="09:43:01"/>
        <s v="07:02:38"/>
        <s v="19:08:39"/>
        <s v="12:19:00"/>
        <s v="10:15:13"/>
        <s v="08:42:43"/>
        <s v="20:43:38"/>
        <s v="04:18:36"/>
        <s v="13:13:31"/>
        <s v="00:38:11"/>
        <s v="04:26:52"/>
        <s v="01:52:08"/>
        <s v="12:10:06"/>
        <s v="03:08:44"/>
        <s v="17:37:55"/>
        <s v="00:55:02"/>
        <s v="04:33:03"/>
        <s v="06:10:02"/>
        <s v="12:36:30"/>
        <s v="23:30:50"/>
        <s v="22:02:27"/>
        <s v="01:57:59"/>
        <s v="04:41:58"/>
        <s v="11:37:15"/>
        <s v="20:21:54"/>
        <s v="21:59:07"/>
        <s v="16:14:18"/>
        <s v="16:18:02"/>
        <s v="01:18:05"/>
        <s v="14:34:23"/>
        <s v="17:03:21"/>
        <s v="20:57:04"/>
        <s v="22:12:42"/>
        <s v="11:28:11"/>
        <s v="18:48:38"/>
        <s v="09:02:09"/>
        <s v="17:46:07"/>
        <s v="14:00:14"/>
        <s v="09:38:43"/>
        <s v="19:06:37"/>
        <s v="11:31:09"/>
        <s v="16:19:01"/>
        <s v="00:34:44"/>
        <s v="09:03:38"/>
        <s v="23:59:28"/>
        <s v="04:23:43"/>
        <s v="06:05:56"/>
        <s v="02:07:41"/>
        <s v="15:42:33"/>
        <s v="18:58:33"/>
        <s v="08:15:31"/>
        <s v="19:21:31"/>
        <s v="02:58:36"/>
        <s v="01:26:52"/>
        <s v="12:44:23"/>
        <s v="02:07:32"/>
        <s v="21:54:15"/>
        <s v="09:17:37"/>
        <s v="08:16:26"/>
        <s v="01:55:40"/>
        <s v="14:40:53"/>
        <s v="17:08:23"/>
        <s v="20:57:56"/>
        <s v="00:00:50"/>
        <s v="12:33:27"/>
        <s v="04:45:27"/>
        <s v="20:21:51"/>
        <s v="19:37:03"/>
        <s v="12:20:32"/>
        <s v="02:17:09"/>
        <s v="07:14:21"/>
        <s v="03:43:35"/>
        <s v="22:07:23"/>
        <s v="18:49:58"/>
        <s v="12:11:34"/>
        <s v="07:15:14"/>
        <s v="19:44:45"/>
        <s v="08:34:20"/>
        <s v="01:30:31"/>
        <s v="18:05:57"/>
        <s v="15:39:21"/>
        <s v="11:18:08"/>
        <s v="14:57:35"/>
        <s v="14:01:19"/>
        <s v="00:01:17"/>
        <s v="19:46:35"/>
        <s v="03:55:30"/>
        <s v="04:40:03"/>
        <s v="15:26:10"/>
        <s v="11:15:45"/>
        <s v="01:33:00"/>
        <s v="05:02:05"/>
        <s v="19:55:05"/>
        <s v="06:02:09"/>
        <s v="06:15:22"/>
        <s v="02:21:16"/>
        <s v="01:52:42"/>
        <s v="07:32:43"/>
        <s v="15:48:20"/>
        <s v="00:29:26"/>
        <s v="23:10:35"/>
        <s v="05:44:21"/>
        <s v="22:26:15"/>
        <s v="22:20:54"/>
        <s v="22:38:17"/>
        <s v="08:48:37"/>
        <s v="22:52:08"/>
        <s v="22:58:56"/>
        <s v="19:21:37"/>
        <s v="14:04:22"/>
        <s v="06:23:17"/>
        <s v="20:01:23"/>
        <s v="01:07:22"/>
        <s v="05:43:28"/>
        <s v="09:18:04"/>
        <s v="05:31:46"/>
        <s v="10:49:05"/>
        <s v="05:42:32"/>
        <s v="09:21:38"/>
        <s v="07:57:23"/>
        <s v="08:23:17"/>
        <s v="21:07:15"/>
        <s v="12:09:54"/>
        <s v="08:20:49"/>
        <s v="02:07:28"/>
        <s v="01:04:10"/>
        <s v="23:37:05"/>
        <s v="17:56:13"/>
        <s v="08:29:23"/>
        <s v="12:54:52"/>
        <s v="10:41:23"/>
        <s v="20:42:45"/>
        <s v="04:56:34"/>
        <s v="18:36:07"/>
        <s v="16:26:25"/>
        <s v="05:43:49"/>
        <s v="12:34:16"/>
        <s v="19:47:35"/>
        <s v="11:17:48"/>
        <s v="02:02:27"/>
        <s v="21:44:03"/>
        <s v="21:22:13"/>
        <s v="08:52:35"/>
        <s v="09:05:05"/>
        <s v="07:25:29"/>
        <s v="05:22:02"/>
        <s v="03:27:53"/>
        <s v="07:51:41"/>
        <s v="02:01:29"/>
        <s v="01:26:51"/>
        <s v="08:11:12"/>
      </sharedItems>
    </cacheField>
    <cacheField name="temp_engagement_rate" numFmtId="9">
      <sharedItems containsSemiMixedTypes="0" containsString="0" containsNumber="1" minValue="3.8E-3" maxValue="0.99730000000000008"/>
    </cacheField>
    <cacheField name="temp_ctr" numFmtId="9">
      <sharedItems containsSemiMixedTypes="0" containsString="0" containsNumber="1" minValue="2.0000000000000001E-4" maxValue="9.9600000000000008E-2"/>
    </cacheField>
    <cacheField name="Total Engagement" numFmtId="0">
      <sharedItems containsSemiMixedTypes="0" containsString="0" containsNumber="1" containsInteger="1" minValue="1583" maxValue="15657"/>
    </cacheField>
    <cacheField name="Engagement Rate" numFmtId="9">
      <sharedItems containsSemiMixedTypes="0" containsString="0" containsNumber="1" minValue="1.6259745061988351E-2" maxValue="1"/>
    </cacheField>
    <cacheField name="ctr category" numFmtId="0">
      <sharedItems/>
    </cacheField>
    <cacheField name="Engagement Level" numFmtId="0">
      <sharedItems/>
    </cacheField>
    <cacheField name="Post_time_catagory" numFmtId="0">
      <sharedItems count="4">
        <s v="Afternoon"/>
        <s v="Morning"/>
        <s v="Night"/>
        <s v="Evening"/>
      </sharedItems>
    </cacheField>
  </cacheFields>
  <extLst>
    <ext xmlns:x14="http://schemas.microsoft.com/office/spreadsheetml/2009/9/main" uri="{725AE2AE-9491-48be-B2B4-4EB974FC3084}">
      <x14:pivotCacheDefinition pivotCacheId="17309019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itha" refreshedDate="46100.81720208333" createdVersion="8" refreshedVersion="8" minRefreshableVersion="3" recordCount="900" xr:uid="{99FD510C-3F72-4DBE-9DCC-D3535ED98664}">
  <cacheSource type="worksheet">
    <worksheetSource name="Table1_1"/>
  </cacheSource>
  <cacheFields count="20">
    <cacheField name="post_id" numFmtId="0">
      <sharedItems/>
    </cacheField>
    <cacheField name="user_id" numFmtId="0">
      <sharedItems/>
    </cacheField>
    <cacheField name="likes" numFmtId="0">
      <sharedItems containsSemiMixedTypes="0" containsString="0" containsNumber="1" containsInteger="1" minValue="54" maxValue="9984"/>
    </cacheField>
    <cacheField name="shares" numFmtId="0">
      <sharedItems containsSemiMixedTypes="0" containsString="0" containsNumber="1" containsInteger="1" minValue="8" maxValue="4979"/>
    </cacheField>
    <cacheField name="comments" numFmtId="0">
      <sharedItems containsSemiMixedTypes="0" containsString="0" containsNumber="1" containsInteger="1" minValue="0" maxValue="1993"/>
    </cacheField>
    <cacheField name="engagement_rate" numFmtId="0">
      <sharedItems containsSemiMixedTypes="0" containsString="0" containsNumber="1" minValue="0.38" maxValue="99.73"/>
    </cacheField>
    <cacheField name="impressions" numFmtId="0">
      <sharedItems containsSemiMixedTypes="0" containsString="0" containsNumber="1" containsInteger="1" minValue="891" maxValue="99233"/>
    </cacheField>
    <cacheField name="reach" numFmtId="0">
      <sharedItems containsSemiMixedTypes="0" containsString="0" containsNumber="1" containsInteger="1" minValue="129" maxValue="99906"/>
    </cacheField>
    <cacheField name="ctr" numFmtId="0">
      <sharedItems containsSemiMixedTypes="0" containsString="0" containsNumber="1" minValue="0.02" maxValue="9.9600000000000009"/>
    </cacheField>
    <cacheField name="post_type" numFmtId="0">
      <sharedItems/>
    </cacheField>
    <cacheField name="hashtags" numFmtId="0">
      <sharedItems count="582">
        <s v="white"/>
        <s v="friend"/>
        <s v="nothing"/>
        <s v="through"/>
        <s v="again"/>
        <s v="once"/>
        <s v="pull"/>
        <s v="food"/>
        <s v="blood"/>
        <s v="personal"/>
        <s v="accept"/>
        <s v="unit"/>
        <s v="make"/>
        <s v="when"/>
        <s v="debate"/>
        <s v="another"/>
        <s v="theory"/>
        <s v="view"/>
        <s v="the"/>
        <s v="can"/>
        <s v="PM"/>
        <s v="plan"/>
        <s v="already"/>
        <s v="far"/>
        <s v="help"/>
        <s v="authority"/>
        <s v="example"/>
        <s v="west"/>
        <s v="wide"/>
        <s v="remain"/>
        <s v="and"/>
        <s v="style"/>
        <s v="father"/>
        <s v="they"/>
        <s v="continue"/>
        <s v="mouth"/>
        <s v="significant"/>
        <s v="total"/>
        <s v="others"/>
        <s v="quickly"/>
        <s v="among"/>
        <s v="floor"/>
        <s v="natural"/>
        <s v="building"/>
        <s v="good"/>
        <s v="guess"/>
        <s v="growth"/>
        <s v="ready"/>
        <s v="market"/>
        <s v="finally"/>
        <s v="by"/>
        <s v="drop"/>
        <s v="likely"/>
        <s v="number"/>
        <s v="true"/>
        <s v="job"/>
        <s v="final"/>
        <s v="glass"/>
        <s v="instead"/>
        <s v="green"/>
        <s v="strategy"/>
        <s v="too"/>
        <s v="old"/>
        <s v="product"/>
        <s v="play"/>
        <s v="only"/>
        <s v="yard"/>
        <s v="picture"/>
        <s v="turn"/>
        <s v="large"/>
        <s v="add"/>
        <s v="amount"/>
        <s v="since"/>
        <s v="state"/>
        <s v="will"/>
        <s v="find"/>
        <s v="space"/>
        <s v="must"/>
        <s v="although"/>
        <s v="win"/>
        <s v="company"/>
        <s v="city"/>
        <s v="man"/>
        <s v="thing"/>
        <s v="quality"/>
        <s v="follow"/>
        <s v="soon"/>
        <s v="course"/>
        <s v="one"/>
        <s v="action"/>
        <s v="shoulder"/>
        <s v="skin"/>
        <s v="certainly"/>
        <s v="pick"/>
        <s v="success"/>
        <s v="professor"/>
        <s v="society"/>
        <s v="guy"/>
        <s v="effort"/>
        <s v="star"/>
        <s v="nature"/>
        <s v="front"/>
        <s v="four"/>
        <s v="here"/>
        <s v="serious"/>
        <s v="send"/>
        <s v="president"/>
        <s v="fish"/>
        <s v="point"/>
        <s v="stage"/>
        <s v="we"/>
        <s v="begin"/>
        <s v="card"/>
        <s v="fall"/>
        <s v="buy"/>
        <s v="relate"/>
        <s v="campaign"/>
        <s v="scene"/>
        <s v="court"/>
        <s v="section"/>
        <s v="low"/>
        <s v="popular"/>
        <s v="investment"/>
        <s v="body"/>
        <s v="look"/>
        <s v="business"/>
        <s v="peace"/>
        <s v="activity"/>
        <s v="type"/>
        <s v="ability"/>
        <s v="phone"/>
        <s v="free"/>
        <s v="believe"/>
        <s v="also"/>
        <s v="lawyer"/>
        <s v="wait"/>
        <s v="while"/>
        <s v="perhaps"/>
        <s v="fund"/>
        <s v="treat"/>
        <s v="resource"/>
        <s v="seven"/>
        <s v="himself"/>
        <s v="after"/>
        <s v="discuss"/>
        <s v="note"/>
        <s v="cold"/>
        <s v="upon"/>
        <s v="record"/>
        <s v="whose"/>
        <s v="adult"/>
        <s v="participant"/>
        <s v="agent"/>
        <s v="thousand"/>
        <s v="data"/>
        <s v="allow"/>
        <s v="outside"/>
        <s v="work"/>
        <s v="save"/>
        <s v="person"/>
        <s v="myself"/>
        <s v="teacher"/>
        <s v="control"/>
        <s v="performance"/>
        <s v="back"/>
        <s v="prevent"/>
        <s v="nice"/>
        <s v="chance"/>
        <s v="middle"/>
        <s v="author"/>
        <s v="production"/>
        <s v="next"/>
        <s v="staff"/>
        <s v="Democrat"/>
        <s v="but"/>
        <s v="short"/>
        <s v="main"/>
        <s v="what"/>
        <s v="research"/>
        <s v="hospital"/>
        <s v="risk"/>
        <s v="stop"/>
        <s v="result"/>
        <s v="process"/>
        <s v="new"/>
        <s v="my"/>
        <s v="it"/>
        <s v="marriage"/>
        <s v="feel"/>
        <s v="enough"/>
        <s v="law"/>
        <s v="into"/>
        <s v="draw"/>
        <s v="character"/>
        <s v="machine"/>
        <s v="still"/>
        <s v="beautiful"/>
        <s v="plant"/>
        <s v="south"/>
        <s v="capital"/>
        <s v="seek"/>
        <s v="there"/>
        <s v="current"/>
        <s v="tree"/>
        <s v="election"/>
        <s v="certain"/>
        <s v="interview"/>
        <s v="watch"/>
        <s v="article"/>
        <s v="service"/>
        <s v="each"/>
        <s v="usually"/>
        <s v="response"/>
        <s v="because"/>
        <s v="future"/>
        <s v="pattern"/>
        <s v="very"/>
        <s v="none"/>
        <s v="speak"/>
        <s v="ago"/>
        <s v="area"/>
        <s v="huge"/>
        <s v="lose"/>
        <s v="community"/>
        <s v="someone"/>
        <s v="kid"/>
        <s v="do"/>
        <s v="think"/>
        <s v="before"/>
        <s v="half"/>
        <s v="face"/>
        <s v="step"/>
        <s v="perform"/>
        <s v="herself"/>
        <s v="rather"/>
        <s v="analysis"/>
        <s v="try"/>
        <s v="sign"/>
        <s v="quite"/>
        <s v="season"/>
        <s v="a"/>
        <s v="either"/>
        <s v="happy"/>
        <s v="small"/>
        <s v="enter"/>
        <s v="teach"/>
        <s v="admit"/>
        <s v="bank"/>
        <s v="yes"/>
        <s v="voice"/>
        <s v="piece"/>
        <s v="name"/>
        <s v="reflect"/>
        <s v="under"/>
        <s v="near"/>
        <s v="would"/>
        <s v="heart"/>
        <s v="tend"/>
        <s v="stay"/>
        <s v="heavy"/>
        <s v="oil"/>
        <s v="study"/>
        <s v="line"/>
        <s v="street"/>
        <s v="parent"/>
        <s v="give"/>
        <s v="everything"/>
        <s v="different"/>
        <s v="term"/>
        <s v="protect"/>
        <s v="just"/>
        <s v="me"/>
        <s v="other"/>
        <s v="first"/>
        <s v="imagine"/>
        <s v="cause"/>
        <s v="produce"/>
        <s v="could"/>
        <s v="itself"/>
        <s v="life"/>
        <s v="film"/>
        <s v="race"/>
        <s v="career"/>
        <s v="project"/>
        <s v="great"/>
        <s v="contain"/>
        <s v="consider"/>
        <s v="show"/>
        <s v="tonight"/>
        <s v="practice"/>
        <s v="open"/>
        <s v="thought"/>
        <s v="remember"/>
        <s v="generation"/>
        <s v="air"/>
        <s v="similar"/>
        <s v="Mrs"/>
        <s v="arm"/>
        <s v="best"/>
        <s v="memory"/>
        <s v="sit"/>
        <s v="rich"/>
        <s v="fine"/>
        <s v="base"/>
        <s v="assume"/>
        <s v="establish"/>
        <s v="wonder"/>
        <s v="thank"/>
        <s v="behavior"/>
        <s v="successful"/>
        <s v="truth"/>
        <s v="recognize"/>
        <s v="little"/>
        <s v="answer"/>
        <s v="on"/>
        <s v="art"/>
        <s v="its"/>
        <s v="ball"/>
        <s v="wear"/>
        <s v="better"/>
        <s v="people"/>
        <s v="policy"/>
        <s v="improve"/>
        <s v="baby"/>
        <s v="cultural"/>
        <s v="animal"/>
        <s v="who"/>
        <s v="idea"/>
        <s v="attorney"/>
        <s v="build"/>
        <s v="want"/>
        <s v="window"/>
        <s v="group"/>
        <s v="minute"/>
        <s v="head"/>
        <s v="design"/>
        <s v="ok"/>
        <s v="most"/>
        <s v="boy"/>
        <s v="throughout"/>
        <s v="loss"/>
        <s v="everybody"/>
        <s v="probably"/>
        <s v="until"/>
        <s v="so"/>
        <s v="out"/>
        <s v="industry"/>
        <s v="trip"/>
        <s v="as"/>
        <s v="she"/>
        <s v="eat"/>
        <s v="cup"/>
        <s v="any"/>
        <s v="issue"/>
        <s v="institution"/>
        <s v="fast"/>
        <s v="role"/>
        <s v="compare"/>
        <s v="source"/>
        <s v="recent"/>
        <s v="grow"/>
        <s v="sort"/>
        <s v="consumer"/>
        <s v="lot"/>
        <s v="up"/>
        <s v="you"/>
        <s v="from"/>
        <s v="detail"/>
        <s v="decide"/>
        <s v="claim"/>
        <s v="possible"/>
        <s v="health"/>
        <s v="your"/>
        <s v="behind"/>
        <s v="student"/>
        <s v="close"/>
        <s v="collection"/>
        <s v="available"/>
        <s v="crime"/>
        <s v="center"/>
        <s v="statement"/>
        <s v="important"/>
        <s v="exactly"/>
        <s v="history"/>
        <s v="ask"/>
        <s v="which"/>
        <s v="for"/>
        <s v="beat"/>
        <s v="general"/>
        <s v="something"/>
        <s v="easy"/>
        <s v="several"/>
        <s v="top"/>
        <s v="surface"/>
        <s v="computer"/>
        <s v="him"/>
        <s v="five"/>
        <s v="speech"/>
        <s v="mean"/>
        <s v="pretty"/>
        <s v="away"/>
        <s v="price"/>
        <s v="responsibility"/>
        <s v="clear"/>
        <s v="address"/>
        <s v="hour"/>
        <s v="sing"/>
        <s v="same"/>
        <s v="account"/>
        <s v="really"/>
        <s v="moment"/>
        <s v="born"/>
        <s v="home"/>
        <s v="those"/>
        <s v="I"/>
        <s v="positive"/>
        <s v="agency"/>
        <s v="drug"/>
        <s v="prepare"/>
        <s v="include"/>
        <s v="entire"/>
        <s v="attack"/>
        <s v="human"/>
        <s v="test"/>
        <s v="million"/>
        <s v="music"/>
        <s v="soldier"/>
        <s v="billion"/>
        <s v="trouble"/>
        <s v="party"/>
        <s v="choose"/>
        <s v="to"/>
        <s v="officer"/>
        <s v="day"/>
        <s v="poor"/>
        <s v="site"/>
        <s v="democratic"/>
        <s v="more"/>
        <s v="both"/>
        <s v="item"/>
        <s v="director"/>
        <s v="model"/>
        <s v="toward"/>
        <s v="paper"/>
        <s v="provide"/>
        <s v="order"/>
        <s v="full"/>
        <s v="citizen"/>
        <s v="dark"/>
        <s v="stuff"/>
        <s v="involve"/>
        <s v="support"/>
        <s v="wish"/>
        <s v="member"/>
        <s v="describe"/>
        <s v="house"/>
        <s v="miss"/>
        <s v="chair"/>
        <s v="eight"/>
        <s v="whatever"/>
        <s v="reality"/>
        <s v="charge"/>
        <s v="southern"/>
        <s v="discussion"/>
        <s v="evidence"/>
        <s v="tax"/>
        <s v="environmental"/>
        <s v="reason"/>
        <s v="population"/>
        <s v="vote"/>
        <s v="yet"/>
        <s v="age"/>
        <s v="represent"/>
        <s v="indeed"/>
        <s v="hold"/>
        <s v="off"/>
        <s v="spend"/>
        <s v="stand"/>
        <s v="stock"/>
        <s v="us"/>
        <s v="above"/>
        <s v="scientist"/>
        <s v="player"/>
        <s v="professional"/>
        <s v="two"/>
        <s v="reduce"/>
        <s v="foreign"/>
        <s v="put"/>
        <s v="may"/>
        <s v="technology"/>
        <s v="join"/>
        <s v="trade"/>
        <s v="left"/>
        <s v="all"/>
        <s v="sister"/>
        <s v="media"/>
        <s v="individual"/>
        <s v="raise"/>
        <s v="manager"/>
        <s v="identify"/>
        <s v="sea"/>
        <s v="rock"/>
        <s v="TV"/>
        <s v="sport"/>
        <s v="pass"/>
        <s v="range"/>
        <s v="appear"/>
        <s v="writer"/>
        <s v="challenge"/>
        <s v="recently"/>
        <s v="figure"/>
        <s v="real"/>
        <s v="young"/>
        <s v="not"/>
        <s v="door"/>
        <s v="no"/>
        <s v="purpose"/>
        <s v="energy"/>
        <s v="reveal"/>
        <s v="ahead"/>
        <s v="task"/>
        <s v="attention"/>
        <s v="often"/>
        <s v="firm"/>
        <s v="foot"/>
        <s v="audience"/>
        <s v="interest"/>
        <s v="high"/>
        <s v="news"/>
        <s v="visit"/>
        <s v="then"/>
        <s v="seem"/>
        <s v="single"/>
        <s v="husband"/>
        <s v="learn"/>
        <s v="safe"/>
        <s v="know"/>
        <s v="wind"/>
        <s v="his"/>
        <s v="determine"/>
        <s v="well"/>
        <s v="threat"/>
        <s v="focus"/>
        <s v="American"/>
        <s v="sense"/>
        <s v="science"/>
        <s v="smile"/>
        <s v="pressure"/>
        <s v="whether"/>
        <s v="direction"/>
        <s v="everyone"/>
        <s v="special"/>
        <s v="month"/>
        <s v="laugh"/>
        <s v="field"/>
        <s v="cell"/>
        <s v="defense"/>
        <s v="should"/>
        <s v="position"/>
        <s v="cut"/>
        <s v="conference"/>
        <s v="store"/>
        <s v="between"/>
        <s v="Congress"/>
        <s v="apply"/>
        <s v="themselves"/>
        <s v="economy"/>
        <s v="room"/>
        <s v="simply"/>
        <s v="security"/>
        <s v="civil"/>
        <s v="cover"/>
        <s v="end"/>
        <s v="start"/>
        <s v="get"/>
        <s v="have"/>
        <s v="spring"/>
        <s v="even"/>
        <s v="within"/>
        <s v="suffer"/>
        <s v="nation"/>
        <s v="son"/>
      </sharedItems>
    </cacheField>
    <cacheField name="posting_time" numFmtId="165">
      <sharedItems containsSemiMixedTypes="0" containsNonDate="0" containsDate="1" containsString="0" minDate="1899-12-30T00:00:50" maxDate="1899-12-30T23:59:28"/>
    </cacheField>
    <cacheField name="temp_engagement_rate" numFmtId="0">
      <sharedItems containsSemiMixedTypes="0" containsString="0" containsNumber="1" minValue="3.8E-3" maxValue="0.99730000000000008"/>
    </cacheField>
    <cacheField name="temp_ctr" numFmtId="0">
      <sharedItems containsSemiMixedTypes="0" containsString="0" containsNumber="1" minValue="2.0000000000000001E-4" maxValue="9.9600000000000008E-2"/>
    </cacheField>
    <cacheField name="Total Engagement" numFmtId="0">
      <sharedItems containsSemiMixedTypes="0" containsString="0" containsNumber="1" containsInteger="1" minValue="1583" maxValue="15657"/>
    </cacheField>
    <cacheField name="Engagement Rate" numFmtId="0">
      <sharedItems containsSemiMixedTypes="0" containsString="0" containsNumber="1" minValue="1.6259745061988351E-2" maxValue="1"/>
    </cacheField>
    <cacheField name="ctr category" numFmtId="0">
      <sharedItems/>
    </cacheField>
    <cacheField name="Engagement Level" numFmtId="0">
      <sharedItems/>
    </cacheField>
    <cacheField name="Post_time_catagory" numFmtId="0">
      <sharedItems/>
    </cacheField>
    <cacheField name="new hashtag" numFmtId="0">
      <sharedItems containsSemiMixedTypes="0" containsString="0" containsNumber="1" containsInteger="1" minValue="3" maxValue="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e849b68b-954c-454a-b656-3b2dc58f2721"/>
    <n v="4724"/>
    <n v="2683"/>
    <n v="1452"/>
    <n v="83.04"/>
    <n v="67176"/>
    <n v="52636"/>
    <n v="6.32"/>
    <x v="0"/>
    <x v="0"/>
    <x v="0"/>
    <n v="0.83040000000000003"/>
    <n v="6.3200000000000006E-2"/>
    <n v="8859"/>
    <n v="0.16830686222357322"/>
    <s v="High CTR"/>
    <s v="High"/>
    <x v="0"/>
  </r>
  <r>
    <x v="1"/>
    <s v="59c3f8b7-c270-4139-a580-12919688f2f3"/>
    <n v="9633"/>
    <n v="2484"/>
    <n v="200"/>
    <n v="3.51"/>
    <n v="12575"/>
    <n v="18307"/>
    <n v="0.91"/>
    <x v="1"/>
    <x v="1"/>
    <x v="1"/>
    <n v="3.5099999999999999E-2"/>
    <n v="9.1000000000000004E-3"/>
    <n v="12317"/>
    <n v="0.67280275304528325"/>
    <s v="High CTR"/>
    <s v="High"/>
    <x v="0"/>
  </r>
  <r>
    <x v="2"/>
    <s v="1e51a438-6c53-4156-a9e5-fda55bb5a756"/>
    <n v="9213"/>
    <n v="1029"/>
    <n v="1366"/>
    <n v="80.69"/>
    <n v="33330"/>
    <n v="40656"/>
    <n v="6.91"/>
    <x v="2"/>
    <x v="2"/>
    <x v="2"/>
    <n v="0.80689999999999995"/>
    <n v="6.9099999999999995E-2"/>
    <n v="11608"/>
    <n v="0.28551751279024007"/>
    <s v="High CTR"/>
    <s v="High"/>
    <x v="1"/>
  </r>
  <r>
    <x v="3"/>
    <s v="f5d43f26-f279-4365-bed0-8ec6ef0fa6d3"/>
    <n v="5753"/>
    <n v="2392"/>
    <n v="312"/>
    <n v="96.79"/>
    <n v="15399"/>
    <n v="94920"/>
    <n v="0.74"/>
    <x v="2"/>
    <x v="3"/>
    <x v="3"/>
    <n v="0.96790000000000009"/>
    <n v="7.4000000000000003E-3"/>
    <n v="8457"/>
    <n v="8.9096080910240197E-2"/>
    <s v="High CTR"/>
    <s v="High"/>
    <x v="1"/>
  </r>
  <r>
    <x v="4"/>
    <s v="a7fc724f-529c-4f80-9b47-d542e250ab48"/>
    <n v="8977"/>
    <n v="4183"/>
    <n v="668"/>
    <n v="85.24"/>
    <n v="70221"/>
    <n v="6119"/>
    <n v="6.15"/>
    <x v="2"/>
    <x v="4"/>
    <x v="4"/>
    <n v="0.85239999999999994"/>
    <n v="6.1500000000000006E-2"/>
    <n v="13828"/>
    <n v="1"/>
    <s v="High CTR"/>
    <s v="High"/>
    <x v="1"/>
  </r>
  <r>
    <x v="5"/>
    <s v="5bed235e-2c24-4cf7-ab86-78e617cc5044"/>
    <n v="7644"/>
    <n v="700"/>
    <n v="497"/>
    <n v="51.53"/>
    <n v="43401"/>
    <n v="82290"/>
    <n v="8.0299999999999994"/>
    <x v="0"/>
    <x v="5"/>
    <x v="5"/>
    <n v="0.51529999999999998"/>
    <n v="8.0299999999999996E-2"/>
    <n v="8841"/>
    <n v="0.10743711265038279"/>
    <s v="High CTR"/>
    <s v="High"/>
    <x v="2"/>
  </r>
  <r>
    <x v="6"/>
    <s v="7e4b51d7-042f-4a32-b79c-8bcfd6807b4e"/>
    <n v="7634"/>
    <n v="836"/>
    <n v="1282"/>
    <n v="16.55"/>
    <n v="5029"/>
    <n v="82551"/>
    <n v="8.26"/>
    <x v="1"/>
    <x v="6"/>
    <x v="6"/>
    <n v="0.16550000000000001"/>
    <n v="8.2599999999999993E-2"/>
    <n v="9752"/>
    <n v="0.11813303291298713"/>
    <s v="High CTR"/>
    <s v="High"/>
    <x v="3"/>
  </r>
  <r>
    <x v="7"/>
    <s v="ea4580c7-cec3-448e-984e-9997ac31027f"/>
    <n v="8291"/>
    <n v="799"/>
    <n v="406"/>
    <n v="38.47"/>
    <n v="12765"/>
    <n v="27367"/>
    <n v="9.26"/>
    <x v="1"/>
    <x v="7"/>
    <x v="7"/>
    <n v="0.38469999999999999"/>
    <n v="9.2600000000000002E-2"/>
    <n v="9496"/>
    <n v="0.34698724741476961"/>
    <s v="High CTR"/>
    <s v="High"/>
    <x v="1"/>
  </r>
  <r>
    <x v="8"/>
    <s v="77b6033d-69e6-4bb6-865c-181badb20124"/>
    <n v="692"/>
    <n v="1208"/>
    <n v="828"/>
    <n v="78.459999999999994"/>
    <n v="89131"/>
    <n v="88660"/>
    <n v="3.4"/>
    <x v="1"/>
    <x v="8"/>
    <x v="8"/>
    <n v="0.78459999999999996"/>
    <n v="3.4000000000000002E-2"/>
    <n v="2728"/>
    <n v="3.0769230769230771E-2"/>
    <s v="High CTR"/>
    <s v="High"/>
    <x v="1"/>
  </r>
  <r>
    <x v="9"/>
    <s v="e4701746-3d4e-4039-a63f-4b3182e6a88e"/>
    <n v="9194"/>
    <n v="969"/>
    <n v="208"/>
    <n v="62.92"/>
    <n v="34702"/>
    <n v="63475"/>
    <n v="8.98"/>
    <x v="3"/>
    <x v="9"/>
    <x v="9"/>
    <n v="0.62919999999999998"/>
    <n v="8.9800000000000005E-2"/>
    <n v="10371"/>
    <n v="0.16338716029933045"/>
    <s v="High CTR"/>
    <s v="High"/>
    <x v="1"/>
  </r>
  <r>
    <x v="10"/>
    <s v="f657ac2e-d150-4219-95d1-c088ff29b93c"/>
    <n v="6108"/>
    <n v="2277"/>
    <n v="1086"/>
    <n v="87.33"/>
    <n v="85657"/>
    <n v="90781"/>
    <n v="9.7799999999999994"/>
    <x v="2"/>
    <x v="10"/>
    <x v="10"/>
    <n v="0.87329999999999997"/>
    <n v="9.7799999999999998E-2"/>
    <n v="9471"/>
    <n v="0.10432799814939249"/>
    <s v="High CTR"/>
    <s v="High"/>
    <x v="1"/>
  </r>
  <r>
    <x v="11"/>
    <s v="bd316bf2-63ba-45c0-bf9b-485ac1087250"/>
    <n v="6048"/>
    <n v="4595"/>
    <n v="1042"/>
    <n v="46.56"/>
    <n v="15739"/>
    <n v="40262"/>
    <n v="3.13"/>
    <x v="2"/>
    <x v="11"/>
    <x v="11"/>
    <n v="0.46560000000000001"/>
    <n v="3.1300000000000001E-2"/>
    <n v="11685"/>
    <n v="0.29022403258655805"/>
    <s v="High CTR"/>
    <s v="High"/>
    <x v="1"/>
  </r>
  <r>
    <x v="12"/>
    <s v="5b890583-3788-41a3-89b7-5b0f34d12d1c"/>
    <n v="8594"/>
    <n v="440"/>
    <n v="840"/>
    <n v="20.68"/>
    <n v="88445"/>
    <n v="4445"/>
    <n v="8.01"/>
    <x v="2"/>
    <x v="12"/>
    <x v="12"/>
    <n v="0.20679999999999998"/>
    <n v="8.0100000000000005E-2"/>
    <n v="9874"/>
    <n v="1"/>
    <s v="High CTR"/>
    <s v="High"/>
    <x v="1"/>
  </r>
  <r>
    <x v="13"/>
    <s v="a418acad-9dfe-465f-b0ed-6886a4f026cd"/>
    <n v="2935"/>
    <n v="4061"/>
    <n v="236"/>
    <n v="81.680000000000007"/>
    <n v="52411"/>
    <n v="2887"/>
    <n v="1.87"/>
    <x v="3"/>
    <x v="13"/>
    <x v="13"/>
    <n v="0.81680000000000008"/>
    <n v="1.8700000000000001E-2"/>
    <n v="7232"/>
    <n v="1"/>
    <s v="High CTR"/>
    <s v="High"/>
    <x v="1"/>
  </r>
  <r>
    <x v="14"/>
    <s v="71f710a0-ec41-43db-bcd6-75aa23b4cbd1"/>
    <n v="2303"/>
    <n v="1120"/>
    <n v="1660"/>
    <n v="53.48"/>
    <n v="78543"/>
    <n v="46720"/>
    <n v="1.25"/>
    <x v="0"/>
    <x v="14"/>
    <x v="14"/>
    <n v="0.53479999999999994"/>
    <n v="1.2500000000000001E-2"/>
    <n v="5083"/>
    <n v="0.10879708904109589"/>
    <s v="High CTR"/>
    <s v="High"/>
    <x v="2"/>
  </r>
  <r>
    <x v="15"/>
    <s v="d19c4bdd-f1e7-4f26-b86d-efe7031d8013"/>
    <n v="3729"/>
    <n v="931"/>
    <n v="1022"/>
    <n v="69.540000000000006"/>
    <n v="78370"/>
    <n v="37690"/>
    <n v="1.95"/>
    <x v="3"/>
    <x v="15"/>
    <x v="15"/>
    <n v="0.69540000000000002"/>
    <n v="1.95E-2"/>
    <n v="5682"/>
    <n v="0.1507561687450252"/>
    <s v="High CTR"/>
    <s v="High"/>
    <x v="0"/>
  </r>
  <r>
    <x v="16"/>
    <s v="43f24776-07f6-4b4d-a860-ffbeca80ab0d"/>
    <n v="4987"/>
    <n v="4164"/>
    <n v="669"/>
    <n v="81"/>
    <n v="63915"/>
    <n v="68362"/>
    <n v="5.37"/>
    <x v="0"/>
    <x v="16"/>
    <x v="16"/>
    <n v="0.81"/>
    <n v="5.3699999999999998E-2"/>
    <n v="9820"/>
    <n v="0.14364705538164477"/>
    <s v="High CTR"/>
    <s v="High"/>
    <x v="0"/>
  </r>
  <r>
    <x v="17"/>
    <s v="5003e665-c1ad-4994-9de5-595acfa3d796"/>
    <n v="381"/>
    <n v="3180"/>
    <n v="1841"/>
    <n v="12.44"/>
    <n v="7553"/>
    <n v="92301"/>
    <n v="7.04"/>
    <x v="0"/>
    <x v="17"/>
    <x v="17"/>
    <n v="0.1244"/>
    <n v="7.0400000000000004E-2"/>
    <n v="5402"/>
    <n v="5.8525909795126813E-2"/>
    <s v="High CTR"/>
    <s v="High"/>
    <x v="1"/>
  </r>
  <r>
    <x v="18"/>
    <s v="a12d10cc-1538-49cc-8b51-1db7fa4d4de8"/>
    <n v="3483"/>
    <n v="2605"/>
    <n v="253"/>
    <n v="50.43"/>
    <n v="88323"/>
    <n v="52593"/>
    <n v="7.22"/>
    <x v="2"/>
    <x v="18"/>
    <x v="18"/>
    <n v="0.50429999999999997"/>
    <n v="7.22E-2"/>
    <n v="6341"/>
    <n v="0.12056737588652482"/>
    <s v="High CTR"/>
    <s v="High"/>
    <x v="0"/>
  </r>
  <r>
    <x v="19"/>
    <s v="7b78f565-bad2-4d59-b337-91f36e030878"/>
    <n v="118"/>
    <n v="3048"/>
    <n v="918"/>
    <n v="4.2699999999999996"/>
    <n v="19881"/>
    <n v="41902"/>
    <n v="2.35"/>
    <x v="1"/>
    <x v="19"/>
    <x v="19"/>
    <n v="4.2699999999999995E-2"/>
    <n v="2.35E-2"/>
    <n v="4084"/>
    <n v="9.7465514772564557E-2"/>
    <s v="High CTR"/>
    <s v="High"/>
    <x v="3"/>
  </r>
  <r>
    <x v="20"/>
    <s v="488e1ef3-6f9b-40cf-83c9-40305f720feb"/>
    <n v="530"/>
    <n v="858"/>
    <n v="1273"/>
    <n v="27.99"/>
    <n v="75502"/>
    <n v="39879"/>
    <n v="5.89"/>
    <x v="3"/>
    <x v="20"/>
    <x v="20"/>
    <n v="0.27989999999999998"/>
    <n v="5.8899999999999994E-2"/>
    <n v="2661"/>
    <n v="6.6726848717370044E-2"/>
    <s v="High CTR"/>
    <s v="High"/>
    <x v="1"/>
  </r>
  <r>
    <x v="21"/>
    <s v="c8102d0f-0720-4679-b7d9-64aad7ef69a6"/>
    <n v="7882"/>
    <n v="909"/>
    <n v="732"/>
    <n v="46.35"/>
    <n v="67482"/>
    <n v="48480"/>
    <n v="1.47"/>
    <x v="3"/>
    <x v="21"/>
    <x v="21"/>
    <n v="0.46350000000000002"/>
    <n v="1.47E-2"/>
    <n v="9523"/>
    <n v="0.19643151815181517"/>
    <s v="High CTR"/>
    <s v="High"/>
    <x v="1"/>
  </r>
  <r>
    <x v="22"/>
    <s v="2c5e8578-bba0-4382-9b63-a2d0141e321a"/>
    <n v="7085"/>
    <n v="3616"/>
    <n v="741"/>
    <n v="11.84"/>
    <n v="78533"/>
    <n v="12572"/>
    <n v="3.22"/>
    <x v="0"/>
    <x v="22"/>
    <x v="22"/>
    <n v="0.11840000000000001"/>
    <n v="3.2199999999999999E-2"/>
    <n v="11442"/>
    <n v="0.91011772192173079"/>
    <s v="High CTR"/>
    <s v="High"/>
    <x v="3"/>
  </r>
  <r>
    <x v="23"/>
    <s v="d47e2036-85e5-43e4-aad3-687f70d2d960"/>
    <n v="9218"/>
    <n v="1560"/>
    <n v="93"/>
    <n v="68.12"/>
    <n v="60329"/>
    <n v="76227"/>
    <n v="8.66"/>
    <x v="2"/>
    <x v="23"/>
    <x v="23"/>
    <n v="0.68120000000000003"/>
    <n v="8.6599999999999996E-2"/>
    <n v="10871"/>
    <n v="0.14261350964881211"/>
    <s v="High CTR"/>
    <s v="High"/>
    <x v="3"/>
  </r>
  <r>
    <x v="24"/>
    <s v="00d9a80d-efc9-4838-bfaa-d088051b9b95"/>
    <n v="1220"/>
    <n v="633"/>
    <n v="986"/>
    <n v="2.65"/>
    <n v="57353"/>
    <n v="86163"/>
    <n v="2.31"/>
    <x v="1"/>
    <x v="24"/>
    <x v="24"/>
    <n v="2.6499999999999999E-2"/>
    <n v="2.3099999999999999E-2"/>
    <n v="2839"/>
    <n v="3.2949177721295686E-2"/>
    <s v="High CTR"/>
    <s v="High"/>
    <x v="1"/>
  </r>
  <r>
    <x v="25"/>
    <s v="fe2af74d-14d4-420d-9cb2-73056ba20d51"/>
    <n v="2093"/>
    <n v="4157"/>
    <n v="215"/>
    <n v="30.6"/>
    <n v="97819"/>
    <n v="48911"/>
    <n v="0.6"/>
    <x v="2"/>
    <x v="25"/>
    <x v="25"/>
    <n v="0.30599999999999999"/>
    <n v="6.0000000000000001E-3"/>
    <n v="6465"/>
    <n v="0.13217885547218416"/>
    <s v="High CTR"/>
    <s v="High"/>
    <x v="1"/>
  </r>
  <r>
    <x v="26"/>
    <s v="085d99d0-7744-42a7-8d57-7cd0443ef524"/>
    <n v="7397"/>
    <n v="604"/>
    <n v="550"/>
    <n v="0.48"/>
    <n v="96991"/>
    <n v="49236"/>
    <n v="1.25"/>
    <x v="0"/>
    <x v="26"/>
    <x v="26"/>
    <n v="4.7999999999999996E-3"/>
    <n v="1.2500000000000001E-2"/>
    <n v="8551"/>
    <n v="0.17367373466569178"/>
    <s v="High CTR"/>
    <s v="High"/>
    <x v="0"/>
  </r>
  <r>
    <x v="27"/>
    <s v="df1f9a06-14dd-42f2-a807-c4a99bb83f88"/>
    <n v="9911"/>
    <n v="496"/>
    <n v="94"/>
    <n v="64.22"/>
    <n v="9397"/>
    <n v="70992"/>
    <n v="9.09"/>
    <x v="1"/>
    <x v="27"/>
    <x v="27"/>
    <n v="0.64219999999999999"/>
    <n v="9.0899999999999995E-2"/>
    <n v="10501"/>
    <n v="0.14791807527608744"/>
    <s v="High CTR"/>
    <s v="High"/>
    <x v="1"/>
  </r>
  <r>
    <x v="28"/>
    <s v="82966997-f7f9-4e6c-8ae7-07b50c02d8d8"/>
    <n v="4882"/>
    <n v="50"/>
    <n v="940"/>
    <n v="23.02"/>
    <n v="86682"/>
    <n v="66464"/>
    <n v="2"/>
    <x v="1"/>
    <x v="28"/>
    <x v="28"/>
    <n v="0.23019999999999999"/>
    <n v="0.02"/>
    <n v="5872"/>
    <n v="8.8348579682233988E-2"/>
    <s v="High CTR"/>
    <s v="High"/>
    <x v="3"/>
  </r>
  <r>
    <x v="29"/>
    <s v="0cc2c6fb-6fc3-47c2-9da8-36145d7d0346"/>
    <n v="6860"/>
    <n v="354"/>
    <n v="1341"/>
    <n v="32.21"/>
    <n v="45635"/>
    <n v="80614"/>
    <n v="6.68"/>
    <x v="3"/>
    <x v="29"/>
    <x v="29"/>
    <n v="0.3221"/>
    <n v="6.6799999999999998E-2"/>
    <n v="8555"/>
    <n v="0.10612300592949116"/>
    <s v="High CTR"/>
    <s v="High"/>
    <x v="1"/>
  </r>
  <r>
    <x v="30"/>
    <s v="c7cc34d7-061d-4c1f-ada7-351ebaf70da1"/>
    <n v="3047"/>
    <n v="1174"/>
    <n v="302"/>
    <n v="4.75"/>
    <n v="49371"/>
    <n v="50698"/>
    <n v="1.03"/>
    <x v="2"/>
    <x v="30"/>
    <x v="30"/>
    <n v="4.7500000000000001E-2"/>
    <n v="1.03E-2"/>
    <n v="4523"/>
    <n v="8.9214564677107575E-2"/>
    <s v="High CTR"/>
    <s v="High"/>
    <x v="1"/>
  </r>
  <r>
    <x v="31"/>
    <s v="983980ab-c7f4-4639-8ad8-c02ac5ca54b1"/>
    <n v="7201"/>
    <n v="1752"/>
    <n v="922"/>
    <n v="20.57"/>
    <n v="24579"/>
    <n v="63676"/>
    <n v="6.83"/>
    <x v="0"/>
    <x v="31"/>
    <x v="31"/>
    <n v="0.20569999999999999"/>
    <n v="6.83E-2"/>
    <n v="9875"/>
    <n v="0.15508197751115019"/>
    <s v="High CTR"/>
    <s v="High"/>
    <x v="1"/>
  </r>
  <r>
    <x v="32"/>
    <s v="9eda4d51-8aa2-43af-ad95-ce6232486af2"/>
    <n v="1038"/>
    <n v="2541"/>
    <n v="1346"/>
    <n v="89.36"/>
    <n v="50562"/>
    <n v="86433"/>
    <n v="4.08"/>
    <x v="1"/>
    <x v="32"/>
    <x v="32"/>
    <n v="0.89359999999999995"/>
    <n v="4.0800000000000003E-2"/>
    <n v="4925"/>
    <n v="5.6980551409762478E-2"/>
    <s v="High CTR"/>
    <s v="High"/>
    <x v="1"/>
  </r>
  <r>
    <x v="33"/>
    <s v="74ae1a8d-3a85-4ede-9cad-ba8dd13c4fe4"/>
    <n v="4137"/>
    <n v="355"/>
    <n v="1416"/>
    <n v="12.38"/>
    <n v="22447"/>
    <n v="60849"/>
    <n v="6.63"/>
    <x v="2"/>
    <x v="33"/>
    <x v="33"/>
    <n v="0.12380000000000001"/>
    <n v="6.6299999999999998E-2"/>
    <n v="5908"/>
    <n v="9.7092803497181551E-2"/>
    <s v="High CTR"/>
    <s v="High"/>
    <x v="0"/>
  </r>
  <r>
    <x v="34"/>
    <s v="76c5dfd2-2975-464d-b0c7-5507242ba5ce"/>
    <n v="5576"/>
    <n v="1322"/>
    <n v="1436"/>
    <n v="90.93"/>
    <n v="63824"/>
    <n v="87424"/>
    <n v="5.36"/>
    <x v="1"/>
    <x v="34"/>
    <x v="34"/>
    <n v="0.90930000000000011"/>
    <n v="5.3600000000000002E-2"/>
    <n v="8334"/>
    <n v="9.5328513909224005E-2"/>
    <s v="High CTR"/>
    <s v="High"/>
    <x v="0"/>
  </r>
  <r>
    <x v="35"/>
    <s v="72d8ad89-c3e0-4c3f-8758-547a77ab1d08"/>
    <n v="9542"/>
    <n v="1083"/>
    <n v="1131"/>
    <n v="95.88"/>
    <n v="70402"/>
    <n v="10385"/>
    <n v="6.18"/>
    <x v="2"/>
    <x v="35"/>
    <x v="35"/>
    <n v="0.95879999999999999"/>
    <n v="6.1799999999999994E-2"/>
    <n v="11756"/>
    <n v="1"/>
    <s v="High CTR"/>
    <s v="High"/>
    <x v="1"/>
  </r>
  <r>
    <x v="36"/>
    <s v="dcee8780-ff66-45fc-ab2b-bdd4d46dc283"/>
    <n v="9843"/>
    <n v="3935"/>
    <n v="1342"/>
    <n v="28.37"/>
    <n v="92288"/>
    <n v="66228"/>
    <n v="6.24"/>
    <x v="2"/>
    <x v="36"/>
    <x v="36"/>
    <n v="0.28370000000000001"/>
    <n v="6.2400000000000004E-2"/>
    <n v="15120"/>
    <n v="0.22830222866461317"/>
    <s v="High CTR"/>
    <s v="High"/>
    <x v="3"/>
  </r>
  <r>
    <x v="37"/>
    <s v="8a5c4fd4-206a-43ef-840c-e9ccebfe8f7a"/>
    <n v="5827"/>
    <n v="4352"/>
    <n v="345"/>
    <n v="87.86"/>
    <n v="21855"/>
    <n v="39668"/>
    <n v="3.88"/>
    <x v="1"/>
    <x v="37"/>
    <x v="37"/>
    <n v="0.87860000000000005"/>
    <n v="3.8800000000000001E-2"/>
    <n v="10524"/>
    <n v="0.26530200665523845"/>
    <s v="High CTR"/>
    <s v="High"/>
    <x v="3"/>
  </r>
  <r>
    <x v="38"/>
    <s v="a6ca820b-2f5e-4299-a1c0-19e3c8f16b9e"/>
    <n v="54"/>
    <n v="3111"/>
    <n v="1602"/>
    <n v="3.13"/>
    <n v="39331"/>
    <n v="66793"/>
    <n v="2.33"/>
    <x v="2"/>
    <x v="38"/>
    <x v="38"/>
    <n v="3.1300000000000001E-2"/>
    <n v="2.3300000000000001E-2"/>
    <n v="4767"/>
    <n v="7.1369754315571993E-2"/>
    <s v="High CTR"/>
    <s v="High"/>
    <x v="1"/>
  </r>
  <r>
    <x v="39"/>
    <s v="71b22d6d-dfa9-4070-9b28-79443631346f"/>
    <n v="2699"/>
    <n v="4042"/>
    <n v="164"/>
    <n v="86.59"/>
    <n v="20685"/>
    <n v="48356"/>
    <n v="2.2999999999999998"/>
    <x v="2"/>
    <x v="39"/>
    <x v="39"/>
    <n v="0.8659"/>
    <n v="2.3E-2"/>
    <n v="6905"/>
    <n v="0.14279510298618578"/>
    <s v="High CTR"/>
    <s v="High"/>
    <x v="1"/>
  </r>
  <r>
    <x v="40"/>
    <s v="1ee89fce-07c3-451b-b6d2-c8bcaf160758"/>
    <n v="9681"/>
    <n v="1024"/>
    <n v="1263"/>
    <n v="0.67"/>
    <n v="34364"/>
    <n v="89392"/>
    <n v="4.46"/>
    <x v="1"/>
    <x v="40"/>
    <x v="40"/>
    <n v="6.7000000000000002E-3"/>
    <n v="4.4600000000000001E-2"/>
    <n v="11968"/>
    <n v="0.13388222659745838"/>
    <s v="High CTR"/>
    <s v="High"/>
    <x v="0"/>
  </r>
  <r>
    <x v="41"/>
    <s v="a87ebb2a-d335-4e6e-940d-04d9b13543ff"/>
    <n v="9202"/>
    <n v="4008"/>
    <n v="260"/>
    <n v="15.64"/>
    <n v="93696"/>
    <n v="21761"/>
    <n v="3.5"/>
    <x v="3"/>
    <x v="41"/>
    <x v="41"/>
    <n v="0.15640000000000001"/>
    <n v="3.5000000000000003E-2"/>
    <n v="13470"/>
    <n v="0.61899728872754012"/>
    <s v="High CTR"/>
    <s v="High"/>
    <x v="1"/>
  </r>
  <r>
    <x v="42"/>
    <s v="b5f76aa8-5164-4990-bd6b-76f796ebf252"/>
    <n v="5043"/>
    <n v="3879"/>
    <n v="1895"/>
    <n v="18.100000000000001"/>
    <n v="51702"/>
    <n v="80939"/>
    <n v="7.53"/>
    <x v="0"/>
    <x v="42"/>
    <x v="42"/>
    <n v="0.18100000000000002"/>
    <n v="7.5300000000000006E-2"/>
    <n v="10817"/>
    <n v="0.1336438552490147"/>
    <s v="High CTR"/>
    <s v="High"/>
    <x v="0"/>
  </r>
  <r>
    <x v="43"/>
    <s v="e9a5d4c5-199c-4fc4-b2e3-a784ac614608"/>
    <n v="6071"/>
    <n v="2432"/>
    <n v="796"/>
    <n v="70.34"/>
    <n v="18190"/>
    <n v="26719"/>
    <n v="4.8499999999999996"/>
    <x v="2"/>
    <x v="43"/>
    <x v="43"/>
    <n v="0.70340000000000003"/>
    <n v="4.8499999999999995E-2"/>
    <n v="9299"/>
    <n v="0.34802949212171114"/>
    <s v="High CTR"/>
    <s v="High"/>
    <x v="1"/>
  </r>
  <r>
    <x v="44"/>
    <s v="4ec23ef1-3a1d-4ce7-9b0e-0018a180b2d3"/>
    <n v="9182"/>
    <n v="508"/>
    <n v="1681"/>
    <n v="19.579999999999998"/>
    <n v="47232"/>
    <n v="17005"/>
    <n v="5.39"/>
    <x v="3"/>
    <x v="44"/>
    <x v="44"/>
    <n v="0.19579999999999997"/>
    <n v="5.3899999999999997E-2"/>
    <n v="11371"/>
    <n v="0.66868568068215228"/>
    <s v="High CTR"/>
    <s v="High"/>
    <x v="2"/>
  </r>
  <r>
    <x v="45"/>
    <s v="8395992f-18fc-435a-b526-f490d3a3d789"/>
    <n v="2272"/>
    <n v="3862"/>
    <n v="828"/>
    <n v="79.010000000000005"/>
    <n v="15374"/>
    <n v="31058"/>
    <n v="8.5500000000000007"/>
    <x v="0"/>
    <x v="45"/>
    <x v="45"/>
    <n v="0.79010000000000002"/>
    <n v="8.5500000000000007E-2"/>
    <n v="6962"/>
    <n v="0.22416124669972309"/>
    <s v="High CTR"/>
    <s v="High"/>
    <x v="0"/>
  </r>
  <r>
    <x v="46"/>
    <s v="2d063dc6-4318-4eff-b9c3-ee1fed40322f"/>
    <n v="4082"/>
    <n v="4792"/>
    <n v="1502"/>
    <n v="81.569999999999993"/>
    <n v="23524"/>
    <n v="75191"/>
    <n v="4.21"/>
    <x v="1"/>
    <x v="46"/>
    <x v="46"/>
    <n v="0.81569999999999998"/>
    <n v="4.2099999999999999E-2"/>
    <n v="10376"/>
    <n v="0.1379952387918767"/>
    <s v="High CTR"/>
    <s v="High"/>
    <x v="2"/>
  </r>
  <r>
    <x v="47"/>
    <s v="8e054735-b15e-41fc-8e7d-9c81a9208302"/>
    <n v="8817"/>
    <n v="4149"/>
    <n v="1717"/>
    <n v="58.01"/>
    <n v="8463"/>
    <n v="74991"/>
    <n v="5.77"/>
    <x v="3"/>
    <x v="47"/>
    <x v="47"/>
    <n v="0.58009999999999995"/>
    <n v="5.7699999999999994E-2"/>
    <n v="14683"/>
    <n v="0.19579682895280767"/>
    <s v="High CTR"/>
    <s v="High"/>
    <x v="1"/>
  </r>
  <r>
    <x v="48"/>
    <s v="c6ec003f-c76c-471d-8a3d-ed6c4447eeae"/>
    <n v="8155"/>
    <n v="3475"/>
    <n v="976"/>
    <n v="28.24"/>
    <n v="92686"/>
    <n v="46354"/>
    <n v="0.04"/>
    <x v="0"/>
    <x v="48"/>
    <x v="48"/>
    <n v="0.28239999999999998"/>
    <n v="4.0000000000000002E-4"/>
    <n v="12606"/>
    <n v="0.27195064072140485"/>
    <s v="Low CTR"/>
    <s v="High"/>
    <x v="1"/>
  </r>
  <r>
    <x v="49"/>
    <s v="29715503-b8ff-4875-9bc0-d67cbea30290"/>
    <n v="442"/>
    <n v="4595"/>
    <n v="438"/>
    <n v="45.99"/>
    <n v="92672"/>
    <n v="41708"/>
    <n v="1.47"/>
    <x v="3"/>
    <x v="49"/>
    <x v="49"/>
    <n v="0.45990000000000003"/>
    <n v="1.47E-2"/>
    <n v="5475"/>
    <n v="0.13126978037786516"/>
    <s v="High CTR"/>
    <s v="High"/>
    <x v="1"/>
  </r>
  <r>
    <x v="50"/>
    <s v="63c1e824-f85b-443e-9e80-1297f5dd77b2"/>
    <n v="4686"/>
    <n v="3253"/>
    <n v="1210"/>
    <n v="86.55"/>
    <n v="8706"/>
    <n v="82522"/>
    <n v="3.31"/>
    <x v="1"/>
    <x v="50"/>
    <x v="50"/>
    <n v="0.86549999999999994"/>
    <n v="3.3099999999999997E-2"/>
    <n v="9149"/>
    <n v="0.11086740505562154"/>
    <s v="High CTR"/>
    <s v="High"/>
    <x v="1"/>
  </r>
  <r>
    <x v="51"/>
    <s v="8f79b184-b535-4436-8e1a-9b89d5f3fe83"/>
    <n v="3940"/>
    <n v="1710"/>
    <n v="1805"/>
    <n v="85.12"/>
    <n v="34681"/>
    <n v="43696"/>
    <n v="2.65"/>
    <x v="2"/>
    <x v="51"/>
    <x v="51"/>
    <n v="0.85120000000000007"/>
    <n v="2.6499999999999999E-2"/>
    <n v="7455"/>
    <n v="0.17061058220432077"/>
    <s v="High CTR"/>
    <s v="High"/>
    <x v="1"/>
  </r>
  <r>
    <x v="52"/>
    <s v="257c24ea-0ee3-404a-9b62-4d94efdb77d4"/>
    <n v="8032"/>
    <n v="3244"/>
    <n v="931"/>
    <n v="93.34"/>
    <n v="72236"/>
    <n v="45739"/>
    <n v="6.94"/>
    <x v="2"/>
    <x v="52"/>
    <x v="52"/>
    <n v="0.93340000000000001"/>
    <n v="6.9400000000000003E-2"/>
    <n v="12207"/>
    <n v="0.26688384092350076"/>
    <s v="High CTR"/>
    <s v="High"/>
    <x v="3"/>
  </r>
  <r>
    <x v="53"/>
    <s v="b3937fc0-a7e5-400c-9d6d-402e70c98baa"/>
    <n v="6864"/>
    <n v="3244"/>
    <n v="273"/>
    <n v="43.37"/>
    <n v="60915"/>
    <n v="8474"/>
    <n v="2.69"/>
    <x v="0"/>
    <x v="53"/>
    <x v="53"/>
    <n v="0.43369999999999997"/>
    <n v="2.69E-2"/>
    <n v="10381"/>
    <n v="1"/>
    <s v="High CTR"/>
    <s v="High"/>
    <x v="2"/>
  </r>
  <r>
    <x v="54"/>
    <s v="f63274cd-7dbc-4ddc-a301-11690dec711f"/>
    <n v="6910"/>
    <n v="1183"/>
    <n v="412"/>
    <n v="76.010000000000005"/>
    <n v="39520"/>
    <n v="10185"/>
    <n v="7.92"/>
    <x v="2"/>
    <x v="54"/>
    <x v="54"/>
    <n v="0.7601"/>
    <n v="7.9199999999999993E-2"/>
    <n v="8505"/>
    <n v="0.83505154639175261"/>
    <s v="High CTR"/>
    <s v="High"/>
    <x v="0"/>
  </r>
  <r>
    <x v="55"/>
    <s v="78141ac2-c01f-4213-9f7f-990305846dc1"/>
    <n v="2467"/>
    <n v="3431"/>
    <n v="543"/>
    <n v="65.56"/>
    <n v="23172"/>
    <n v="60291"/>
    <n v="3.28"/>
    <x v="3"/>
    <x v="55"/>
    <x v="55"/>
    <n v="0.65560000000000007"/>
    <n v="3.2799999999999996E-2"/>
    <n v="6441"/>
    <n v="0.1068318654525551"/>
    <s v="High CTR"/>
    <s v="High"/>
    <x v="1"/>
  </r>
  <r>
    <x v="56"/>
    <s v="d44d66f5-4975-4824-bcd1-7170bf5f757e"/>
    <n v="7340"/>
    <n v="3833"/>
    <n v="1540"/>
    <n v="57.3"/>
    <n v="89664"/>
    <n v="4521"/>
    <n v="3.01"/>
    <x v="1"/>
    <x v="56"/>
    <x v="56"/>
    <n v="0.57299999999999995"/>
    <n v="3.0099999999999998E-2"/>
    <n v="12713"/>
    <n v="1"/>
    <s v="High CTR"/>
    <s v="High"/>
    <x v="2"/>
  </r>
  <r>
    <x v="57"/>
    <s v="00780f45-d81f-457e-b5a6-ec4e830f9184"/>
    <n v="4233"/>
    <n v="4710"/>
    <n v="1712"/>
    <n v="69.64"/>
    <n v="72129"/>
    <n v="32810"/>
    <n v="1.59"/>
    <x v="1"/>
    <x v="57"/>
    <x v="57"/>
    <n v="0.69640000000000002"/>
    <n v="1.5900000000000001E-2"/>
    <n v="10655"/>
    <n v="0.32474855227064919"/>
    <s v="High CTR"/>
    <s v="High"/>
    <x v="1"/>
  </r>
  <r>
    <x v="58"/>
    <s v="ce325e65-6717-443c-bf04-c02ff1fd1661"/>
    <n v="634"/>
    <n v="4731"/>
    <n v="594"/>
    <n v="91.68"/>
    <n v="32937"/>
    <n v="36252"/>
    <n v="3.93"/>
    <x v="3"/>
    <x v="58"/>
    <x v="58"/>
    <n v="0.91680000000000006"/>
    <n v="3.9300000000000002E-2"/>
    <n v="5959"/>
    <n v="0.16437713781308619"/>
    <s v="High CTR"/>
    <s v="High"/>
    <x v="1"/>
  </r>
  <r>
    <x v="59"/>
    <s v="9573b968-ecaa-437a-b1cc-4b7df70e3aa9"/>
    <n v="9147"/>
    <n v="2487"/>
    <n v="682"/>
    <n v="8.3800000000000008"/>
    <n v="81440"/>
    <n v="38733"/>
    <n v="5.0599999999999996"/>
    <x v="0"/>
    <x v="59"/>
    <x v="59"/>
    <n v="8.3800000000000013E-2"/>
    <n v="5.0599999999999999E-2"/>
    <n v="12316"/>
    <n v="0.31797175535073452"/>
    <s v="High CTR"/>
    <s v="High"/>
    <x v="1"/>
  </r>
  <r>
    <x v="60"/>
    <s v="78b621a3-39bb-4cd2-8be0-2c4edcc1f44e"/>
    <n v="1539"/>
    <n v="1142"/>
    <n v="1348"/>
    <n v="56.35"/>
    <n v="71384"/>
    <n v="70613"/>
    <n v="2.82"/>
    <x v="1"/>
    <x v="60"/>
    <x v="60"/>
    <n v="0.5635"/>
    <n v="2.8199999999999999E-2"/>
    <n v="4029"/>
    <n v="5.7057482333281409E-2"/>
    <s v="High CTR"/>
    <s v="High"/>
    <x v="0"/>
  </r>
  <r>
    <x v="61"/>
    <s v="46d2fc1c-ee7d-4556-a03f-34cfb156aaf0"/>
    <n v="6402"/>
    <n v="3168"/>
    <n v="390"/>
    <n v="38.01"/>
    <n v="40172"/>
    <n v="81320"/>
    <n v="8.4600000000000009"/>
    <x v="0"/>
    <x v="61"/>
    <x v="61"/>
    <n v="0.38009999999999999"/>
    <n v="8.4600000000000009E-2"/>
    <n v="9960"/>
    <n v="0.12247909493359567"/>
    <s v="High CTR"/>
    <s v="High"/>
    <x v="1"/>
  </r>
  <r>
    <x v="62"/>
    <s v="03135995-0600-4324-a8a5-a8858fa18a50"/>
    <n v="1177"/>
    <n v="2086"/>
    <n v="1174"/>
    <n v="28.82"/>
    <n v="79052"/>
    <n v="53208"/>
    <n v="8.11"/>
    <x v="2"/>
    <x v="62"/>
    <x v="62"/>
    <n v="0.28820000000000001"/>
    <n v="8.1099999999999992E-2"/>
    <n v="4437"/>
    <n v="8.3389715832205683E-2"/>
    <s v="High CTR"/>
    <s v="High"/>
    <x v="3"/>
  </r>
  <r>
    <x v="63"/>
    <s v="4ea471ea-4874-42f3-bf18-29a9a12fd1ac"/>
    <n v="4125"/>
    <n v="1929"/>
    <n v="1163"/>
    <n v="39.28"/>
    <n v="25416"/>
    <n v="93965"/>
    <n v="4.57"/>
    <x v="2"/>
    <x v="63"/>
    <x v="63"/>
    <n v="0.39280000000000004"/>
    <n v="4.5700000000000005E-2"/>
    <n v="7217"/>
    <n v="7.6805193423083062E-2"/>
    <s v="High CTR"/>
    <s v="High"/>
    <x v="1"/>
  </r>
  <r>
    <x v="64"/>
    <s v="b8006c84-da63-4548-ae86-4dbd6ce179e4"/>
    <n v="5820"/>
    <n v="4013"/>
    <n v="538"/>
    <n v="83.64"/>
    <n v="66201"/>
    <n v="86547"/>
    <n v="5.41"/>
    <x v="0"/>
    <x v="64"/>
    <x v="64"/>
    <n v="0.83640000000000003"/>
    <n v="5.4100000000000002E-2"/>
    <n v="10371"/>
    <n v="0.1198308433567888"/>
    <s v="High CTR"/>
    <s v="High"/>
    <x v="0"/>
  </r>
  <r>
    <x v="65"/>
    <s v="2e469a87-4975-49b8-b20b-600c4d0b182b"/>
    <n v="9329"/>
    <n v="2816"/>
    <n v="829"/>
    <n v="33.369999999999997"/>
    <n v="39740"/>
    <n v="76850"/>
    <n v="4.66"/>
    <x v="0"/>
    <x v="65"/>
    <x v="65"/>
    <n v="0.3337"/>
    <n v="4.6600000000000003E-2"/>
    <n v="12974"/>
    <n v="0.16882238126219909"/>
    <s v="High CTR"/>
    <s v="High"/>
    <x v="0"/>
  </r>
  <r>
    <x v="66"/>
    <s v="bac0f4f7-e53c-49a3-be2c-9516e9bc0512"/>
    <n v="5237"/>
    <n v="1959"/>
    <n v="1002"/>
    <n v="84.09"/>
    <n v="30521"/>
    <n v="79392"/>
    <n v="1.18"/>
    <x v="0"/>
    <x v="66"/>
    <x v="66"/>
    <n v="0.84089999999999998"/>
    <n v="1.18E-2"/>
    <n v="8198"/>
    <n v="0.10325977428456268"/>
    <s v="High CTR"/>
    <s v="High"/>
    <x v="1"/>
  </r>
  <r>
    <x v="67"/>
    <s v="e338db75-bcf4-4220-be7b-3f5cdb1cc2b5"/>
    <n v="8547"/>
    <n v="1210"/>
    <n v="1608"/>
    <n v="98.82"/>
    <n v="22409"/>
    <n v="38463"/>
    <n v="5.0199999999999996"/>
    <x v="3"/>
    <x v="67"/>
    <x v="67"/>
    <n v="0.98819999999999997"/>
    <n v="5.0199999999999995E-2"/>
    <n v="11365"/>
    <n v="0.29547877180667137"/>
    <s v="High CTR"/>
    <s v="High"/>
    <x v="2"/>
  </r>
  <r>
    <x v="68"/>
    <s v="d6e01c3f-6fc5-4121-a48a-303f5c8bd8f1"/>
    <n v="1558"/>
    <n v="1770"/>
    <n v="257"/>
    <n v="46.78"/>
    <n v="99233"/>
    <n v="68892"/>
    <n v="9.34"/>
    <x v="2"/>
    <x v="68"/>
    <x v="68"/>
    <n v="0.46779999999999999"/>
    <n v="9.3399999999999997E-2"/>
    <n v="3585"/>
    <n v="5.2037972478662251E-2"/>
    <s v="High CTR"/>
    <s v="High"/>
    <x v="1"/>
  </r>
  <r>
    <x v="69"/>
    <s v="440b7ad5-3bc8-4bff-864c-fe190438e84a"/>
    <n v="7107"/>
    <n v="1726"/>
    <n v="617"/>
    <n v="34.4"/>
    <n v="82278"/>
    <n v="99906"/>
    <n v="3.45"/>
    <x v="0"/>
    <x v="69"/>
    <x v="69"/>
    <n v="0.34399999999999997"/>
    <n v="3.4500000000000003E-2"/>
    <n v="9450"/>
    <n v="9.4588913578764033E-2"/>
    <s v="High CTR"/>
    <s v="High"/>
    <x v="0"/>
  </r>
  <r>
    <x v="70"/>
    <s v="84bf202c-d53f-4f8c-8ad9-7e506f336dd2"/>
    <n v="7076"/>
    <n v="3721"/>
    <n v="775"/>
    <n v="26.12"/>
    <n v="3316"/>
    <n v="79256"/>
    <n v="9.11"/>
    <x v="1"/>
    <x v="70"/>
    <x v="70"/>
    <n v="0.26119999999999999"/>
    <n v="9.11E-2"/>
    <n v="11572"/>
    <n v="0.14600787322095488"/>
    <s v="High CTR"/>
    <s v="High"/>
    <x v="1"/>
  </r>
  <r>
    <x v="71"/>
    <s v="51616fa0-5c18-4168-8a73-20244e788980"/>
    <n v="8667"/>
    <n v="4659"/>
    <n v="222"/>
    <n v="29.22"/>
    <n v="73362"/>
    <n v="87835"/>
    <n v="7.53"/>
    <x v="3"/>
    <x v="71"/>
    <x v="71"/>
    <n v="0.29220000000000002"/>
    <n v="7.5300000000000006E-2"/>
    <n v="13548"/>
    <n v="0.15424375249046507"/>
    <s v="High CTR"/>
    <s v="High"/>
    <x v="0"/>
  </r>
  <r>
    <x v="72"/>
    <s v="89f831e6-51a2-45ef-a5b8-e452d2dc74a4"/>
    <n v="5517"/>
    <n v="3317"/>
    <n v="1629"/>
    <n v="81.040000000000006"/>
    <n v="35082"/>
    <n v="71686"/>
    <n v="6.3"/>
    <x v="1"/>
    <x v="72"/>
    <x v="72"/>
    <n v="0.81040000000000001"/>
    <n v="6.3E-2"/>
    <n v="10463"/>
    <n v="0.14595597466729907"/>
    <s v="High CTR"/>
    <s v="High"/>
    <x v="1"/>
  </r>
  <r>
    <x v="73"/>
    <s v="8d7bf248-176f-4cc9-bfc2-9140f66352af"/>
    <n v="602"/>
    <n v="3325"/>
    <n v="1378"/>
    <n v="97.5"/>
    <n v="2480"/>
    <n v="36321"/>
    <n v="8.34"/>
    <x v="0"/>
    <x v="73"/>
    <x v="73"/>
    <n v="0.97499999999999998"/>
    <n v="8.3400000000000002E-2"/>
    <n v="5305"/>
    <n v="0.14605875388893477"/>
    <s v="High CTR"/>
    <s v="High"/>
    <x v="3"/>
  </r>
  <r>
    <x v="74"/>
    <s v="79374c61-8472-4980-b610-21d68ed73450"/>
    <n v="9150"/>
    <n v="923"/>
    <n v="1938"/>
    <n v="15.72"/>
    <n v="8652"/>
    <n v="49195"/>
    <n v="3.78"/>
    <x v="2"/>
    <x v="74"/>
    <x v="74"/>
    <n v="0.15720000000000001"/>
    <n v="3.78E-2"/>
    <n v="12011"/>
    <n v="0.24415082833621302"/>
    <s v="High CTR"/>
    <s v="High"/>
    <x v="3"/>
  </r>
  <r>
    <x v="75"/>
    <s v="43f01069-0407-410d-8d41-c2cd192beba0"/>
    <n v="3461"/>
    <n v="2000"/>
    <n v="1629"/>
    <n v="40.06"/>
    <n v="92139"/>
    <n v="49340"/>
    <n v="8.91"/>
    <x v="2"/>
    <x v="75"/>
    <x v="75"/>
    <n v="0.40060000000000001"/>
    <n v="8.9099999999999999E-2"/>
    <n v="7090"/>
    <n v="0.14369679773003649"/>
    <s v="High CTR"/>
    <s v="High"/>
    <x v="3"/>
  </r>
  <r>
    <x v="76"/>
    <s v="145e6d84-c2d1-4e96-b117-4b1312606c43"/>
    <n v="5268"/>
    <n v="3213"/>
    <n v="82"/>
    <n v="68.69"/>
    <n v="47249"/>
    <n v="83097"/>
    <n v="5.13"/>
    <x v="1"/>
    <x v="76"/>
    <x v="76"/>
    <n v="0.68689999999999996"/>
    <n v="5.1299999999999998E-2"/>
    <n v="8563"/>
    <n v="0.10304824482231609"/>
    <s v="High CTR"/>
    <s v="High"/>
    <x v="0"/>
  </r>
  <r>
    <x v="77"/>
    <s v="c39b9ee0-fe83-4db0-acb4-81ac6eb2957c"/>
    <n v="7568"/>
    <n v="702"/>
    <n v="1902"/>
    <n v="39.590000000000003"/>
    <n v="49045"/>
    <n v="43783"/>
    <n v="6.7"/>
    <x v="0"/>
    <x v="77"/>
    <x v="77"/>
    <n v="0.39590000000000003"/>
    <n v="6.7000000000000004E-2"/>
    <n v="10172"/>
    <n v="0.23232761574126945"/>
    <s v="High CTR"/>
    <s v="High"/>
    <x v="1"/>
  </r>
  <r>
    <x v="78"/>
    <s v="e04523ec-1d2c-4cba-95c1-00ebf430a7a8"/>
    <n v="9439"/>
    <n v="70"/>
    <n v="1991"/>
    <n v="26"/>
    <n v="62277"/>
    <n v="82850"/>
    <n v="1.34"/>
    <x v="2"/>
    <x v="78"/>
    <x v="78"/>
    <n v="0.26"/>
    <n v="1.34E-2"/>
    <n v="11500"/>
    <n v="0.1388050694025347"/>
    <s v="High CTR"/>
    <s v="High"/>
    <x v="1"/>
  </r>
  <r>
    <x v="79"/>
    <s v="08d76522-d43c-4ad4-af6a-c5e2d9e795be"/>
    <n v="3583"/>
    <n v="2614"/>
    <n v="204"/>
    <n v="94.59"/>
    <n v="90859"/>
    <n v="67298"/>
    <n v="8.7100000000000009"/>
    <x v="2"/>
    <x v="79"/>
    <x v="79"/>
    <n v="0.94590000000000007"/>
    <n v="8.7100000000000011E-2"/>
    <n v="6401"/>
    <n v="9.51142678831466E-2"/>
    <s v="High CTR"/>
    <s v="High"/>
    <x v="0"/>
  </r>
  <r>
    <x v="80"/>
    <s v="5041c752-b3c3-43f0-8c57-6cca38682319"/>
    <n v="2821"/>
    <n v="2985"/>
    <n v="286"/>
    <n v="70.62"/>
    <n v="32368"/>
    <n v="12941"/>
    <n v="4.54"/>
    <x v="1"/>
    <x v="80"/>
    <x v="80"/>
    <n v="0.70620000000000005"/>
    <n v="4.5400000000000003E-2"/>
    <n v="6092"/>
    <n v="0.47075187388918938"/>
    <s v="High CTR"/>
    <s v="High"/>
    <x v="0"/>
  </r>
  <r>
    <x v="81"/>
    <s v="8dad1535-ca34-4d06-bead-1d71d2c7712d"/>
    <n v="3048"/>
    <n v="264"/>
    <n v="1071"/>
    <n v="24.42"/>
    <n v="52404"/>
    <n v="4977"/>
    <n v="7.7"/>
    <x v="0"/>
    <x v="81"/>
    <x v="81"/>
    <n v="0.24420000000000003"/>
    <n v="7.6999999999999999E-2"/>
    <n v="4383"/>
    <n v="0.88065099457504525"/>
    <s v="High CTR"/>
    <s v="High"/>
    <x v="1"/>
  </r>
  <r>
    <x v="82"/>
    <s v="f1d71b6b-9515-48bf-a980-df28b7bf484d"/>
    <n v="4727"/>
    <n v="1101"/>
    <n v="955"/>
    <n v="20.07"/>
    <n v="93207"/>
    <n v="720"/>
    <n v="9.51"/>
    <x v="0"/>
    <x v="82"/>
    <x v="82"/>
    <n v="0.20069999999999999"/>
    <n v="9.5100000000000004E-2"/>
    <n v="6783"/>
    <n v="1"/>
    <s v="High CTR"/>
    <s v="High"/>
    <x v="0"/>
  </r>
  <r>
    <x v="83"/>
    <s v="12b960b2-3ad9-478a-97b7-2db5dcc2e4ea"/>
    <n v="1789"/>
    <n v="2811"/>
    <n v="189"/>
    <n v="47.45"/>
    <n v="98331"/>
    <n v="26899"/>
    <n v="7.31"/>
    <x v="2"/>
    <x v="83"/>
    <x v="83"/>
    <n v="0.47450000000000003"/>
    <n v="7.3099999999999998E-2"/>
    <n v="4789"/>
    <n v="0.17803635822893044"/>
    <s v="High CTR"/>
    <s v="High"/>
    <x v="1"/>
  </r>
  <r>
    <x v="84"/>
    <s v="92c44f92-9b6c-4f84-8572-08f1721578b3"/>
    <n v="9044"/>
    <n v="2270"/>
    <n v="1186"/>
    <n v="58.57"/>
    <n v="47548"/>
    <n v="26322"/>
    <n v="8.1300000000000008"/>
    <x v="3"/>
    <x v="84"/>
    <x v="84"/>
    <n v="0.5857"/>
    <n v="8.1300000000000011E-2"/>
    <n v="12500"/>
    <n v="0.47488792644935796"/>
    <s v="High CTR"/>
    <s v="High"/>
    <x v="0"/>
  </r>
  <r>
    <x v="85"/>
    <s v="1d201428-79cf-4eab-8b48-972b3b1d1bc1"/>
    <n v="1687"/>
    <n v="4560"/>
    <n v="1797"/>
    <n v="34.58"/>
    <n v="97067"/>
    <n v="92674"/>
    <n v="8.14"/>
    <x v="2"/>
    <x v="85"/>
    <x v="85"/>
    <n v="0.3458"/>
    <n v="8.14E-2"/>
    <n v="8044"/>
    <n v="8.6798886419060362E-2"/>
    <s v="High CTR"/>
    <s v="High"/>
    <x v="3"/>
  </r>
  <r>
    <x v="86"/>
    <s v="23e37e68-5d8f-4945-9eb9-fc412394c472"/>
    <n v="6654"/>
    <n v="4904"/>
    <n v="1902"/>
    <n v="2.78"/>
    <n v="95454"/>
    <n v="83486"/>
    <n v="2.31"/>
    <x v="1"/>
    <x v="86"/>
    <x v="86"/>
    <n v="2.7799999999999998E-2"/>
    <n v="2.3099999999999999E-2"/>
    <n v="13460"/>
    <n v="0.1612246364659943"/>
    <s v="High CTR"/>
    <s v="High"/>
    <x v="0"/>
  </r>
  <r>
    <x v="87"/>
    <s v="f7f05149-4f33-461f-9609-17af32c8c8d1"/>
    <n v="5037"/>
    <n v="1062"/>
    <n v="1503"/>
    <n v="42.56"/>
    <n v="60545"/>
    <n v="56487"/>
    <n v="4.71"/>
    <x v="3"/>
    <x v="87"/>
    <x v="87"/>
    <n v="0.42560000000000003"/>
    <n v="4.7100000000000003E-2"/>
    <n v="7602"/>
    <n v="0.13457963779276647"/>
    <s v="High CTR"/>
    <s v="High"/>
    <x v="1"/>
  </r>
  <r>
    <x v="88"/>
    <s v="7eb994f0-1300-4f95-bc6f-9129eda47ed5"/>
    <n v="7103"/>
    <n v="2117"/>
    <n v="722"/>
    <n v="46.58"/>
    <n v="67168"/>
    <n v="129"/>
    <n v="5.33"/>
    <x v="0"/>
    <x v="88"/>
    <x v="88"/>
    <n v="0.46579999999999999"/>
    <n v="5.33E-2"/>
    <n v="9942"/>
    <n v="1"/>
    <s v="High CTR"/>
    <s v="High"/>
    <x v="1"/>
  </r>
  <r>
    <x v="89"/>
    <s v="f702da53-5949-474f-8580-3b720e940634"/>
    <n v="6656"/>
    <n v="4230"/>
    <n v="1568"/>
    <n v="3.49"/>
    <n v="58449"/>
    <n v="22641"/>
    <n v="7.45"/>
    <x v="1"/>
    <x v="89"/>
    <x v="89"/>
    <n v="3.49E-2"/>
    <n v="7.4499999999999997E-2"/>
    <n v="12454"/>
    <n v="0.55006404310763657"/>
    <s v="High CTR"/>
    <s v="High"/>
    <x v="1"/>
  </r>
  <r>
    <x v="90"/>
    <s v="1203225a-e80f-4202-9837-a68f1ee939fc"/>
    <n v="7774"/>
    <n v="3054"/>
    <n v="1911"/>
    <n v="58.15"/>
    <n v="30927"/>
    <n v="10061"/>
    <n v="5.8"/>
    <x v="1"/>
    <x v="90"/>
    <x v="90"/>
    <n v="0.58150000000000002"/>
    <n v="5.7999999999999996E-2"/>
    <n v="12739"/>
    <n v="1"/>
    <s v="High CTR"/>
    <s v="High"/>
    <x v="0"/>
  </r>
  <r>
    <x v="91"/>
    <s v="e1b9d4bb-846b-462e-a7e9-6594986bf18a"/>
    <n v="2598"/>
    <n v="2256"/>
    <n v="173"/>
    <n v="72.27"/>
    <n v="22647"/>
    <n v="73157"/>
    <n v="3.9"/>
    <x v="1"/>
    <x v="91"/>
    <x v="91"/>
    <n v="0.72270000000000001"/>
    <n v="3.9E-2"/>
    <n v="5027"/>
    <n v="6.8715228891288602E-2"/>
    <s v="High CTR"/>
    <s v="High"/>
    <x v="1"/>
  </r>
  <r>
    <x v="92"/>
    <s v="f8eef7e9-522e-4b9c-9d1e-a2eaa8f99c19"/>
    <n v="6470"/>
    <n v="1291"/>
    <n v="504"/>
    <n v="28.59"/>
    <n v="77700"/>
    <n v="78884"/>
    <n v="8.2100000000000009"/>
    <x v="1"/>
    <x v="92"/>
    <x v="92"/>
    <n v="0.28589999999999999"/>
    <n v="8.2100000000000006E-2"/>
    <n v="8265"/>
    <n v="0.1047740986765377"/>
    <s v="High CTR"/>
    <s v="High"/>
    <x v="1"/>
  </r>
  <r>
    <x v="93"/>
    <s v="c1aec5ba-87f7-4a46-962d-88fd4060b623"/>
    <n v="4435"/>
    <n v="2890"/>
    <n v="1787"/>
    <n v="20.11"/>
    <n v="15038"/>
    <n v="78322"/>
    <n v="1.01"/>
    <x v="3"/>
    <x v="93"/>
    <x v="93"/>
    <n v="0.2011"/>
    <n v="1.01E-2"/>
    <n v="9112"/>
    <n v="0.11634023645974312"/>
    <s v="High CTR"/>
    <s v="High"/>
    <x v="1"/>
  </r>
  <r>
    <x v="94"/>
    <s v="5ed82595-adce-4309-a959-9dfc8dc1b75e"/>
    <n v="3919"/>
    <n v="2352"/>
    <n v="386"/>
    <n v="19.28"/>
    <n v="95721"/>
    <n v="54682"/>
    <n v="8.9"/>
    <x v="0"/>
    <x v="94"/>
    <x v="94"/>
    <n v="0.1928"/>
    <n v="8.900000000000001E-2"/>
    <n v="6657"/>
    <n v="0.1217402435902125"/>
    <s v="High CTR"/>
    <s v="High"/>
    <x v="1"/>
  </r>
  <r>
    <x v="95"/>
    <s v="78e5472f-2739-4796-9119-a31c390644e6"/>
    <n v="4743"/>
    <n v="3938"/>
    <n v="644"/>
    <n v="39.96"/>
    <n v="8930"/>
    <n v="16454"/>
    <n v="5.89"/>
    <x v="1"/>
    <x v="95"/>
    <x v="95"/>
    <n v="0.39960000000000001"/>
    <n v="5.8899999999999994E-2"/>
    <n v="9325"/>
    <n v="0.56673149386167498"/>
    <s v="High CTR"/>
    <s v="High"/>
    <x v="1"/>
  </r>
  <r>
    <x v="96"/>
    <s v="691a11e8-d7c2-4f49-b57d-a67b5cfc4036"/>
    <n v="390"/>
    <n v="4436"/>
    <n v="873"/>
    <n v="47.94"/>
    <n v="94020"/>
    <n v="99250"/>
    <n v="5.34"/>
    <x v="3"/>
    <x v="96"/>
    <x v="96"/>
    <n v="0.47939999999999999"/>
    <n v="5.3399999999999996E-2"/>
    <n v="5699"/>
    <n v="5.7420654911838793E-2"/>
    <s v="High CTR"/>
    <s v="High"/>
    <x v="1"/>
  </r>
  <r>
    <x v="97"/>
    <s v="3e2b5e23-5e6a-4684-9ee5-b55ba68bd721"/>
    <n v="9232"/>
    <n v="3905"/>
    <n v="1196"/>
    <n v="78.66"/>
    <n v="35909"/>
    <n v="71586"/>
    <n v="5.67"/>
    <x v="0"/>
    <x v="97"/>
    <x v="97"/>
    <n v="0.78659999999999997"/>
    <n v="5.67E-2"/>
    <n v="14333"/>
    <n v="0.20022071354734167"/>
    <s v="High CTR"/>
    <s v="High"/>
    <x v="3"/>
  </r>
  <r>
    <x v="98"/>
    <s v="8eed38de-1f5e-49da-8556-b9971000d4c9"/>
    <n v="2556"/>
    <n v="2071"/>
    <n v="1395"/>
    <n v="63.53"/>
    <n v="98007"/>
    <n v="76384"/>
    <n v="6.36"/>
    <x v="3"/>
    <x v="98"/>
    <x v="98"/>
    <n v="0.63529999999999998"/>
    <n v="6.3600000000000004E-2"/>
    <n v="6022"/>
    <n v="7.8838500209467949E-2"/>
    <s v="High CTR"/>
    <s v="High"/>
    <x v="3"/>
  </r>
  <r>
    <x v="99"/>
    <s v="633a722d-64ca-4524-be3c-3d34c4b3195c"/>
    <n v="8260"/>
    <n v="4763"/>
    <n v="272"/>
    <n v="14.91"/>
    <n v="11526"/>
    <n v="43575"/>
    <n v="0.63"/>
    <x v="2"/>
    <x v="99"/>
    <x v="99"/>
    <n v="0.14910000000000001"/>
    <n v="6.3E-3"/>
    <n v="13295"/>
    <n v="0.30510613884107862"/>
    <s v="High CTR"/>
    <s v="High"/>
    <x v="1"/>
  </r>
  <r>
    <x v="100"/>
    <s v="fdfdcd2a-42b4-46ee-8640-43a95ce8080d"/>
    <n v="2019"/>
    <n v="3901"/>
    <n v="1420"/>
    <n v="37.909999999999997"/>
    <n v="34639"/>
    <n v="82360"/>
    <n v="9.25"/>
    <x v="1"/>
    <x v="100"/>
    <x v="100"/>
    <n v="0.37909999999999999"/>
    <n v="9.2499999999999999E-2"/>
    <n v="7340"/>
    <n v="8.9120932491500729E-2"/>
    <s v="High CTR"/>
    <s v="High"/>
    <x v="1"/>
  </r>
  <r>
    <x v="101"/>
    <s v="fd60e8a5-3d69-431d-abf2-dc61ae8e6bba"/>
    <n v="6936"/>
    <n v="1317"/>
    <n v="252"/>
    <n v="91.92"/>
    <n v="34801"/>
    <n v="30720"/>
    <n v="2.5499999999999998"/>
    <x v="0"/>
    <x v="101"/>
    <x v="101"/>
    <n v="0.91920000000000002"/>
    <n v="2.5499999999999998E-2"/>
    <n v="8505"/>
    <n v="0.27685546875"/>
    <s v="High CTR"/>
    <s v="High"/>
    <x v="1"/>
  </r>
  <r>
    <x v="102"/>
    <s v="de238f49-e43e-4ed9-a462-f5495e2492c0"/>
    <n v="552"/>
    <n v="2286"/>
    <n v="763"/>
    <n v="46.05"/>
    <n v="81628"/>
    <n v="75769"/>
    <n v="5.81"/>
    <x v="3"/>
    <x v="102"/>
    <x v="102"/>
    <n v="0.46049999999999996"/>
    <n v="5.8099999999999999E-2"/>
    <n v="3601"/>
    <n v="4.7526033074212409E-2"/>
    <s v="High CTR"/>
    <s v="High"/>
    <x v="1"/>
  </r>
  <r>
    <x v="103"/>
    <s v="3427dec3-ea53-41b1-90b2-2ee69b40096a"/>
    <n v="7826"/>
    <n v="1407"/>
    <n v="427"/>
    <n v="29.94"/>
    <n v="67495"/>
    <n v="98182"/>
    <n v="4.6399999999999997"/>
    <x v="1"/>
    <x v="103"/>
    <x v="103"/>
    <n v="0.2994"/>
    <n v="4.6399999999999997E-2"/>
    <n v="9660"/>
    <n v="9.8388706687580207E-2"/>
    <s v="High CTR"/>
    <s v="High"/>
    <x v="0"/>
  </r>
  <r>
    <x v="104"/>
    <s v="5de8f69f-b48a-4743-affd-d20e438f6487"/>
    <n v="9798"/>
    <n v="1586"/>
    <n v="371"/>
    <n v="70.7"/>
    <n v="11652"/>
    <n v="82422"/>
    <n v="0.85"/>
    <x v="0"/>
    <x v="104"/>
    <x v="104"/>
    <n v="0.70700000000000007"/>
    <n v="8.5000000000000006E-3"/>
    <n v="11755"/>
    <n v="0.14261968891800733"/>
    <s v="High CTR"/>
    <s v="High"/>
    <x v="0"/>
  </r>
  <r>
    <x v="105"/>
    <s v="091e3a68-1edc-4026-aa30-f5e4881be528"/>
    <n v="1355"/>
    <n v="647"/>
    <n v="439"/>
    <n v="69.41"/>
    <n v="70517"/>
    <n v="53575"/>
    <n v="8.75"/>
    <x v="0"/>
    <x v="105"/>
    <x v="105"/>
    <n v="0.69409999999999994"/>
    <n v="8.7499999999999994E-2"/>
    <n v="2441"/>
    <n v="4.5562295846943539E-2"/>
    <s v="High CTR"/>
    <s v="High"/>
    <x v="1"/>
  </r>
  <r>
    <x v="106"/>
    <s v="006e27a1-f345-44bc-858a-0e5f2ba185d5"/>
    <n v="729"/>
    <n v="2752"/>
    <n v="619"/>
    <n v="78.13"/>
    <n v="26732"/>
    <n v="34691"/>
    <n v="9.9600000000000009"/>
    <x v="1"/>
    <x v="106"/>
    <x v="106"/>
    <n v="0.78129999999999999"/>
    <n v="9.9600000000000008E-2"/>
    <n v="4100"/>
    <n v="0.11818627309676862"/>
    <s v="High CTR"/>
    <s v="High"/>
    <x v="3"/>
  </r>
  <r>
    <x v="107"/>
    <s v="30b965fe-b023-4900-9594-7ce8e070ab29"/>
    <n v="6350"/>
    <n v="3692"/>
    <n v="581"/>
    <n v="65.849999999999994"/>
    <n v="21250"/>
    <n v="2416"/>
    <n v="4.46"/>
    <x v="3"/>
    <x v="107"/>
    <x v="107"/>
    <n v="0.65849999999999997"/>
    <n v="4.4600000000000001E-2"/>
    <n v="10623"/>
    <n v="1"/>
    <s v="High CTR"/>
    <s v="High"/>
    <x v="1"/>
  </r>
  <r>
    <x v="108"/>
    <s v="c2683442-91a3-44c4-85ae-b4382c02feca"/>
    <n v="776"/>
    <n v="4575"/>
    <n v="160"/>
    <n v="31.28"/>
    <n v="88608"/>
    <n v="51369"/>
    <n v="0.27"/>
    <x v="3"/>
    <x v="108"/>
    <x v="108"/>
    <n v="0.31280000000000002"/>
    <n v="2.7000000000000001E-3"/>
    <n v="5511"/>
    <n v="0.10728260234771944"/>
    <s v="High CTR"/>
    <s v="High"/>
    <x v="0"/>
  </r>
  <r>
    <x v="109"/>
    <s v="4dee74a6-edb1-4480-b1a6-f395e2d86266"/>
    <n v="1033"/>
    <n v="3708"/>
    <n v="188"/>
    <n v="23.38"/>
    <n v="65915"/>
    <n v="41656"/>
    <n v="5.84"/>
    <x v="0"/>
    <x v="109"/>
    <x v="109"/>
    <n v="0.23379999999999998"/>
    <n v="5.8400000000000001E-2"/>
    <n v="4929"/>
    <n v="0.11832629153063184"/>
    <s v="High CTR"/>
    <s v="High"/>
    <x v="1"/>
  </r>
  <r>
    <x v="110"/>
    <s v="dfa6a8f8-9ca0-4bf8-9418-b7d599b63911"/>
    <n v="5087"/>
    <n v="2117"/>
    <n v="203"/>
    <n v="84.39"/>
    <n v="68505"/>
    <n v="99558"/>
    <n v="0.94"/>
    <x v="1"/>
    <x v="110"/>
    <x v="110"/>
    <n v="0.84389999999999998"/>
    <n v="9.3999999999999986E-3"/>
    <n v="7407"/>
    <n v="7.4398842885554151E-2"/>
    <s v="High CTR"/>
    <s v="High"/>
    <x v="1"/>
  </r>
  <r>
    <x v="111"/>
    <s v="aa80038e-051b-445f-a727-03c4d5d014f0"/>
    <n v="9246"/>
    <n v="1805"/>
    <n v="884"/>
    <n v="95.41"/>
    <n v="59259"/>
    <n v="30700"/>
    <n v="4.7300000000000004"/>
    <x v="2"/>
    <x v="111"/>
    <x v="111"/>
    <n v="0.95409999999999995"/>
    <n v="4.7300000000000002E-2"/>
    <n v="11935"/>
    <n v="0.38876221498371333"/>
    <s v="High CTR"/>
    <s v="High"/>
    <x v="3"/>
  </r>
  <r>
    <x v="112"/>
    <s v="294c74b1-1f91-43b6-8b94-912ccf633704"/>
    <n v="5992"/>
    <n v="883"/>
    <n v="220"/>
    <n v="75.5"/>
    <n v="35807"/>
    <n v="71829"/>
    <n v="7.09"/>
    <x v="2"/>
    <x v="112"/>
    <x v="112"/>
    <n v="0.755"/>
    <n v="7.0900000000000005E-2"/>
    <n v="7095"/>
    <n v="9.8776260284843168E-2"/>
    <s v="High CTR"/>
    <s v="High"/>
    <x v="0"/>
  </r>
  <r>
    <x v="113"/>
    <s v="14130df2-29ab-41e0-b65f-383d08773382"/>
    <n v="1179"/>
    <n v="1612"/>
    <n v="524"/>
    <n v="27.02"/>
    <n v="91703"/>
    <n v="27903"/>
    <n v="6.83"/>
    <x v="3"/>
    <x v="113"/>
    <x v="113"/>
    <n v="0.2702"/>
    <n v="6.83E-2"/>
    <n v="3315"/>
    <n v="0.11880442963122245"/>
    <s v="High CTR"/>
    <s v="High"/>
    <x v="0"/>
  </r>
  <r>
    <x v="114"/>
    <s v="221ae7d9-e7cc-4005-831a-c28172005897"/>
    <n v="7149"/>
    <n v="1416"/>
    <n v="1315"/>
    <n v="15.76"/>
    <n v="64237"/>
    <n v="26491"/>
    <n v="2.82"/>
    <x v="2"/>
    <x v="114"/>
    <x v="114"/>
    <n v="0.15759999999999999"/>
    <n v="2.8199999999999999E-2"/>
    <n v="9880"/>
    <n v="0.37295685327092221"/>
    <s v="High CTR"/>
    <s v="High"/>
    <x v="1"/>
  </r>
  <r>
    <x v="115"/>
    <s v="2c94a67d-f648-4cec-b2e1-3a1c6324cd4d"/>
    <n v="2392"/>
    <n v="3832"/>
    <n v="1315"/>
    <n v="84.48"/>
    <n v="91743"/>
    <n v="60195"/>
    <n v="1.08"/>
    <x v="2"/>
    <x v="115"/>
    <x v="115"/>
    <n v="0.8448"/>
    <n v="1.0800000000000001E-2"/>
    <n v="7539"/>
    <n v="0.125242960378769"/>
    <s v="High CTR"/>
    <s v="High"/>
    <x v="0"/>
  </r>
  <r>
    <x v="116"/>
    <s v="94af66f1-0913-467c-bd3d-98951f925385"/>
    <n v="3307"/>
    <n v="3730"/>
    <n v="201"/>
    <n v="85.4"/>
    <n v="7873"/>
    <n v="91099"/>
    <n v="3.41"/>
    <x v="3"/>
    <x v="116"/>
    <x v="116"/>
    <n v="0.85400000000000009"/>
    <n v="3.4099999999999998E-2"/>
    <n v="7238"/>
    <n v="7.9452024720359171E-2"/>
    <s v="High CTR"/>
    <s v="High"/>
    <x v="2"/>
  </r>
  <r>
    <x v="117"/>
    <s v="f8a087d6-34de-4863-8dc8-5d9ff73c1449"/>
    <n v="8127"/>
    <n v="3948"/>
    <n v="1622"/>
    <n v="11.77"/>
    <n v="32112"/>
    <n v="63971"/>
    <n v="3.89"/>
    <x v="1"/>
    <x v="117"/>
    <x v="117"/>
    <n v="0.1177"/>
    <n v="3.8900000000000004E-2"/>
    <n v="13697"/>
    <n v="0.21411264479217146"/>
    <s v="High CTR"/>
    <s v="High"/>
    <x v="3"/>
  </r>
  <r>
    <x v="118"/>
    <s v="a701dc41-20c3-438d-b2b4-70f90a56de30"/>
    <n v="2799"/>
    <n v="2515"/>
    <n v="349"/>
    <n v="49.91"/>
    <n v="27576"/>
    <n v="87596"/>
    <n v="1.2"/>
    <x v="2"/>
    <x v="118"/>
    <x v="118"/>
    <n v="0.49909999999999999"/>
    <n v="1.2E-2"/>
    <n v="5663"/>
    <n v="6.4649070733823463E-2"/>
    <s v="High CTR"/>
    <s v="High"/>
    <x v="2"/>
  </r>
  <r>
    <x v="119"/>
    <s v="5afa1202-1d7d-42a0-a796-33d1c18756c3"/>
    <n v="4455"/>
    <n v="4130"/>
    <n v="649"/>
    <n v="79.67"/>
    <n v="14460"/>
    <n v="45538"/>
    <n v="3.85"/>
    <x v="3"/>
    <x v="119"/>
    <x v="119"/>
    <n v="0.79669999999999996"/>
    <n v="3.85E-2"/>
    <n v="9234"/>
    <n v="0.20277570380780885"/>
    <s v="High CTR"/>
    <s v="High"/>
    <x v="1"/>
  </r>
  <r>
    <x v="120"/>
    <s v="16613659-18a6-4b9c-a652-1e251493c1d8"/>
    <n v="7761"/>
    <n v="251"/>
    <n v="1234"/>
    <n v="39.409999999999997"/>
    <n v="79321"/>
    <n v="83204"/>
    <n v="7.35"/>
    <x v="2"/>
    <x v="120"/>
    <x v="120"/>
    <n v="0.39409999999999995"/>
    <n v="7.3499999999999996E-2"/>
    <n v="9246"/>
    <n v="0.11112446516994376"/>
    <s v="High CTR"/>
    <s v="High"/>
    <x v="0"/>
  </r>
  <r>
    <x v="121"/>
    <s v="1f8d3343-3ccf-4d1b-889d-08589fa36dfd"/>
    <n v="4546"/>
    <n v="4820"/>
    <n v="1460"/>
    <n v="6.65"/>
    <n v="97996"/>
    <n v="86585"/>
    <n v="1.51"/>
    <x v="1"/>
    <x v="121"/>
    <x v="121"/>
    <n v="6.6500000000000004E-2"/>
    <n v="1.5100000000000001E-2"/>
    <n v="10826"/>
    <n v="0.12503320436565224"/>
    <s v="High CTR"/>
    <s v="High"/>
    <x v="1"/>
  </r>
  <r>
    <x v="122"/>
    <s v="ebb675a2-7f52-49a8-992f-43e50771ccb2"/>
    <n v="4424"/>
    <n v="3491"/>
    <n v="1587"/>
    <n v="73.010000000000005"/>
    <n v="4102"/>
    <n v="95838"/>
    <n v="0.25"/>
    <x v="1"/>
    <x v="122"/>
    <x v="122"/>
    <n v="0.73010000000000008"/>
    <n v="2.5000000000000001E-3"/>
    <n v="9502"/>
    <n v="9.9146476345499696E-2"/>
    <s v="High CTR"/>
    <s v="High"/>
    <x v="1"/>
  </r>
  <r>
    <x v="123"/>
    <s v="64f14eb5-f719-42c0-9651-dd3187f91243"/>
    <n v="4153"/>
    <n v="869"/>
    <n v="698"/>
    <n v="12.51"/>
    <n v="41737"/>
    <n v="85872"/>
    <n v="3.32"/>
    <x v="3"/>
    <x v="123"/>
    <x v="123"/>
    <n v="0.12509999999999999"/>
    <n v="3.32E-2"/>
    <n v="5720"/>
    <n v="6.6610769517421273E-2"/>
    <s v="High CTR"/>
    <s v="High"/>
    <x v="1"/>
  </r>
  <r>
    <x v="124"/>
    <s v="f936fc2d-46c6-45fc-8388-7bd036e61152"/>
    <n v="1803"/>
    <n v="1132"/>
    <n v="973"/>
    <n v="67.2"/>
    <n v="82502"/>
    <n v="35757"/>
    <n v="1.58"/>
    <x v="3"/>
    <x v="124"/>
    <x v="124"/>
    <n v="0.67200000000000004"/>
    <n v="1.5800000000000002E-2"/>
    <n v="3908"/>
    <n v="0.10929328523086389"/>
    <s v="High CTR"/>
    <s v="High"/>
    <x v="3"/>
  </r>
  <r>
    <x v="125"/>
    <s v="2919e741-6c57-432a-bcfc-db077984f470"/>
    <n v="3871"/>
    <n v="1989"/>
    <n v="1533"/>
    <n v="87.13"/>
    <n v="18779"/>
    <n v="78382"/>
    <n v="6.26"/>
    <x v="2"/>
    <x v="125"/>
    <x v="125"/>
    <n v="0.87129999999999996"/>
    <n v="6.2600000000000003E-2"/>
    <n v="7393"/>
    <n v="9.4320124518384327E-2"/>
    <s v="High CTR"/>
    <s v="High"/>
    <x v="1"/>
  </r>
  <r>
    <x v="126"/>
    <s v="ea68b1f9-467c-4c66-b5c2-0889a9d754e9"/>
    <n v="6200"/>
    <n v="3915"/>
    <n v="1429"/>
    <n v="42.99"/>
    <n v="57594"/>
    <n v="63213"/>
    <n v="7.46"/>
    <x v="0"/>
    <x v="126"/>
    <x v="126"/>
    <n v="0.4299"/>
    <n v="7.46E-2"/>
    <n v="11544"/>
    <n v="0.18262066347112144"/>
    <s v="High CTR"/>
    <s v="High"/>
    <x v="1"/>
  </r>
  <r>
    <x v="127"/>
    <s v="cc284be0-3a87-4cbd-a7ab-be2605712237"/>
    <n v="7796"/>
    <n v="1433"/>
    <n v="80"/>
    <n v="95.11"/>
    <n v="891"/>
    <n v="45307"/>
    <n v="7.49"/>
    <x v="2"/>
    <x v="127"/>
    <x v="127"/>
    <n v="0.95109999999999995"/>
    <n v="7.4900000000000008E-2"/>
    <n v="9309"/>
    <n v="0.20546493919261924"/>
    <s v="High CTR"/>
    <s v="High"/>
    <x v="1"/>
  </r>
  <r>
    <x v="128"/>
    <s v="fb783501-a3d5-4b13-bac5-92733360057e"/>
    <n v="189"/>
    <n v="2967"/>
    <n v="451"/>
    <n v="96.58"/>
    <n v="34271"/>
    <n v="29952"/>
    <n v="9.56"/>
    <x v="3"/>
    <x v="128"/>
    <x v="128"/>
    <n v="0.96579999999999999"/>
    <n v="9.5600000000000004E-2"/>
    <n v="3607"/>
    <n v="0.12042601495726496"/>
    <s v="High CTR"/>
    <s v="High"/>
    <x v="3"/>
  </r>
  <r>
    <x v="129"/>
    <s v="5df3197b-6673-49ab-9628-25119d6455f6"/>
    <n v="9478"/>
    <n v="1280"/>
    <n v="1562"/>
    <n v="43.93"/>
    <n v="87526"/>
    <n v="2273"/>
    <n v="6.25"/>
    <x v="3"/>
    <x v="129"/>
    <x v="129"/>
    <n v="0.43930000000000002"/>
    <n v="6.25E-2"/>
    <n v="12320"/>
    <n v="1"/>
    <s v="High CTR"/>
    <s v="High"/>
    <x v="1"/>
  </r>
  <r>
    <x v="130"/>
    <s v="abab3f29-11be-4cd5-83fc-397c107501dc"/>
    <n v="6628"/>
    <n v="139"/>
    <n v="1886"/>
    <n v="35.07"/>
    <n v="68474"/>
    <n v="86673"/>
    <n v="0.73"/>
    <x v="0"/>
    <x v="130"/>
    <x v="130"/>
    <n v="0.35070000000000001"/>
    <n v="7.3000000000000001E-3"/>
    <n v="8653"/>
    <n v="9.9835012056811237E-2"/>
    <s v="High CTR"/>
    <s v="High"/>
    <x v="1"/>
  </r>
  <r>
    <x v="131"/>
    <s v="ec7160b3-40ae-4318-942c-9fb299153303"/>
    <n v="5594"/>
    <n v="3059"/>
    <n v="448"/>
    <n v="66.91"/>
    <n v="37735"/>
    <n v="39335"/>
    <n v="8.0399999999999991"/>
    <x v="1"/>
    <x v="131"/>
    <x v="131"/>
    <n v="0.66909999999999992"/>
    <n v="8.0399999999999985E-2"/>
    <n v="9101"/>
    <n v="0.23137155205287913"/>
    <s v="High CTR"/>
    <s v="High"/>
    <x v="3"/>
  </r>
  <r>
    <x v="132"/>
    <s v="161d096e-5d98-4f06-824d-b9c88dce77aa"/>
    <n v="4107"/>
    <n v="1141"/>
    <n v="495"/>
    <n v="6.55"/>
    <n v="49492"/>
    <n v="68903"/>
    <n v="9.1199999999999992"/>
    <x v="2"/>
    <x v="132"/>
    <x v="132"/>
    <n v="6.5500000000000003E-2"/>
    <n v="9.1199999999999989E-2"/>
    <n v="5743"/>
    <n v="8.3349055919190743E-2"/>
    <s v="High CTR"/>
    <s v="High"/>
    <x v="1"/>
  </r>
  <r>
    <x v="133"/>
    <s v="c287b31f-456a-468c-b88e-f9b307db34c7"/>
    <n v="8816"/>
    <n v="4355"/>
    <n v="1509"/>
    <n v="40.520000000000003"/>
    <n v="72174"/>
    <n v="89385"/>
    <n v="0.43"/>
    <x v="3"/>
    <x v="133"/>
    <x v="133"/>
    <n v="0.4052"/>
    <n v="4.3E-3"/>
    <n v="14680"/>
    <n v="0.16423337248979136"/>
    <s v="High CTR"/>
    <s v="High"/>
    <x v="0"/>
  </r>
  <r>
    <x v="134"/>
    <s v="ef7d5298-8867-49ca-b612-4471be8c7572"/>
    <n v="9875"/>
    <n v="424"/>
    <n v="455"/>
    <n v="83.26"/>
    <n v="74522"/>
    <n v="95365"/>
    <n v="5.49"/>
    <x v="2"/>
    <x v="134"/>
    <x v="134"/>
    <n v="0.83260000000000001"/>
    <n v="5.4900000000000004E-2"/>
    <n v="10754"/>
    <n v="0.11276673832118701"/>
    <s v="High CTR"/>
    <s v="High"/>
    <x v="3"/>
  </r>
  <r>
    <x v="135"/>
    <s v="92dc7347-dcd6-41ad-b427-f4016cf54602"/>
    <n v="7241"/>
    <n v="2131"/>
    <n v="1240"/>
    <n v="92.59"/>
    <n v="24828"/>
    <n v="14365"/>
    <n v="1.7"/>
    <x v="3"/>
    <x v="135"/>
    <x v="135"/>
    <n v="0.92590000000000006"/>
    <n v="1.7000000000000001E-2"/>
    <n v="10612"/>
    <n v="0.73873999303863558"/>
    <s v="High CTR"/>
    <s v="High"/>
    <x v="1"/>
  </r>
  <r>
    <x v="136"/>
    <s v="a8dd8618-070b-4ed0-b492-3e6e37d6b53b"/>
    <n v="9322"/>
    <n v="2279"/>
    <n v="1836"/>
    <n v="59.17"/>
    <n v="54439"/>
    <n v="81207"/>
    <n v="4.83"/>
    <x v="1"/>
    <x v="136"/>
    <x v="136"/>
    <n v="0.5917"/>
    <n v="4.8300000000000003E-2"/>
    <n v="13437"/>
    <n v="0.16546603125346337"/>
    <s v="High CTR"/>
    <s v="High"/>
    <x v="1"/>
  </r>
  <r>
    <x v="137"/>
    <s v="808b0347-800d-44c0-8a7d-7fe84fc22d41"/>
    <n v="6463"/>
    <n v="3452"/>
    <n v="1467"/>
    <n v="47.5"/>
    <n v="4171"/>
    <n v="8051"/>
    <n v="5.1100000000000003"/>
    <x v="2"/>
    <x v="137"/>
    <x v="137"/>
    <n v="0.47499999999999998"/>
    <n v="5.1100000000000007E-2"/>
    <n v="11382"/>
    <n v="1"/>
    <s v="High CTR"/>
    <s v="High"/>
    <x v="1"/>
  </r>
  <r>
    <x v="138"/>
    <s v="4b624aa2-baf7-441d-8d65-80e6c2591320"/>
    <n v="2319"/>
    <n v="2516"/>
    <n v="454"/>
    <n v="41.18"/>
    <n v="30713"/>
    <n v="48082"/>
    <n v="4.7300000000000004"/>
    <x v="2"/>
    <x v="138"/>
    <x v="138"/>
    <n v="0.4118"/>
    <n v="4.7300000000000002E-2"/>
    <n v="5289"/>
    <n v="0.10999958404392496"/>
    <s v="High CTR"/>
    <s v="High"/>
    <x v="1"/>
  </r>
  <r>
    <x v="139"/>
    <s v="62bc56ee-28fa-486a-ab20-f9906aa4f4e9"/>
    <n v="6654"/>
    <n v="4979"/>
    <n v="1202"/>
    <n v="79.14"/>
    <n v="22429"/>
    <n v="58207"/>
    <n v="2.3199999999999998"/>
    <x v="3"/>
    <x v="139"/>
    <x v="139"/>
    <n v="0.79139999999999999"/>
    <n v="2.3199999999999998E-2"/>
    <n v="12835"/>
    <n v="0.22050612469290634"/>
    <s v="High CTR"/>
    <s v="High"/>
    <x v="3"/>
  </r>
  <r>
    <x v="140"/>
    <s v="c9aa97a4-7a53-4955-8d60-d4833bc6570f"/>
    <n v="343"/>
    <n v="563"/>
    <n v="1717"/>
    <n v="92.37"/>
    <n v="97128"/>
    <n v="55084"/>
    <n v="6.09"/>
    <x v="0"/>
    <x v="140"/>
    <x v="140"/>
    <n v="0.92370000000000008"/>
    <n v="6.0899999999999996E-2"/>
    <n v="2623"/>
    <n v="4.761818313847941E-2"/>
    <s v="High CTR"/>
    <s v="High"/>
    <x v="3"/>
  </r>
  <r>
    <x v="141"/>
    <s v="e18401b0-8d43-4261-b944-57e571e704a6"/>
    <n v="7486"/>
    <n v="3449"/>
    <n v="86"/>
    <n v="33.56"/>
    <n v="73724"/>
    <n v="92742"/>
    <n v="9.92"/>
    <x v="1"/>
    <x v="141"/>
    <x v="141"/>
    <n v="0.33560000000000001"/>
    <n v="9.9199999999999997E-2"/>
    <n v="11021"/>
    <n v="0.11883504776692329"/>
    <s v="High CTR"/>
    <s v="High"/>
    <x v="0"/>
  </r>
  <r>
    <x v="142"/>
    <s v="26e3f8e0-e207-4e2b-b7ea-2c457d6af025"/>
    <n v="5622"/>
    <n v="203"/>
    <n v="1826"/>
    <n v="79.87"/>
    <n v="10155"/>
    <n v="68947"/>
    <n v="7.88"/>
    <x v="1"/>
    <x v="142"/>
    <x v="142"/>
    <n v="0.79870000000000008"/>
    <n v="7.8799999999999995E-2"/>
    <n v="7651"/>
    <n v="0.11096929525577617"/>
    <s v="High CTR"/>
    <s v="High"/>
    <x v="1"/>
  </r>
  <r>
    <x v="143"/>
    <s v="0d6e15de-d9f6-4a80-bf77-119e25833170"/>
    <n v="9539"/>
    <n v="4358"/>
    <n v="478"/>
    <n v="12.82"/>
    <n v="27074"/>
    <n v="75788"/>
    <n v="9.59"/>
    <x v="0"/>
    <x v="143"/>
    <x v="143"/>
    <n v="0.12820000000000001"/>
    <n v="9.5899999999999999E-2"/>
    <n v="14375"/>
    <n v="0.18967382699108037"/>
    <s v="High CTR"/>
    <s v="High"/>
    <x v="2"/>
  </r>
  <r>
    <x v="144"/>
    <s v="b680b1eb-7fa4-42e8-869a-d9518affff02"/>
    <n v="864"/>
    <n v="2817"/>
    <n v="1767"/>
    <n v="65.95"/>
    <n v="8301"/>
    <n v="63846"/>
    <n v="0.16"/>
    <x v="0"/>
    <x v="144"/>
    <x v="144"/>
    <n v="0.65949999999999998"/>
    <n v="1.6000000000000001E-3"/>
    <n v="5448"/>
    <n v="8.5330326097171325E-2"/>
    <s v="High CTR"/>
    <s v="High"/>
    <x v="1"/>
  </r>
  <r>
    <x v="145"/>
    <s v="36a523c5-f786-4dea-9c76-da0a4f0ed55a"/>
    <n v="3845"/>
    <n v="4928"/>
    <n v="722"/>
    <n v="24.88"/>
    <n v="26509"/>
    <n v="70592"/>
    <n v="4.7300000000000004"/>
    <x v="0"/>
    <x v="145"/>
    <x v="145"/>
    <n v="0.24879999999999999"/>
    <n v="4.7300000000000002E-2"/>
    <n v="9495"/>
    <n v="0.13450532638259294"/>
    <s v="High CTR"/>
    <s v="High"/>
    <x v="0"/>
  </r>
  <r>
    <x v="146"/>
    <s v="6fbd66e1-30d0-482a-ae9f-c8e3da547dc9"/>
    <n v="8502"/>
    <n v="2822"/>
    <n v="366"/>
    <n v="42.6"/>
    <n v="55061"/>
    <n v="31874"/>
    <n v="6.38"/>
    <x v="0"/>
    <x v="146"/>
    <x v="146"/>
    <n v="0.42599999999999999"/>
    <n v="6.3799999999999996E-2"/>
    <n v="11690"/>
    <n v="0.36675660412875699"/>
    <s v="High CTR"/>
    <s v="High"/>
    <x v="1"/>
  </r>
  <r>
    <x v="147"/>
    <s v="2102bdcf-3f4b-45a6-a5c4-fd0010cbdac3"/>
    <n v="1972"/>
    <n v="1054"/>
    <n v="1172"/>
    <n v="89.79"/>
    <n v="30148"/>
    <n v="58395"/>
    <n v="7.22"/>
    <x v="2"/>
    <x v="147"/>
    <x v="147"/>
    <n v="0.89790000000000003"/>
    <n v="7.22E-2"/>
    <n v="4198"/>
    <n v="7.1889716585324087E-2"/>
    <s v="High CTR"/>
    <s v="High"/>
    <x v="0"/>
  </r>
  <r>
    <x v="148"/>
    <s v="48b0e46e-f9fc-47a2-a953-9be4fcf047fb"/>
    <n v="3801"/>
    <n v="2013"/>
    <n v="305"/>
    <n v="84.98"/>
    <n v="88087"/>
    <n v="66896"/>
    <n v="9.0299999999999994"/>
    <x v="0"/>
    <x v="148"/>
    <x v="148"/>
    <n v="0.8498"/>
    <n v="9.0299999999999991E-2"/>
    <n v="6119"/>
    <n v="9.1470342023439372E-2"/>
    <s v="High CTR"/>
    <s v="High"/>
    <x v="0"/>
  </r>
  <r>
    <x v="149"/>
    <s v="f9bc4d0e-e21b-4653-bd0e-6162de2d78dc"/>
    <n v="5500"/>
    <n v="4865"/>
    <n v="981"/>
    <n v="51.26"/>
    <n v="44933"/>
    <n v="85471"/>
    <n v="6.8"/>
    <x v="2"/>
    <x v="149"/>
    <x v="149"/>
    <n v="0.51259999999999994"/>
    <n v="6.8000000000000005E-2"/>
    <n v="11346"/>
    <n v="0.13274677960945819"/>
    <s v="High CTR"/>
    <s v="High"/>
    <x v="1"/>
  </r>
  <r>
    <x v="150"/>
    <s v="ae97a620-399e-449b-9d0a-d97ea7188b2b"/>
    <n v="1422"/>
    <n v="1593"/>
    <n v="1120"/>
    <n v="22.65"/>
    <n v="98465"/>
    <n v="25834"/>
    <n v="4.97"/>
    <x v="1"/>
    <x v="150"/>
    <x v="150"/>
    <n v="0.22649999999999998"/>
    <n v="4.9699999999999994E-2"/>
    <n v="4135"/>
    <n v="0.16006038553843771"/>
    <s v="High CTR"/>
    <s v="High"/>
    <x v="1"/>
  </r>
  <r>
    <x v="151"/>
    <s v="00bedc26-0002-4a6b-b222-b3773cba5942"/>
    <n v="634"/>
    <n v="503"/>
    <n v="1869"/>
    <n v="80.69"/>
    <n v="10777"/>
    <n v="53490"/>
    <n v="8.15"/>
    <x v="2"/>
    <x v="151"/>
    <x v="151"/>
    <n v="0.80689999999999995"/>
    <n v="8.1500000000000003E-2"/>
    <n v="3006"/>
    <n v="5.6197420078519349E-2"/>
    <s v="High CTR"/>
    <s v="High"/>
    <x v="3"/>
  </r>
  <r>
    <x v="152"/>
    <s v="4d52a512-daf7-4928-9566-56d3f3d7e2cf"/>
    <n v="6588"/>
    <n v="32"/>
    <n v="954"/>
    <n v="64.66"/>
    <n v="84876"/>
    <n v="27021"/>
    <n v="0.05"/>
    <x v="0"/>
    <x v="152"/>
    <x v="152"/>
    <n v="0.64659999999999995"/>
    <n v="5.0000000000000001E-4"/>
    <n v="7574"/>
    <n v="0.28030050701306392"/>
    <s v="Low CTR"/>
    <s v="High"/>
    <x v="0"/>
  </r>
  <r>
    <x v="153"/>
    <s v="a4dbb4b2-09d4-4fe8-9669-9278b50aaa75"/>
    <n v="5923"/>
    <n v="4960"/>
    <n v="1298"/>
    <n v="76.86"/>
    <n v="13979"/>
    <n v="89079"/>
    <n v="8.94"/>
    <x v="3"/>
    <x v="153"/>
    <x v="153"/>
    <n v="0.76859999999999995"/>
    <n v="8.9399999999999993E-2"/>
    <n v="12181"/>
    <n v="0.13674378922080402"/>
    <s v="High CTR"/>
    <s v="High"/>
    <x v="1"/>
  </r>
  <r>
    <x v="154"/>
    <s v="eba59aee-5eb1-4669-96a2-85b4f53b231f"/>
    <n v="6195"/>
    <n v="1909"/>
    <n v="36"/>
    <n v="0.67"/>
    <n v="25297"/>
    <n v="88522"/>
    <n v="7.35"/>
    <x v="3"/>
    <x v="154"/>
    <x v="154"/>
    <n v="6.7000000000000002E-3"/>
    <n v="7.3499999999999996E-2"/>
    <n v="8140"/>
    <n v="9.1954542373647224E-2"/>
    <s v="High CTR"/>
    <s v="High"/>
    <x v="1"/>
  </r>
  <r>
    <x v="155"/>
    <s v="95cbf8f2-ed8f-4928-9872-5c7e07312beb"/>
    <n v="7547"/>
    <n v="3680"/>
    <n v="1691"/>
    <n v="16.760000000000002"/>
    <n v="21766"/>
    <n v="40764"/>
    <n v="4.17"/>
    <x v="3"/>
    <x v="155"/>
    <x v="155"/>
    <n v="0.16760000000000003"/>
    <n v="4.1700000000000001E-2"/>
    <n v="12918"/>
    <n v="0.31689726229025611"/>
    <s v="High CTR"/>
    <s v="High"/>
    <x v="3"/>
  </r>
  <r>
    <x v="156"/>
    <s v="5ff195da-2c11-41a5-9f69-cc1b9c6571c4"/>
    <n v="4577"/>
    <n v="573"/>
    <n v="456"/>
    <n v="52.41"/>
    <n v="70649"/>
    <n v="37902"/>
    <n v="2.16"/>
    <x v="1"/>
    <x v="156"/>
    <x v="156"/>
    <n v="0.52410000000000001"/>
    <n v="2.1600000000000001E-2"/>
    <n v="5606"/>
    <n v="0.14790776212337081"/>
    <s v="High CTR"/>
    <s v="High"/>
    <x v="1"/>
  </r>
  <r>
    <x v="157"/>
    <s v="12b1d826-1e73-4481-8e7a-4d8c4488c871"/>
    <n v="8571"/>
    <n v="4579"/>
    <n v="1140"/>
    <n v="86.33"/>
    <n v="68711"/>
    <n v="72580"/>
    <n v="3.66"/>
    <x v="3"/>
    <x v="157"/>
    <x v="157"/>
    <n v="0.86329999999999996"/>
    <n v="3.6600000000000001E-2"/>
    <n v="14290"/>
    <n v="0.19688619454395151"/>
    <s v="High CTR"/>
    <s v="High"/>
    <x v="0"/>
  </r>
  <r>
    <x v="158"/>
    <s v="2ea79a5a-ab2a-4b53-84fe-3b17fa1ce9af"/>
    <n v="8443"/>
    <n v="196"/>
    <n v="864"/>
    <n v="54.16"/>
    <n v="26404"/>
    <n v="16098"/>
    <n v="3.72"/>
    <x v="0"/>
    <x v="158"/>
    <x v="158"/>
    <n v="0.54159999999999997"/>
    <n v="3.7200000000000004E-2"/>
    <n v="9503"/>
    <n v="0.59032177910299422"/>
    <s v="High CTR"/>
    <s v="High"/>
    <x v="1"/>
  </r>
  <r>
    <x v="159"/>
    <s v="beaa7335-498d-471c-98dc-0e15a6f28554"/>
    <n v="612"/>
    <n v="4967"/>
    <n v="874"/>
    <n v="81.42"/>
    <n v="68566"/>
    <n v="30742"/>
    <n v="2.06"/>
    <x v="1"/>
    <x v="159"/>
    <x v="159"/>
    <n v="0.81420000000000003"/>
    <n v="2.06E-2"/>
    <n v="6453"/>
    <n v="0.20990826881790384"/>
    <s v="High CTR"/>
    <s v="High"/>
    <x v="1"/>
  </r>
  <r>
    <x v="160"/>
    <s v="1f34867b-1dd8-48f4-9722-da749e70bc4a"/>
    <n v="7191"/>
    <n v="4827"/>
    <n v="239"/>
    <n v="94.85"/>
    <n v="96964"/>
    <n v="74257"/>
    <n v="9.67"/>
    <x v="1"/>
    <x v="160"/>
    <x v="160"/>
    <n v="0.9484999999999999"/>
    <n v="9.6699999999999994E-2"/>
    <n v="12257"/>
    <n v="0.1650618796881102"/>
    <s v="High CTR"/>
    <s v="High"/>
    <x v="1"/>
  </r>
  <r>
    <x v="161"/>
    <s v="cabc8e6f-7118-4cb2-af02-98cd8c0df904"/>
    <n v="7000"/>
    <n v="4493"/>
    <n v="192"/>
    <n v="98.7"/>
    <n v="47582"/>
    <n v="33601"/>
    <n v="0.4"/>
    <x v="1"/>
    <x v="161"/>
    <x v="161"/>
    <n v="0.98699999999999999"/>
    <n v="4.0000000000000001E-3"/>
    <n v="11685"/>
    <n v="0.34775750721704712"/>
    <s v="High CTR"/>
    <s v="High"/>
    <x v="0"/>
  </r>
  <r>
    <x v="162"/>
    <s v="69ad7079-20a1-4e65-8b68-5ea4b1439226"/>
    <n v="7394"/>
    <n v="1836"/>
    <n v="1134"/>
    <n v="61.02"/>
    <n v="62919"/>
    <n v="29064"/>
    <n v="0.05"/>
    <x v="2"/>
    <x v="162"/>
    <x v="162"/>
    <n v="0.61020000000000008"/>
    <n v="5.0000000000000001E-4"/>
    <n v="10364"/>
    <n v="0.3565923479218277"/>
    <s v="Low CTR"/>
    <s v="High"/>
    <x v="1"/>
  </r>
  <r>
    <x v="163"/>
    <s v="5928383b-aec5-4525-8756-9cbb8169b06a"/>
    <n v="9841"/>
    <n v="130"/>
    <n v="803"/>
    <n v="10.16"/>
    <n v="30975"/>
    <n v="78434"/>
    <n v="5.69"/>
    <x v="2"/>
    <x v="163"/>
    <x v="163"/>
    <n v="0.1016"/>
    <n v="5.6900000000000006E-2"/>
    <n v="10774"/>
    <n v="0.13736389830940662"/>
    <s v="High CTR"/>
    <s v="High"/>
    <x v="3"/>
  </r>
  <r>
    <x v="164"/>
    <s v="9d6731c8-58c8-45ea-bc1f-73a5acee1f0a"/>
    <n v="9332"/>
    <n v="3173"/>
    <n v="122"/>
    <n v="31.54"/>
    <n v="55446"/>
    <n v="10893"/>
    <n v="5.97"/>
    <x v="1"/>
    <x v="164"/>
    <x v="164"/>
    <n v="0.31540000000000001"/>
    <n v="5.9699999999999996E-2"/>
    <n v="12627"/>
    <n v="1"/>
    <s v="High CTR"/>
    <s v="High"/>
    <x v="1"/>
  </r>
  <r>
    <x v="165"/>
    <s v="49e1a078-fad0-4a93-971a-7bd299d52045"/>
    <n v="745"/>
    <n v="1700"/>
    <n v="919"/>
    <n v="25.06"/>
    <n v="89097"/>
    <n v="15452"/>
    <n v="4.8600000000000003"/>
    <x v="2"/>
    <x v="165"/>
    <x v="165"/>
    <n v="0.25059999999999999"/>
    <n v="4.8600000000000004E-2"/>
    <n v="3364"/>
    <n v="0.21770644576753817"/>
    <s v="High CTR"/>
    <s v="High"/>
    <x v="1"/>
  </r>
  <r>
    <x v="166"/>
    <s v="4fe27e77-bcee-4aa3-a623-558c0a053013"/>
    <n v="3218"/>
    <n v="1001"/>
    <n v="546"/>
    <n v="29.49"/>
    <n v="60348"/>
    <n v="64522"/>
    <n v="6.95"/>
    <x v="2"/>
    <x v="166"/>
    <x v="166"/>
    <n v="0.2949"/>
    <n v="6.9500000000000006E-2"/>
    <n v="4765"/>
    <n v="7.3850779579058307E-2"/>
    <s v="High CTR"/>
    <s v="High"/>
    <x v="1"/>
  </r>
  <r>
    <x v="167"/>
    <s v="3e9c9490-cda9-486c-bf15-71e865002846"/>
    <n v="9376"/>
    <n v="2546"/>
    <n v="417"/>
    <n v="30.33"/>
    <n v="85435"/>
    <n v="56712"/>
    <n v="7.62"/>
    <x v="1"/>
    <x v="167"/>
    <x v="167"/>
    <n v="0.30329999999999996"/>
    <n v="7.6200000000000004E-2"/>
    <n v="12339"/>
    <n v="0.21757300042319086"/>
    <s v="High CTR"/>
    <s v="High"/>
    <x v="0"/>
  </r>
  <r>
    <x v="168"/>
    <s v="b232641a-837a-4d1e-be0f-1bf72096606e"/>
    <n v="4752"/>
    <n v="2588"/>
    <n v="1584"/>
    <n v="13.58"/>
    <n v="91677"/>
    <n v="58168"/>
    <n v="2.4"/>
    <x v="1"/>
    <x v="168"/>
    <x v="168"/>
    <n v="0.1358"/>
    <n v="2.4E-2"/>
    <n v="8924"/>
    <n v="0.15341768670059139"/>
    <s v="High CTR"/>
    <s v="High"/>
    <x v="2"/>
  </r>
  <r>
    <x v="169"/>
    <s v="440aa1e8-27d7-41bd-ab23-dfd8ee9cc13e"/>
    <n v="2881"/>
    <n v="3430"/>
    <n v="429"/>
    <n v="18"/>
    <n v="60679"/>
    <n v="70654"/>
    <n v="6.5"/>
    <x v="3"/>
    <x v="169"/>
    <x v="169"/>
    <n v="0.18"/>
    <n v="6.5000000000000002E-2"/>
    <n v="6740"/>
    <n v="9.5394457497098531E-2"/>
    <s v="High CTR"/>
    <s v="High"/>
    <x v="2"/>
  </r>
  <r>
    <x v="170"/>
    <s v="f8c0c71a-dfdd-4102-8111-d7c240042c7f"/>
    <n v="7851"/>
    <n v="2377"/>
    <n v="1742"/>
    <n v="83"/>
    <n v="72066"/>
    <n v="34480"/>
    <n v="6.75"/>
    <x v="3"/>
    <x v="170"/>
    <x v="170"/>
    <n v="0.83"/>
    <n v="6.7500000000000004E-2"/>
    <n v="11970"/>
    <n v="0.34715777262180975"/>
    <s v="High CTR"/>
    <s v="High"/>
    <x v="1"/>
  </r>
  <r>
    <x v="171"/>
    <s v="993cb69b-f9cd-4b9f-add4-6e1bf9b00bb6"/>
    <n v="127"/>
    <n v="2056"/>
    <n v="1540"/>
    <n v="45.22"/>
    <n v="51551"/>
    <n v="40653"/>
    <n v="8.19"/>
    <x v="0"/>
    <x v="171"/>
    <x v="171"/>
    <n v="0.45219999999999999"/>
    <n v="8.1900000000000001E-2"/>
    <n v="3723"/>
    <n v="9.1579957198730716E-2"/>
    <s v="High CTR"/>
    <s v="High"/>
    <x v="1"/>
  </r>
  <r>
    <x v="172"/>
    <s v="b04bf153-f879-4ee6-a616-c37f7192d173"/>
    <n v="7625"/>
    <n v="1336"/>
    <n v="1410"/>
    <n v="66.59"/>
    <n v="84665"/>
    <n v="80457"/>
    <n v="0.85"/>
    <x v="3"/>
    <x v="172"/>
    <x v="172"/>
    <n v="0.66590000000000005"/>
    <n v="8.5000000000000006E-3"/>
    <n v="10371"/>
    <n v="0.12890115216823894"/>
    <s v="High CTR"/>
    <s v="High"/>
    <x v="1"/>
  </r>
  <r>
    <x v="173"/>
    <s v="040c811a-4d73-4c53-a426-a4578e16b732"/>
    <n v="6541"/>
    <n v="3338"/>
    <n v="549"/>
    <n v="38.049999999999997"/>
    <n v="42313"/>
    <n v="26310"/>
    <n v="1.1100000000000001"/>
    <x v="2"/>
    <x v="173"/>
    <x v="173"/>
    <n v="0.38049999999999995"/>
    <n v="1.11E-2"/>
    <n v="10428"/>
    <n v="0.39635119726339796"/>
    <s v="High CTR"/>
    <s v="High"/>
    <x v="3"/>
  </r>
  <r>
    <x v="174"/>
    <s v="5c97768b-1dbb-40e5-9bb1-011f5808d4d2"/>
    <n v="2336"/>
    <n v="224"/>
    <n v="1661"/>
    <n v="63.44"/>
    <n v="8517"/>
    <n v="58007"/>
    <n v="0.97"/>
    <x v="0"/>
    <x v="174"/>
    <x v="174"/>
    <n v="0.63439999999999996"/>
    <n v="9.7000000000000003E-3"/>
    <n v="4221"/>
    <n v="7.2767079835192303E-2"/>
    <s v="High CTR"/>
    <s v="High"/>
    <x v="2"/>
  </r>
  <r>
    <x v="175"/>
    <s v="6a64efe5-6620-424a-a4e6-ca057142850e"/>
    <n v="4875"/>
    <n v="2561"/>
    <n v="36"/>
    <n v="59.63"/>
    <n v="12377"/>
    <n v="46833"/>
    <n v="7.59"/>
    <x v="1"/>
    <x v="175"/>
    <x v="175"/>
    <n v="0.59630000000000005"/>
    <n v="7.5899999999999995E-2"/>
    <n v="7472"/>
    <n v="0.1595456195417761"/>
    <s v="High CTR"/>
    <s v="High"/>
    <x v="0"/>
  </r>
  <r>
    <x v="176"/>
    <s v="74b2d8ec-84c9-40a1-a99b-0764b4744d81"/>
    <n v="7025"/>
    <n v="4029"/>
    <n v="1261"/>
    <n v="81.96"/>
    <n v="40466"/>
    <n v="65975"/>
    <n v="0.98"/>
    <x v="1"/>
    <x v="176"/>
    <x v="176"/>
    <n v="0.81959999999999988"/>
    <n v="9.7999999999999997E-3"/>
    <n v="12315"/>
    <n v="0.18666161424782116"/>
    <s v="High CTR"/>
    <s v="High"/>
    <x v="0"/>
  </r>
  <r>
    <x v="177"/>
    <s v="faeb7942-563b-4ec5-84bd-62e7bb7abba6"/>
    <n v="9834"/>
    <n v="1527"/>
    <n v="1717"/>
    <n v="57.93"/>
    <n v="88237"/>
    <n v="43111"/>
    <n v="6.46"/>
    <x v="3"/>
    <x v="177"/>
    <x v="177"/>
    <n v="0.57930000000000004"/>
    <n v="6.4600000000000005E-2"/>
    <n v="13078"/>
    <n v="0.30335645194961841"/>
    <s v="High CTR"/>
    <s v="High"/>
    <x v="1"/>
  </r>
  <r>
    <x v="178"/>
    <s v="41c12e5d-85d3-464d-95e2-a101cb29653c"/>
    <n v="2275"/>
    <n v="4517"/>
    <n v="107"/>
    <n v="19.850000000000001"/>
    <n v="88270"/>
    <n v="50618"/>
    <n v="4.18"/>
    <x v="2"/>
    <x v="178"/>
    <x v="178"/>
    <n v="0.19850000000000001"/>
    <n v="4.1799999999999997E-2"/>
    <n v="6899"/>
    <n v="0.13629538899205815"/>
    <s v="High CTR"/>
    <s v="High"/>
    <x v="0"/>
  </r>
  <r>
    <x v="179"/>
    <s v="4ec0d981-99c2-4a35-b241-65f51ac2fe87"/>
    <n v="3578"/>
    <n v="4611"/>
    <n v="211"/>
    <n v="57.66"/>
    <n v="93513"/>
    <n v="48975"/>
    <n v="9.85"/>
    <x v="0"/>
    <x v="179"/>
    <x v="179"/>
    <n v="0.5766"/>
    <n v="9.849999999999999E-2"/>
    <n v="8400"/>
    <n v="0.17151607963246554"/>
    <s v="High CTR"/>
    <s v="High"/>
    <x v="3"/>
  </r>
  <r>
    <x v="180"/>
    <s v="d3f0bda0-42fa-4f37-a1bb-d41fd10c99a8"/>
    <n v="1764"/>
    <n v="3006"/>
    <n v="394"/>
    <n v="5"/>
    <n v="14284"/>
    <n v="8486"/>
    <n v="1.36"/>
    <x v="2"/>
    <x v="180"/>
    <x v="180"/>
    <n v="0.05"/>
    <n v="1.3600000000000001E-2"/>
    <n v="5164"/>
    <n v="0.60853169926938488"/>
    <s v="High CTR"/>
    <s v="High"/>
    <x v="3"/>
  </r>
  <r>
    <x v="181"/>
    <s v="8af8b852-1f67-49e0-bb8c-ad09ed7702fa"/>
    <n v="5736"/>
    <n v="2923"/>
    <n v="1070"/>
    <n v="55.76"/>
    <n v="13046"/>
    <n v="90568"/>
    <n v="3.83"/>
    <x v="3"/>
    <x v="181"/>
    <x v="181"/>
    <n v="0.55759999999999998"/>
    <n v="3.8300000000000001E-2"/>
    <n v="9729"/>
    <n v="0.10742204752230368"/>
    <s v="High CTR"/>
    <s v="High"/>
    <x v="2"/>
  </r>
  <r>
    <x v="182"/>
    <s v="f40ffab2-f246-4a01-82a3-417819d9bb6a"/>
    <n v="2304"/>
    <n v="3713"/>
    <n v="163"/>
    <n v="42.59"/>
    <n v="50748"/>
    <n v="82364"/>
    <n v="6.9"/>
    <x v="0"/>
    <x v="182"/>
    <x v="182"/>
    <n v="0.42590000000000006"/>
    <n v="6.9000000000000006E-2"/>
    <n v="6180"/>
    <n v="7.5032781312223781E-2"/>
    <s v="High CTR"/>
    <s v="High"/>
    <x v="1"/>
  </r>
  <r>
    <x v="183"/>
    <s v="391187dc-5bb0-416f-8bdb-72bd27d46cef"/>
    <n v="3072"/>
    <n v="4222"/>
    <n v="567"/>
    <n v="94.69"/>
    <n v="46015"/>
    <n v="54031"/>
    <n v="9.44"/>
    <x v="1"/>
    <x v="183"/>
    <x v="183"/>
    <n v="0.94689999999999996"/>
    <n v="9.4399999999999998E-2"/>
    <n v="7861"/>
    <n v="0.14549055172030873"/>
    <s v="High CTR"/>
    <s v="High"/>
    <x v="3"/>
  </r>
  <r>
    <x v="184"/>
    <s v="7967fa98-6089-4718-9b9b-7c5621eb3805"/>
    <n v="8757"/>
    <n v="2390"/>
    <n v="462"/>
    <n v="68.16"/>
    <n v="93200"/>
    <n v="42937"/>
    <n v="2.0299999999999998"/>
    <x v="0"/>
    <x v="184"/>
    <x v="184"/>
    <n v="0.68159999999999998"/>
    <n v="2.0299999999999999E-2"/>
    <n v="11609"/>
    <n v="0.27037287188205977"/>
    <s v="High CTR"/>
    <s v="High"/>
    <x v="1"/>
  </r>
  <r>
    <x v="185"/>
    <s v="c04388db-1dfd-456e-91dd-e7d33c91254c"/>
    <n v="2030"/>
    <n v="4810"/>
    <n v="1993"/>
    <n v="80.89"/>
    <n v="16456"/>
    <n v="98888"/>
    <n v="2.0299999999999998"/>
    <x v="0"/>
    <x v="185"/>
    <x v="185"/>
    <n v="0.80889999999999995"/>
    <n v="2.0299999999999999E-2"/>
    <n v="8833"/>
    <n v="8.9323274815953396E-2"/>
    <s v="High CTR"/>
    <s v="High"/>
    <x v="3"/>
  </r>
  <r>
    <x v="186"/>
    <s v="19e6fb6d-1fc6-4e72-b671-c8953284a54e"/>
    <n v="1052"/>
    <n v="3208"/>
    <n v="664"/>
    <n v="5.36"/>
    <n v="53452"/>
    <n v="78338"/>
    <n v="2.38"/>
    <x v="1"/>
    <x v="186"/>
    <x v="186"/>
    <n v="5.3600000000000002E-2"/>
    <n v="2.3799999999999998E-2"/>
    <n v="4924"/>
    <n v="6.2855829865454821E-2"/>
    <s v="High CTR"/>
    <s v="High"/>
    <x v="0"/>
  </r>
  <r>
    <x v="187"/>
    <s v="463cdea4-944c-4c00-bca0-c739c7a35c2f"/>
    <n v="2032"/>
    <n v="130"/>
    <n v="417"/>
    <n v="31.22"/>
    <n v="9246"/>
    <n v="86186"/>
    <n v="1.94"/>
    <x v="1"/>
    <x v="187"/>
    <x v="187"/>
    <n v="0.31219999999999998"/>
    <n v="1.9400000000000001E-2"/>
    <n v="2579"/>
    <n v="2.9923653493606851E-2"/>
    <s v="High CTR"/>
    <s v="High"/>
    <x v="1"/>
  </r>
  <r>
    <x v="188"/>
    <s v="24e1d7e9-5fcd-4bdf-bb41-c1f033609a22"/>
    <n v="9473"/>
    <n v="3773"/>
    <n v="1661"/>
    <n v="84.09"/>
    <n v="40671"/>
    <n v="59320"/>
    <n v="4.8899999999999997"/>
    <x v="2"/>
    <x v="188"/>
    <x v="188"/>
    <n v="0.84089999999999998"/>
    <n v="4.8899999999999999E-2"/>
    <n v="14907"/>
    <n v="0.25129804450438303"/>
    <s v="High CTR"/>
    <s v="High"/>
    <x v="3"/>
  </r>
  <r>
    <x v="189"/>
    <s v="4b00fa0d-1cdf-4b7c-89f9-95c47d6109d1"/>
    <n v="3893"/>
    <n v="3518"/>
    <n v="1"/>
    <n v="4.12"/>
    <n v="85312"/>
    <n v="73585"/>
    <n v="3.89"/>
    <x v="1"/>
    <x v="189"/>
    <x v="189"/>
    <n v="4.1200000000000001E-2"/>
    <n v="3.8900000000000004E-2"/>
    <n v="7412"/>
    <n v="0.10072705034993545"/>
    <s v="High CTR"/>
    <s v="High"/>
    <x v="1"/>
  </r>
  <r>
    <x v="190"/>
    <s v="cef129ba-a543-40de-bc8f-f09a87f57a6c"/>
    <n v="564"/>
    <n v="4509"/>
    <n v="1951"/>
    <n v="95.5"/>
    <n v="57302"/>
    <n v="18254"/>
    <n v="2.75"/>
    <x v="2"/>
    <x v="190"/>
    <x v="190"/>
    <n v="0.95499999999999996"/>
    <n v="2.75E-2"/>
    <n v="7024"/>
    <n v="0.38479237427413171"/>
    <s v="High CTR"/>
    <s v="High"/>
    <x v="0"/>
  </r>
  <r>
    <x v="191"/>
    <s v="fa894b7f-25a7-4088-93b1-795202bc80f1"/>
    <n v="4774"/>
    <n v="3385"/>
    <n v="1098"/>
    <n v="69.95"/>
    <n v="1423"/>
    <n v="25319"/>
    <n v="9.3699999999999992"/>
    <x v="2"/>
    <x v="191"/>
    <x v="191"/>
    <n v="0.69950000000000001"/>
    <n v="9.3699999999999992E-2"/>
    <n v="9257"/>
    <n v="0.36561475571705043"/>
    <s v="High CTR"/>
    <s v="High"/>
    <x v="1"/>
  </r>
  <r>
    <x v="192"/>
    <s v="5b4a00a9-7f82-4dc7-ae20-d3acea582621"/>
    <n v="8672"/>
    <n v="3017"/>
    <n v="1610"/>
    <n v="66.39"/>
    <n v="5941"/>
    <n v="36338"/>
    <n v="8.68"/>
    <x v="1"/>
    <x v="192"/>
    <x v="192"/>
    <n v="0.66390000000000005"/>
    <n v="8.6800000000000002E-2"/>
    <n v="13299"/>
    <n v="0.3659805162639661"/>
    <s v="High CTR"/>
    <s v="High"/>
    <x v="1"/>
  </r>
  <r>
    <x v="193"/>
    <s v="11009b26-e4d6-4698-88fa-6ba37ea5f979"/>
    <n v="7930"/>
    <n v="4932"/>
    <n v="174"/>
    <n v="78.38"/>
    <n v="81977"/>
    <n v="3291"/>
    <n v="8.58"/>
    <x v="3"/>
    <x v="193"/>
    <x v="193"/>
    <n v="0.78379999999999994"/>
    <n v="8.5800000000000001E-2"/>
    <n v="13036"/>
    <n v="1"/>
    <s v="High CTR"/>
    <s v="High"/>
    <x v="2"/>
  </r>
  <r>
    <x v="194"/>
    <s v="04ad77f5-c695-451e-a3cd-d56cf2ce11e8"/>
    <n v="3629"/>
    <n v="4692"/>
    <n v="734"/>
    <n v="70.05"/>
    <n v="89983"/>
    <n v="92459"/>
    <n v="3.69"/>
    <x v="3"/>
    <x v="194"/>
    <x v="194"/>
    <n v="0.70050000000000001"/>
    <n v="3.6900000000000002E-2"/>
    <n v="9055"/>
    <n v="9.7935301052358342E-2"/>
    <s v="High CTR"/>
    <s v="High"/>
    <x v="1"/>
  </r>
  <r>
    <x v="195"/>
    <s v="2c5696d1-336a-4e34-b993-e59e64ebdfc4"/>
    <n v="6644"/>
    <n v="4828"/>
    <n v="1768"/>
    <n v="15.22"/>
    <n v="8890"/>
    <n v="80700"/>
    <n v="1.8"/>
    <x v="0"/>
    <x v="195"/>
    <x v="195"/>
    <n v="0.1522"/>
    <n v="1.8000000000000002E-2"/>
    <n v="13240"/>
    <n v="0.16406443618339528"/>
    <s v="High CTR"/>
    <s v="High"/>
    <x v="1"/>
  </r>
  <r>
    <x v="196"/>
    <s v="39f30101-50f9-4d53-b8e5-f1d6c686bbfb"/>
    <n v="1858"/>
    <n v="3363"/>
    <n v="1434"/>
    <n v="39.76"/>
    <n v="75525"/>
    <n v="90888"/>
    <n v="6.3"/>
    <x v="0"/>
    <x v="196"/>
    <x v="196"/>
    <n v="0.39759999999999995"/>
    <n v="6.3E-2"/>
    <n v="6655"/>
    <n v="7.3221987501100261E-2"/>
    <s v="High CTR"/>
    <s v="High"/>
    <x v="1"/>
  </r>
  <r>
    <x v="197"/>
    <s v="27d2730a-9c21-4376-b213-c78a318da21f"/>
    <n v="6883"/>
    <n v="542"/>
    <n v="1367"/>
    <n v="49.11"/>
    <n v="43950"/>
    <n v="19063"/>
    <n v="7.43"/>
    <x v="0"/>
    <x v="197"/>
    <x v="197"/>
    <n v="0.49109999999999998"/>
    <n v="7.4299999999999991E-2"/>
    <n v="8792"/>
    <n v="0.46120757488328173"/>
    <s v="High CTR"/>
    <s v="High"/>
    <x v="0"/>
  </r>
  <r>
    <x v="198"/>
    <s v="681951c5-7575-4304-94b4-45f7a3c49bb3"/>
    <n v="4458"/>
    <n v="2454"/>
    <n v="1686"/>
    <n v="56.33"/>
    <n v="73056"/>
    <n v="69114"/>
    <n v="8.33"/>
    <x v="0"/>
    <x v="198"/>
    <x v="198"/>
    <n v="0.56330000000000002"/>
    <n v="8.3299999999999999E-2"/>
    <n v="8598"/>
    <n v="0.12440315999652747"/>
    <s v="High CTR"/>
    <s v="High"/>
    <x v="3"/>
  </r>
  <r>
    <x v="199"/>
    <s v="22c74285-9ebd-4ccf-94d4-57ea921d6388"/>
    <n v="1755"/>
    <n v="311"/>
    <n v="101"/>
    <n v="81.819999999999993"/>
    <n v="40186"/>
    <n v="7065"/>
    <n v="6.22"/>
    <x v="2"/>
    <x v="199"/>
    <x v="199"/>
    <n v="0.81819999999999993"/>
    <n v="6.2199999999999998E-2"/>
    <n v="2167"/>
    <n v="0.30672328379334751"/>
    <s v="High CTR"/>
    <s v="High"/>
    <x v="1"/>
  </r>
  <r>
    <x v="200"/>
    <s v="56f7f8c2-c289-4247-ae23-b67153a799b2"/>
    <n v="9367"/>
    <n v="1058"/>
    <n v="751"/>
    <n v="46.21"/>
    <n v="66316"/>
    <n v="21043"/>
    <n v="8.02"/>
    <x v="2"/>
    <x v="200"/>
    <x v="200"/>
    <n v="0.46210000000000001"/>
    <n v="8.0199999999999994E-2"/>
    <n v="11176"/>
    <n v="0.53110297961317299"/>
    <s v="High CTR"/>
    <s v="High"/>
    <x v="3"/>
  </r>
  <r>
    <x v="201"/>
    <s v="8f4563d4-930d-455d-8f88-f9592895b846"/>
    <n v="6999"/>
    <n v="839"/>
    <n v="360"/>
    <n v="93.71"/>
    <n v="66621"/>
    <n v="28704"/>
    <n v="1.52"/>
    <x v="3"/>
    <x v="201"/>
    <x v="201"/>
    <n v="0.93709999999999993"/>
    <n v="1.52E-2"/>
    <n v="8198"/>
    <n v="0.28560479375696768"/>
    <s v="High CTR"/>
    <s v="High"/>
    <x v="1"/>
  </r>
  <r>
    <x v="202"/>
    <s v="fb365ff7-b4d8-495c-bec0-17de23de1d83"/>
    <n v="73"/>
    <n v="985"/>
    <n v="525"/>
    <n v="66.069999999999993"/>
    <n v="63035"/>
    <n v="97357"/>
    <n v="7.17"/>
    <x v="0"/>
    <x v="202"/>
    <x v="202"/>
    <n v="0.66069999999999995"/>
    <n v="7.17E-2"/>
    <n v="1583"/>
    <n v="1.6259745061988351E-2"/>
    <s v="High CTR"/>
    <s v="High"/>
    <x v="1"/>
  </r>
  <r>
    <x v="203"/>
    <s v="233d71e1-9461-4021-8301-6b53fcda7146"/>
    <n v="9023"/>
    <n v="2747"/>
    <n v="1904"/>
    <n v="94.35"/>
    <n v="69805"/>
    <n v="73638"/>
    <n v="5.27"/>
    <x v="2"/>
    <x v="203"/>
    <x v="203"/>
    <n v="0.94349999999999989"/>
    <n v="5.2699999999999997E-2"/>
    <n v="13674"/>
    <n v="0.18569216980363398"/>
    <s v="High CTR"/>
    <s v="High"/>
    <x v="0"/>
  </r>
  <r>
    <x v="204"/>
    <s v="bdf48053-953c-41e4-b54b-f2bbda66599d"/>
    <n v="2519"/>
    <n v="2832"/>
    <n v="1376"/>
    <n v="58.03"/>
    <n v="29646"/>
    <n v="90499"/>
    <n v="8.16"/>
    <x v="1"/>
    <x v="204"/>
    <x v="204"/>
    <n v="0.58030000000000004"/>
    <n v="8.1600000000000006E-2"/>
    <n v="6727"/>
    <n v="7.4332313064232755E-2"/>
    <s v="High CTR"/>
    <s v="High"/>
    <x v="1"/>
  </r>
  <r>
    <x v="205"/>
    <s v="2f3e77a4-670a-490b-849c-1cdc0c3e6554"/>
    <n v="3222"/>
    <n v="419"/>
    <n v="1269"/>
    <n v="64.77"/>
    <n v="81429"/>
    <n v="40489"/>
    <n v="9.85"/>
    <x v="0"/>
    <x v="205"/>
    <x v="205"/>
    <n v="0.64769999999999994"/>
    <n v="9.849999999999999E-2"/>
    <n v="4910"/>
    <n v="0.12126750475437774"/>
    <s v="High CTR"/>
    <s v="High"/>
    <x v="2"/>
  </r>
  <r>
    <x v="206"/>
    <s v="5f2f557a-db00-4c2a-8cd8-aa7a55e23853"/>
    <n v="4050"/>
    <n v="3474"/>
    <n v="882"/>
    <n v="24.03"/>
    <n v="41884"/>
    <n v="69895"/>
    <n v="0.47"/>
    <x v="1"/>
    <x v="206"/>
    <x v="206"/>
    <n v="0.24030000000000001"/>
    <n v="4.6999999999999993E-3"/>
    <n v="8406"/>
    <n v="0.12026611345589813"/>
    <s v="High CTR"/>
    <s v="High"/>
    <x v="1"/>
  </r>
  <r>
    <x v="207"/>
    <s v="b52fda4b-dc37-4353-9759-59083338503c"/>
    <n v="8522"/>
    <n v="2067"/>
    <n v="887"/>
    <n v="20.12"/>
    <n v="26249"/>
    <n v="87027"/>
    <n v="6.71"/>
    <x v="0"/>
    <x v="207"/>
    <x v="207"/>
    <n v="0.20120000000000002"/>
    <n v="6.7099999999999993E-2"/>
    <n v="11476"/>
    <n v="0.13186712169786388"/>
    <s v="High CTR"/>
    <s v="High"/>
    <x v="1"/>
  </r>
  <r>
    <x v="208"/>
    <s v="1c6114c5-6f98-4777-9685-fb562ea42e9a"/>
    <n v="2720"/>
    <n v="1398"/>
    <n v="742"/>
    <n v="18.93"/>
    <n v="97063"/>
    <n v="56096"/>
    <n v="0.61"/>
    <x v="0"/>
    <x v="208"/>
    <x v="208"/>
    <n v="0.1893"/>
    <n v="6.0999999999999995E-3"/>
    <n v="4860"/>
    <n v="8.6637193382772384E-2"/>
    <s v="High CTR"/>
    <s v="High"/>
    <x v="1"/>
  </r>
  <r>
    <x v="209"/>
    <s v="a4688fa8-7cf2-46f2-8e15-8256a9c5752e"/>
    <n v="3441"/>
    <n v="4630"/>
    <n v="1787"/>
    <n v="84.65"/>
    <n v="17448"/>
    <n v="59705"/>
    <n v="5.08"/>
    <x v="3"/>
    <x v="209"/>
    <x v="209"/>
    <n v="0.84650000000000003"/>
    <n v="5.0799999999999998E-2"/>
    <n v="9858"/>
    <n v="0.1651117996817687"/>
    <s v="High CTR"/>
    <s v="High"/>
    <x v="0"/>
  </r>
  <r>
    <x v="210"/>
    <s v="ac12d74b-30e0-4ba2-9dc4-e21e5f620c1e"/>
    <n v="3031"/>
    <n v="714"/>
    <n v="1834"/>
    <n v="42.25"/>
    <n v="79177"/>
    <n v="32000"/>
    <n v="8.68"/>
    <x v="0"/>
    <x v="210"/>
    <x v="210"/>
    <n v="0.42249999999999999"/>
    <n v="8.6800000000000002E-2"/>
    <n v="5579"/>
    <n v="0.17434374999999999"/>
    <s v="High CTR"/>
    <s v="High"/>
    <x v="3"/>
  </r>
  <r>
    <x v="211"/>
    <s v="fd9dfd20-707a-4eb0-8aa6-ef341e7b1395"/>
    <n v="713"/>
    <n v="1709"/>
    <n v="816"/>
    <n v="99.73"/>
    <n v="73765"/>
    <n v="81805"/>
    <n v="8.5399999999999991"/>
    <x v="3"/>
    <x v="211"/>
    <x v="211"/>
    <n v="0.99730000000000008"/>
    <n v="8.539999999999999E-2"/>
    <n v="3238"/>
    <n v="3.9581932644703867E-2"/>
    <s v="High CTR"/>
    <s v="High"/>
    <x v="3"/>
  </r>
  <r>
    <x v="212"/>
    <s v="416b2547-89f8-4119-8677-9b7fd976cc7d"/>
    <n v="5580"/>
    <n v="2434"/>
    <n v="1633"/>
    <n v="17.760000000000002"/>
    <n v="29601"/>
    <n v="16291"/>
    <n v="3.84"/>
    <x v="1"/>
    <x v="212"/>
    <x v="212"/>
    <n v="0.17760000000000001"/>
    <n v="3.8399999999999997E-2"/>
    <n v="9647"/>
    <n v="0.59216745442268737"/>
    <s v="High CTR"/>
    <s v="High"/>
    <x v="1"/>
  </r>
  <r>
    <x v="213"/>
    <s v="70105cd1-69fe-471e-a0ad-f7afc71d3529"/>
    <n v="4334"/>
    <n v="1014"/>
    <n v="276"/>
    <n v="86.63"/>
    <n v="70412"/>
    <n v="68601"/>
    <n v="3.38"/>
    <x v="3"/>
    <x v="213"/>
    <x v="213"/>
    <n v="0.86629999999999996"/>
    <n v="3.3799999999999997E-2"/>
    <n v="5624"/>
    <n v="8.1981312225769307E-2"/>
    <s v="High CTR"/>
    <s v="High"/>
    <x v="0"/>
  </r>
  <r>
    <x v="214"/>
    <s v="c7dd51ac-cbb7-41c1-9c15-2712f5601e20"/>
    <n v="7083"/>
    <n v="4530"/>
    <n v="313"/>
    <n v="56.79"/>
    <n v="68978"/>
    <n v="77089"/>
    <n v="7.09"/>
    <x v="3"/>
    <x v="214"/>
    <x v="214"/>
    <n v="0.56789999999999996"/>
    <n v="7.0900000000000005E-2"/>
    <n v="11926"/>
    <n v="0.15470430281881981"/>
    <s v="High CTR"/>
    <s v="High"/>
    <x v="1"/>
  </r>
  <r>
    <x v="215"/>
    <s v="ec12ab48-9c80-4057-a22b-39238b842356"/>
    <n v="3724"/>
    <n v="3964"/>
    <n v="940"/>
    <n v="94.15"/>
    <n v="53298"/>
    <n v="5335"/>
    <n v="3.23"/>
    <x v="0"/>
    <x v="215"/>
    <x v="215"/>
    <n v="0.9415"/>
    <n v="3.2300000000000002E-2"/>
    <n v="8628"/>
    <n v="1"/>
    <s v="High CTR"/>
    <s v="High"/>
    <x v="3"/>
  </r>
  <r>
    <x v="216"/>
    <s v="d80ffdb3-7967-49c0-8e32-1b645188d4c4"/>
    <n v="8882"/>
    <n v="4594"/>
    <n v="1049"/>
    <n v="79.66"/>
    <n v="21998"/>
    <n v="69725"/>
    <n v="2.0099999999999998"/>
    <x v="1"/>
    <x v="216"/>
    <x v="216"/>
    <n v="0.79659999999999997"/>
    <n v="2.0099999999999996E-2"/>
    <n v="14525"/>
    <n v="0.20831839368949445"/>
    <s v="High CTR"/>
    <s v="High"/>
    <x v="3"/>
  </r>
  <r>
    <x v="217"/>
    <s v="c52f51d1-067b-4b94-b6e9-beea97e9380c"/>
    <n v="894"/>
    <n v="963"/>
    <n v="1225"/>
    <n v="65.010000000000005"/>
    <n v="79522"/>
    <n v="13447"/>
    <n v="6.86"/>
    <x v="2"/>
    <x v="217"/>
    <x v="217"/>
    <n v="0.65010000000000001"/>
    <n v="6.8600000000000008E-2"/>
    <n v="3082"/>
    <n v="0.22919610322004907"/>
    <s v="High CTR"/>
    <s v="High"/>
    <x v="0"/>
  </r>
  <r>
    <x v="218"/>
    <s v="b42520f3-df7a-4c43-b0e9-23295eaffa2e"/>
    <n v="8894"/>
    <n v="575"/>
    <n v="1166"/>
    <n v="5.15"/>
    <n v="88909"/>
    <n v="719"/>
    <n v="7.17"/>
    <x v="1"/>
    <x v="218"/>
    <x v="218"/>
    <n v="5.1500000000000004E-2"/>
    <n v="7.17E-2"/>
    <n v="10635"/>
    <n v="1"/>
    <s v="High CTR"/>
    <s v="High"/>
    <x v="1"/>
  </r>
  <r>
    <x v="219"/>
    <s v="13e8b911-e8fe-4693-bb68-186c4de29fd8"/>
    <n v="1352"/>
    <n v="8"/>
    <n v="410"/>
    <n v="60.66"/>
    <n v="95191"/>
    <n v="78060"/>
    <n v="1.31"/>
    <x v="2"/>
    <x v="219"/>
    <x v="219"/>
    <n v="0.60659999999999992"/>
    <n v="1.3100000000000001E-2"/>
    <n v="1770"/>
    <n v="2.2674865488086088E-2"/>
    <s v="High CTR"/>
    <s v="High"/>
    <x v="1"/>
  </r>
  <r>
    <x v="220"/>
    <s v="bfda55ec-24f8-4384-94c4-805a402c8bf9"/>
    <n v="9901"/>
    <n v="1722"/>
    <n v="555"/>
    <n v="0.44"/>
    <n v="34645"/>
    <n v="89666"/>
    <n v="4.3099999999999996"/>
    <x v="3"/>
    <x v="220"/>
    <x v="220"/>
    <n v="4.4000000000000003E-3"/>
    <n v="4.3099999999999999E-2"/>
    <n v="12178"/>
    <n v="0.13581513617201615"/>
    <s v="High CTR"/>
    <s v="High"/>
    <x v="1"/>
  </r>
  <r>
    <x v="221"/>
    <s v="29d3466b-3727-46fa-825e-3ba36d9d625b"/>
    <n v="4697"/>
    <n v="3189"/>
    <n v="1140"/>
    <n v="69.930000000000007"/>
    <n v="30907"/>
    <n v="12838"/>
    <n v="0.46"/>
    <x v="1"/>
    <x v="221"/>
    <x v="221"/>
    <n v="0.69930000000000003"/>
    <n v="4.5999999999999999E-3"/>
    <n v="9026"/>
    <n v="0.70306901386508802"/>
    <s v="High CTR"/>
    <s v="High"/>
    <x v="2"/>
  </r>
  <r>
    <x v="222"/>
    <s v="50a9e322-279d-4318-a4dd-dbe247c7b44d"/>
    <n v="6673"/>
    <n v="404"/>
    <n v="514"/>
    <n v="99.01"/>
    <n v="74337"/>
    <n v="973"/>
    <n v="5.47"/>
    <x v="3"/>
    <x v="222"/>
    <x v="222"/>
    <n v="0.99010000000000009"/>
    <n v="5.4699999999999999E-2"/>
    <n v="7591"/>
    <n v="1"/>
    <s v="High CTR"/>
    <s v="High"/>
    <x v="3"/>
  </r>
  <r>
    <x v="223"/>
    <s v="74ae7313-1ab5-4c3d-8a0c-10e3e532eb33"/>
    <n v="3574"/>
    <n v="3588"/>
    <n v="715"/>
    <n v="6.28"/>
    <n v="21709"/>
    <n v="31635"/>
    <n v="9.23"/>
    <x v="2"/>
    <x v="223"/>
    <x v="223"/>
    <n v="6.2800000000000009E-2"/>
    <n v="9.2300000000000007E-2"/>
    <n v="7877"/>
    <n v="0.24899636478583848"/>
    <s v="High CTR"/>
    <s v="High"/>
    <x v="0"/>
  </r>
  <r>
    <x v="224"/>
    <s v="a4034789-9583-46af-b20b-ab62ba5768bc"/>
    <n v="9012"/>
    <n v="3592"/>
    <n v="876"/>
    <n v="20.74"/>
    <n v="46898"/>
    <n v="35538"/>
    <n v="1.1599999999999999"/>
    <x v="2"/>
    <x v="224"/>
    <x v="224"/>
    <n v="0.20739999999999997"/>
    <n v="1.1599999999999999E-2"/>
    <n v="13480"/>
    <n v="0.37931228544093648"/>
    <s v="High CTR"/>
    <s v="High"/>
    <x v="1"/>
  </r>
  <r>
    <x v="225"/>
    <s v="29a3df4c-63e8-4acc-804b-40fa4a8a4711"/>
    <n v="7048"/>
    <n v="4924"/>
    <n v="1296"/>
    <n v="13.76"/>
    <n v="34700"/>
    <n v="38502"/>
    <n v="6.98"/>
    <x v="1"/>
    <x v="225"/>
    <x v="225"/>
    <n v="0.1376"/>
    <n v="6.9800000000000001E-2"/>
    <n v="13268"/>
    <n v="0.34460547504025762"/>
    <s v="High CTR"/>
    <s v="High"/>
    <x v="3"/>
  </r>
  <r>
    <x v="226"/>
    <s v="53121224-8d66-483f-9321-f91c48c04a48"/>
    <n v="2700"/>
    <n v="1444"/>
    <n v="347"/>
    <n v="53.85"/>
    <n v="88774"/>
    <n v="59000"/>
    <n v="1.91"/>
    <x v="2"/>
    <x v="226"/>
    <x v="226"/>
    <n v="0.53849999999999998"/>
    <n v="1.9099999999999999E-2"/>
    <n v="4491"/>
    <n v="7.6118644067796615E-2"/>
    <s v="High CTR"/>
    <s v="High"/>
    <x v="1"/>
  </r>
  <r>
    <x v="227"/>
    <s v="8a109bb5-6ce3-4824-a8e4-692cbed9be2d"/>
    <n v="6749"/>
    <n v="1429"/>
    <n v="1093"/>
    <n v="25.82"/>
    <n v="66350"/>
    <n v="2271"/>
    <n v="9.67"/>
    <x v="0"/>
    <x v="227"/>
    <x v="227"/>
    <n v="0.25819999999999999"/>
    <n v="9.6699999999999994E-2"/>
    <n v="9271"/>
    <n v="1"/>
    <s v="High CTR"/>
    <s v="High"/>
    <x v="1"/>
  </r>
  <r>
    <x v="228"/>
    <s v="dd9160cb-c50a-4afa-8316-25a82f879342"/>
    <n v="7232"/>
    <n v="1691"/>
    <n v="1876"/>
    <n v="88.67"/>
    <n v="81572"/>
    <n v="81800"/>
    <n v="6.04"/>
    <x v="2"/>
    <x v="228"/>
    <x v="228"/>
    <n v="0.88670000000000004"/>
    <n v="6.0400000000000002E-2"/>
    <n v="10799"/>
    <n v="0.13201711491442542"/>
    <s v="High CTR"/>
    <s v="High"/>
    <x v="3"/>
  </r>
  <r>
    <x v="229"/>
    <s v="61b9b507-ac13-4b5e-a192-4dabbf3309a3"/>
    <n v="2860"/>
    <n v="700"/>
    <n v="1114"/>
    <n v="1.1499999999999999"/>
    <n v="31226"/>
    <n v="26227"/>
    <n v="2.5299999999999998"/>
    <x v="2"/>
    <x v="229"/>
    <x v="229"/>
    <n v="1.15E-2"/>
    <n v="2.53E-2"/>
    <n v="4674"/>
    <n v="0.17821329164601366"/>
    <s v="High CTR"/>
    <s v="High"/>
    <x v="0"/>
  </r>
  <r>
    <x v="230"/>
    <s v="933bfc79-a663-43d5-ab37-1d708560627a"/>
    <n v="5003"/>
    <n v="4755"/>
    <n v="446"/>
    <n v="3.17"/>
    <n v="36833"/>
    <n v="32161"/>
    <n v="5.51"/>
    <x v="0"/>
    <x v="230"/>
    <x v="230"/>
    <n v="3.1699999999999999E-2"/>
    <n v="5.5099999999999996E-2"/>
    <n v="10204"/>
    <n v="0.31727869158297317"/>
    <s v="High CTR"/>
    <s v="High"/>
    <x v="1"/>
  </r>
  <r>
    <x v="231"/>
    <s v="2acbd990-6161-489d-aed5-ff325ad21ba4"/>
    <n v="3009"/>
    <n v="3101"/>
    <n v="1638"/>
    <n v="18.920000000000002"/>
    <n v="33748"/>
    <n v="1091"/>
    <n v="3.57"/>
    <x v="0"/>
    <x v="231"/>
    <x v="231"/>
    <n v="0.18920000000000001"/>
    <n v="3.5699999999999996E-2"/>
    <n v="7748"/>
    <n v="1"/>
    <s v="High CTR"/>
    <s v="High"/>
    <x v="0"/>
  </r>
  <r>
    <x v="232"/>
    <s v="7a5e37c8-87d7-4c1b-bb16-0866096616cd"/>
    <n v="9440"/>
    <n v="4079"/>
    <n v="1682"/>
    <n v="30.89"/>
    <n v="96131"/>
    <n v="51206"/>
    <n v="1.01"/>
    <x v="3"/>
    <x v="232"/>
    <x v="232"/>
    <n v="0.30890000000000001"/>
    <n v="1.01E-2"/>
    <n v="15201"/>
    <n v="0.2968597429988673"/>
    <s v="High CTR"/>
    <s v="High"/>
    <x v="0"/>
  </r>
  <r>
    <x v="233"/>
    <s v="3563f4c8-ac61-4902-bbaf-62c3f1b088e3"/>
    <n v="5297"/>
    <n v="3089"/>
    <n v="1148"/>
    <n v="6.2"/>
    <n v="88112"/>
    <n v="86304"/>
    <n v="7.25"/>
    <x v="0"/>
    <x v="233"/>
    <x v="233"/>
    <n v="6.2E-2"/>
    <n v="7.2499999999999995E-2"/>
    <n v="9534"/>
    <n v="0.11046996662958843"/>
    <s v="High CTR"/>
    <s v="High"/>
    <x v="1"/>
  </r>
  <r>
    <x v="234"/>
    <s v="32d77682-5ad9-4b02-8aaf-1d4e9f4641d5"/>
    <n v="9556"/>
    <n v="372"/>
    <n v="1439"/>
    <n v="34.5"/>
    <n v="3854"/>
    <n v="11293"/>
    <n v="3.55"/>
    <x v="0"/>
    <x v="234"/>
    <x v="234"/>
    <n v="0.34499999999999997"/>
    <n v="3.5499999999999997E-2"/>
    <n v="11367"/>
    <n v="1"/>
    <s v="High CTR"/>
    <s v="High"/>
    <x v="3"/>
  </r>
  <r>
    <x v="235"/>
    <s v="c07ebcd1-ad1f-4d69-bba9-60c41314ce8a"/>
    <n v="4327"/>
    <n v="3972"/>
    <n v="1901"/>
    <n v="61.3"/>
    <n v="92646"/>
    <n v="56699"/>
    <n v="0.02"/>
    <x v="1"/>
    <x v="235"/>
    <x v="235"/>
    <n v="0.61299999999999999"/>
    <n v="2.0000000000000001E-4"/>
    <n v="10200"/>
    <n v="0.17989735268699625"/>
    <s v="Low CTR"/>
    <s v="High"/>
    <x v="1"/>
  </r>
  <r>
    <x v="236"/>
    <s v="7562a98f-a9fd-44fc-9323-0cbcd927b3a2"/>
    <n v="6045"/>
    <n v="1838"/>
    <n v="584"/>
    <n v="91.93"/>
    <n v="15802"/>
    <n v="15821"/>
    <n v="0.19"/>
    <x v="1"/>
    <x v="236"/>
    <x v="236"/>
    <n v="0.91930000000000012"/>
    <n v="1.9E-3"/>
    <n v="8467"/>
    <n v="0.53517476771379813"/>
    <s v="High CTR"/>
    <s v="High"/>
    <x v="1"/>
  </r>
  <r>
    <x v="237"/>
    <s v="ed8df587-ed2b-4d2c-a7ec-a7c6fd4521c6"/>
    <n v="4512"/>
    <n v="2340"/>
    <n v="177"/>
    <n v="67.08"/>
    <n v="47521"/>
    <n v="63084"/>
    <n v="7.53"/>
    <x v="2"/>
    <x v="237"/>
    <x v="237"/>
    <n v="0.67079999999999995"/>
    <n v="7.5300000000000006E-2"/>
    <n v="7029"/>
    <n v="0.11142286475175955"/>
    <s v="High CTR"/>
    <s v="High"/>
    <x v="0"/>
  </r>
  <r>
    <x v="238"/>
    <s v="23ed5a4b-6f57-4e3a-9204-bfd1fda53f76"/>
    <n v="9844"/>
    <n v="2274"/>
    <n v="1913"/>
    <n v="78.37"/>
    <n v="96316"/>
    <n v="73320"/>
    <n v="4.6500000000000004"/>
    <x v="3"/>
    <x v="238"/>
    <x v="238"/>
    <n v="0.78370000000000006"/>
    <n v="4.6500000000000007E-2"/>
    <n v="14031"/>
    <n v="0.19136661211129297"/>
    <s v="High CTR"/>
    <s v="High"/>
    <x v="1"/>
  </r>
  <r>
    <x v="239"/>
    <s v="194a7f12-1e89-4d38-a93e-f96160f8df28"/>
    <n v="1795"/>
    <n v="1931"/>
    <n v="505"/>
    <n v="63.94"/>
    <n v="58257"/>
    <n v="20132"/>
    <n v="8.52"/>
    <x v="0"/>
    <x v="239"/>
    <x v="239"/>
    <n v="0.63939999999999997"/>
    <n v="8.5199999999999998E-2"/>
    <n v="4231"/>
    <n v="0.21016292469699979"/>
    <s v="High CTR"/>
    <s v="High"/>
    <x v="1"/>
  </r>
  <r>
    <x v="240"/>
    <s v="38c5ebe9-8f53-44dd-9bb6-1a5a28f667dc"/>
    <n v="5001"/>
    <n v="164"/>
    <n v="1015"/>
    <n v="69.39"/>
    <n v="72358"/>
    <n v="15647"/>
    <n v="1.31"/>
    <x v="1"/>
    <x v="240"/>
    <x v="240"/>
    <n v="0.69389999999999996"/>
    <n v="1.3100000000000001E-2"/>
    <n v="6180"/>
    <n v="0.39496389084169492"/>
    <s v="High CTR"/>
    <s v="High"/>
    <x v="1"/>
  </r>
  <r>
    <x v="241"/>
    <s v="73f8b9f1-6c07-4cf0-9fc5-aa53a8a1a22d"/>
    <n v="6149"/>
    <n v="2017"/>
    <n v="1625"/>
    <n v="67.510000000000005"/>
    <n v="76262"/>
    <n v="70539"/>
    <n v="9.17"/>
    <x v="0"/>
    <x v="241"/>
    <x v="241"/>
    <n v="0.67510000000000003"/>
    <n v="9.1700000000000004E-2"/>
    <n v="9791"/>
    <n v="0.13880264818043919"/>
    <s v="High CTR"/>
    <s v="High"/>
    <x v="3"/>
  </r>
  <r>
    <x v="242"/>
    <s v="b594624c-458a-4e87-b27d-227b6161c0c7"/>
    <n v="2805"/>
    <n v="100"/>
    <n v="623"/>
    <n v="88.44"/>
    <n v="39463"/>
    <n v="85889"/>
    <n v="3.12"/>
    <x v="1"/>
    <x v="242"/>
    <x v="242"/>
    <n v="0.88439999999999996"/>
    <n v="3.1200000000000002E-2"/>
    <n v="3528"/>
    <n v="4.1076272863812595E-2"/>
    <s v="High CTR"/>
    <s v="High"/>
    <x v="1"/>
  </r>
  <r>
    <x v="243"/>
    <s v="23f80f63-3af6-494e-ba7c-92d8409dec2d"/>
    <n v="4016"/>
    <n v="2730"/>
    <n v="1301"/>
    <n v="57.56"/>
    <n v="22146"/>
    <n v="20631"/>
    <n v="4.71"/>
    <x v="2"/>
    <x v="243"/>
    <x v="243"/>
    <n v="0.5756"/>
    <n v="4.7100000000000003E-2"/>
    <n v="8047"/>
    <n v="0.39004410838059234"/>
    <s v="High CTR"/>
    <s v="High"/>
    <x v="1"/>
  </r>
  <r>
    <x v="244"/>
    <s v="a8f55188-c9aa-4f69-b086-8e05af92ffd6"/>
    <n v="6670"/>
    <n v="2685"/>
    <n v="461"/>
    <n v="21.41"/>
    <n v="60376"/>
    <n v="50728"/>
    <n v="7.22"/>
    <x v="3"/>
    <x v="244"/>
    <x v="244"/>
    <n v="0.21410000000000001"/>
    <n v="7.22E-2"/>
    <n v="9816"/>
    <n v="0.19350260211323136"/>
    <s v="High CTR"/>
    <s v="High"/>
    <x v="1"/>
  </r>
  <r>
    <x v="245"/>
    <s v="e5596b23-f01f-46a9-b004-0b6d9d325023"/>
    <n v="9112"/>
    <n v="2000"/>
    <n v="1282"/>
    <n v="97.73"/>
    <n v="87694"/>
    <n v="71893"/>
    <n v="3.51"/>
    <x v="1"/>
    <x v="245"/>
    <x v="245"/>
    <n v="0.97730000000000006"/>
    <n v="3.5099999999999999E-2"/>
    <n v="12394"/>
    <n v="0.17239508714339366"/>
    <s v="High CTR"/>
    <s v="High"/>
    <x v="1"/>
  </r>
  <r>
    <x v="246"/>
    <s v="923ba8e3-db8a-45c0-97be-5dbff67fecd0"/>
    <n v="2737"/>
    <n v="223"/>
    <n v="1038"/>
    <n v="11"/>
    <n v="10052"/>
    <n v="58900"/>
    <n v="6.62"/>
    <x v="2"/>
    <x v="246"/>
    <x v="246"/>
    <n v="0.11"/>
    <n v="6.6199999999999995E-2"/>
    <n v="3998"/>
    <n v="6.7877758913412564E-2"/>
    <s v="High CTR"/>
    <s v="High"/>
    <x v="1"/>
  </r>
  <r>
    <x v="247"/>
    <s v="1053dcdc-99fe-4253-ae4d-6b92de95c605"/>
    <n v="1871"/>
    <n v="1772"/>
    <n v="1381"/>
    <n v="56.16"/>
    <n v="81999"/>
    <n v="13471"/>
    <n v="6.05"/>
    <x v="0"/>
    <x v="247"/>
    <x v="247"/>
    <n v="0.56159999999999999"/>
    <n v="6.0499999999999998E-2"/>
    <n v="5024"/>
    <n v="0.37294929849305919"/>
    <s v="High CTR"/>
    <s v="High"/>
    <x v="0"/>
  </r>
  <r>
    <x v="248"/>
    <s v="7ed090c9-1101-4a44-b20a-4d69174d74fe"/>
    <n v="6080"/>
    <n v="4663"/>
    <n v="1226"/>
    <n v="86.12"/>
    <n v="2043"/>
    <n v="44856"/>
    <n v="7.81"/>
    <x v="0"/>
    <x v="248"/>
    <x v="248"/>
    <n v="0.86120000000000008"/>
    <n v="7.8100000000000003E-2"/>
    <n v="11969"/>
    <n v="0.26683163902265028"/>
    <s v="High CTR"/>
    <s v="High"/>
    <x v="1"/>
  </r>
  <r>
    <x v="249"/>
    <s v="a02c53f3-681e-4966-a610-030e1f462351"/>
    <n v="8161"/>
    <n v="2503"/>
    <n v="1541"/>
    <n v="8.0299999999999994"/>
    <n v="5033"/>
    <n v="60807"/>
    <n v="3.95"/>
    <x v="3"/>
    <x v="249"/>
    <x v="249"/>
    <n v="8.0299999999999996E-2"/>
    <n v="3.95E-2"/>
    <n v="12205"/>
    <n v="0.20071702271120101"/>
    <s v="High CTR"/>
    <s v="High"/>
    <x v="2"/>
  </r>
  <r>
    <x v="250"/>
    <s v="050583e2-a1ec-4e6d-a876-f9d25452a67c"/>
    <n v="4182"/>
    <n v="1994"/>
    <n v="731"/>
    <n v="31.14"/>
    <n v="90266"/>
    <n v="84254"/>
    <n v="9.02"/>
    <x v="2"/>
    <x v="250"/>
    <x v="250"/>
    <n v="0.31140000000000001"/>
    <n v="9.0200000000000002E-2"/>
    <n v="6907"/>
    <n v="8.1978303700714503E-2"/>
    <s v="High CTR"/>
    <s v="High"/>
    <x v="1"/>
  </r>
  <r>
    <x v="251"/>
    <s v="e5e03737-fa92-4888-8937-a461f23a9513"/>
    <n v="7544"/>
    <n v="1081"/>
    <n v="1513"/>
    <n v="29.49"/>
    <n v="89903"/>
    <n v="99787"/>
    <n v="2.0299999999999998"/>
    <x v="1"/>
    <x v="251"/>
    <x v="251"/>
    <n v="0.2949"/>
    <n v="2.0299999999999999E-2"/>
    <n v="10138"/>
    <n v="0.10159640033270867"/>
    <s v="High CTR"/>
    <s v="High"/>
    <x v="2"/>
  </r>
  <r>
    <x v="252"/>
    <s v="4a26be93-7b8b-4fe8-9ca6-15c440a1c9f0"/>
    <n v="9758"/>
    <n v="4028"/>
    <n v="1871"/>
    <n v="52.35"/>
    <n v="29653"/>
    <n v="8511"/>
    <n v="2.1"/>
    <x v="1"/>
    <x v="252"/>
    <x v="252"/>
    <n v="0.52349999999999997"/>
    <n v="2.1000000000000001E-2"/>
    <n v="15657"/>
    <n v="1"/>
    <s v="High CTR"/>
    <s v="High"/>
    <x v="2"/>
  </r>
  <r>
    <x v="253"/>
    <s v="83c6e8a3-cce5-47ff-b7a3-c0eff645dadb"/>
    <n v="8778"/>
    <n v="1157"/>
    <n v="1736"/>
    <n v="72.930000000000007"/>
    <n v="31627"/>
    <n v="97389"/>
    <n v="9.44"/>
    <x v="1"/>
    <x v="253"/>
    <x v="253"/>
    <n v="0.72930000000000006"/>
    <n v="9.4399999999999998E-2"/>
    <n v="11671"/>
    <n v="0.11983899619053487"/>
    <s v="High CTR"/>
    <s v="High"/>
    <x v="2"/>
  </r>
  <r>
    <x v="254"/>
    <s v="6a53041c-cafa-4238-bfc5-8329172a6e38"/>
    <n v="1337"/>
    <n v="2971"/>
    <n v="291"/>
    <n v="82.09"/>
    <n v="25937"/>
    <n v="32127"/>
    <n v="4.67"/>
    <x v="1"/>
    <x v="254"/>
    <x v="254"/>
    <n v="0.82090000000000007"/>
    <n v="4.6699999999999998E-2"/>
    <n v="4599"/>
    <n v="0.14315062097301334"/>
    <s v="High CTR"/>
    <s v="High"/>
    <x v="1"/>
  </r>
  <r>
    <x v="255"/>
    <s v="0d8cbdcc-ff22-4e71-8f33-a268abfb5a2f"/>
    <n v="5041"/>
    <n v="3667"/>
    <n v="970"/>
    <n v="35.799999999999997"/>
    <n v="46770"/>
    <n v="88983"/>
    <n v="6.18"/>
    <x v="3"/>
    <x v="255"/>
    <x v="255"/>
    <n v="0.35799999999999998"/>
    <n v="6.1799999999999994E-2"/>
    <n v="9678"/>
    <n v="0.10876234786419878"/>
    <s v="High CTR"/>
    <s v="High"/>
    <x v="2"/>
  </r>
  <r>
    <x v="256"/>
    <s v="c809ef96-a2be-4609-9668-fbaaf7fa3ed4"/>
    <n v="4784"/>
    <n v="3753"/>
    <n v="604"/>
    <n v="17.38"/>
    <n v="89205"/>
    <n v="33068"/>
    <n v="3.56"/>
    <x v="2"/>
    <x v="256"/>
    <x v="256"/>
    <n v="0.17379999999999998"/>
    <n v="3.56E-2"/>
    <n v="9141"/>
    <n v="0.27643038587153745"/>
    <s v="High CTR"/>
    <s v="High"/>
    <x v="2"/>
  </r>
  <r>
    <x v="257"/>
    <s v="c648bc52-6278-4ddd-b20e-68cda64ad568"/>
    <n v="7678"/>
    <n v="2596"/>
    <n v="1637"/>
    <n v="29.5"/>
    <n v="48405"/>
    <n v="14117"/>
    <n v="4.78"/>
    <x v="1"/>
    <x v="257"/>
    <x v="257"/>
    <n v="0.29499999999999998"/>
    <n v="4.7800000000000002E-2"/>
    <n v="11911"/>
    <n v="0.84373450449812282"/>
    <s v="High CTR"/>
    <s v="High"/>
    <x v="3"/>
  </r>
  <r>
    <x v="258"/>
    <s v="066814bc-1135-44f6-81a3-11304562f983"/>
    <n v="75"/>
    <n v="1337"/>
    <n v="1936"/>
    <n v="81.569999999999993"/>
    <n v="79365"/>
    <n v="34275"/>
    <n v="4.6900000000000004"/>
    <x v="3"/>
    <x v="258"/>
    <x v="258"/>
    <n v="0.81569999999999998"/>
    <n v="4.6900000000000004E-2"/>
    <n v="3348"/>
    <n v="9.7680525164113782E-2"/>
    <s v="High CTR"/>
    <s v="High"/>
    <x v="0"/>
  </r>
  <r>
    <x v="259"/>
    <s v="179b0438-2152-44b0-b62d-b4f1f05d63a8"/>
    <n v="9984"/>
    <n v="1217"/>
    <n v="172"/>
    <n v="57.88"/>
    <n v="26000"/>
    <n v="11284"/>
    <n v="8.16"/>
    <x v="1"/>
    <x v="259"/>
    <x v="259"/>
    <n v="0.57879999999999998"/>
    <n v="8.1600000000000006E-2"/>
    <n v="11373"/>
    <n v="1"/>
    <s v="High CTR"/>
    <s v="High"/>
    <x v="1"/>
  </r>
  <r>
    <x v="260"/>
    <s v="d06daea0-e007-4517-afb5-afe14925fbd8"/>
    <n v="9842"/>
    <n v="3834"/>
    <n v="1942"/>
    <n v="15.06"/>
    <n v="49092"/>
    <n v="83743"/>
    <n v="2.37"/>
    <x v="0"/>
    <x v="260"/>
    <x v="260"/>
    <n v="0.15060000000000001"/>
    <n v="2.3700000000000002E-2"/>
    <n v="15618"/>
    <n v="0.18649917007988728"/>
    <s v="High CTR"/>
    <s v="High"/>
    <x v="3"/>
  </r>
  <r>
    <x v="261"/>
    <s v="98841dc6-a5b3-48d6-9a6a-9fc1bd9978b7"/>
    <n v="550"/>
    <n v="2006"/>
    <n v="431"/>
    <n v="80.209999999999994"/>
    <n v="97534"/>
    <n v="95411"/>
    <n v="1.51"/>
    <x v="2"/>
    <x v="261"/>
    <x v="261"/>
    <n v="0.80209999999999992"/>
    <n v="1.5100000000000001E-2"/>
    <n v="2987"/>
    <n v="3.1306662753770531E-2"/>
    <s v="High CTR"/>
    <s v="High"/>
    <x v="1"/>
  </r>
  <r>
    <x v="262"/>
    <s v="284e2b70-2998-4c03-b75d-0b1c8a8f8089"/>
    <n v="4847"/>
    <n v="2125"/>
    <n v="1590"/>
    <n v="24.42"/>
    <n v="13729"/>
    <n v="70766"/>
    <n v="6.65"/>
    <x v="0"/>
    <x v="262"/>
    <x v="262"/>
    <n v="0.24420000000000003"/>
    <n v="6.6500000000000004E-2"/>
    <n v="8562"/>
    <n v="0.12099030607919058"/>
    <s v="High CTR"/>
    <s v="High"/>
    <x v="1"/>
  </r>
  <r>
    <x v="263"/>
    <s v="b9a83e2e-14d9-4dee-a43f-849808d8ec17"/>
    <n v="4345"/>
    <n v="3411"/>
    <n v="581"/>
    <n v="88.17"/>
    <n v="4490"/>
    <n v="51661"/>
    <n v="6.18"/>
    <x v="0"/>
    <x v="263"/>
    <x v="263"/>
    <n v="0.88170000000000004"/>
    <n v="6.1799999999999994E-2"/>
    <n v="8337"/>
    <n v="0.16137898995373687"/>
    <s v="High CTR"/>
    <s v="High"/>
    <x v="1"/>
  </r>
  <r>
    <x v="264"/>
    <s v="11a12968-6dd3-45aa-9e19-8ef7602cc491"/>
    <n v="289"/>
    <n v="4590"/>
    <n v="1393"/>
    <n v="94.71"/>
    <n v="22679"/>
    <n v="79543"/>
    <n v="7.16"/>
    <x v="3"/>
    <x v="264"/>
    <x v="264"/>
    <n v="0.94709999999999994"/>
    <n v="7.1599999999999997E-2"/>
    <n v="6272"/>
    <n v="7.8850433099078479E-2"/>
    <s v="High CTR"/>
    <s v="High"/>
    <x v="1"/>
  </r>
  <r>
    <x v="265"/>
    <s v="3135cab6-e107-40de-aa61-835352a6cdc4"/>
    <n v="3083"/>
    <n v="4807"/>
    <n v="0"/>
    <n v="95.49"/>
    <n v="92451"/>
    <n v="70826"/>
    <n v="4.92"/>
    <x v="2"/>
    <x v="265"/>
    <x v="265"/>
    <n v="0.95489999999999997"/>
    <n v="4.9200000000000001E-2"/>
    <n v="7890"/>
    <n v="0.11139976844661564"/>
    <s v="High CTR"/>
    <s v="High"/>
    <x v="1"/>
  </r>
  <r>
    <x v="266"/>
    <s v="428e0e71-3316-4138-b4d5-457f55cea67c"/>
    <n v="9675"/>
    <n v="3091"/>
    <n v="1702"/>
    <n v="0.41"/>
    <n v="78742"/>
    <n v="82136"/>
    <n v="8.5299999999999994"/>
    <x v="3"/>
    <x v="266"/>
    <x v="266"/>
    <n v="4.0999999999999995E-3"/>
    <n v="8.5299999999999987E-2"/>
    <n v="14468"/>
    <n v="0.17614687834810558"/>
    <s v="High CTR"/>
    <s v="High"/>
    <x v="1"/>
  </r>
  <r>
    <x v="267"/>
    <s v="9059e876-fd36-4207-919e-f6d765f1df94"/>
    <n v="2626"/>
    <n v="1488"/>
    <n v="1704"/>
    <n v="96.18"/>
    <n v="76492"/>
    <n v="49679"/>
    <n v="5.0199999999999996"/>
    <x v="1"/>
    <x v="267"/>
    <x v="267"/>
    <n v="0.9618000000000001"/>
    <n v="5.0199999999999995E-2"/>
    <n v="5818"/>
    <n v="0.11711185812918939"/>
    <s v="High CTR"/>
    <s v="High"/>
    <x v="1"/>
  </r>
  <r>
    <x v="268"/>
    <s v="d17ca639-bd4f-44a1-8766-23724dd6f8c4"/>
    <n v="6361"/>
    <n v="215"/>
    <n v="1877"/>
    <n v="77.19"/>
    <n v="59109"/>
    <n v="73652"/>
    <n v="8.69"/>
    <x v="2"/>
    <x v="268"/>
    <x v="268"/>
    <n v="0.77190000000000003"/>
    <n v="8.6899999999999991E-2"/>
    <n v="8453"/>
    <n v="0.11476945636235268"/>
    <s v="High CTR"/>
    <s v="High"/>
    <x v="1"/>
  </r>
  <r>
    <x v="269"/>
    <s v="90d2a166-51fd-4c03-a5b2-c132983bb3a9"/>
    <n v="2650"/>
    <n v="2266"/>
    <n v="1053"/>
    <n v="93.68"/>
    <n v="88117"/>
    <n v="82098"/>
    <n v="4.16"/>
    <x v="2"/>
    <x v="269"/>
    <x v="269"/>
    <n v="0.93680000000000008"/>
    <n v="4.1599999999999998E-2"/>
    <n v="5969"/>
    <n v="7.2705790640454085E-2"/>
    <s v="High CTR"/>
    <s v="High"/>
    <x v="1"/>
  </r>
  <r>
    <x v="270"/>
    <s v="12e20a22-0e8a-4fee-a144-0c50cc2bee62"/>
    <n v="9585"/>
    <n v="3060"/>
    <n v="1654"/>
    <n v="0.38"/>
    <n v="98870"/>
    <n v="81703"/>
    <n v="0.76"/>
    <x v="2"/>
    <x v="270"/>
    <x v="270"/>
    <n v="3.8E-3"/>
    <n v="7.6E-3"/>
    <n v="14299"/>
    <n v="0.1750119334663354"/>
    <s v="High CTR"/>
    <s v="High"/>
    <x v="2"/>
  </r>
  <r>
    <x v="271"/>
    <s v="b497d310-6cb8-45f4-89e8-318695fd7c66"/>
    <n v="188"/>
    <n v="4868"/>
    <n v="965"/>
    <n v="67.78"/>
    <n v="55405"/>
    <n v="21310"/>
    <n v="3.93"/>
    <x v="1"/>
    <x v="271"/>
    <x v="271"/>
    <n v="0.67779999999999996"/>
    <n v="3.9300000000000002E-2"/>
    <n v="6021"/>
    <n v="0.28254340685124357"/>
    <s v="High CTR"/>
    <s v="High"/>
    <x v="0"/>
  </r>
  <r>
    <x v="272"/>
    <s v="e6976cf7-7d43-4244-9bf8-6b56b13409f2"/>
    <n v="5238"/>
    <n v="865"/>
    <n v="598"/>
    <n v="27.46"/>
    <n v="34596"/>
    <n v="85357"/>
    <n v="2.37"/>
    <x v="3"/>
    <x v="272"/>
    <x v="272"/>
    <n v="0.27460000000000001"/>
    <n v="2.3700000000000002E-2"/>
    <n v="6701"/>
    <n v="7.8505570720620449E-2"/>
    <s v="High CTR"/>
    <s v="High"/>
    <x v="1"/>
  </r>
  <r>
    <x v="273"/>
    <s v="7f7e567c-823a-424e-81c4-02abaee39d57"/>
    <n v="412"/>
    <n v="4365"/>
    <n v="382"/>
    <n v="88.28"/>
    <n v="13656"/>
    <n v="51287"/>
    <n v="4.4000000000000004"/>
    <x v="1"/>
    <x v="273"/>
    <x v="273"/>
    <n v="0.88280000000000003"/>
    <n v="4.4000000000000004E-2"/>
    <n v="5159"/>
    <n v="0.10059079298847662"/>
    <s v="High CTR"/>
    <s v="High"/>
    <x v="1"/>
  </r>
  <r>
    <x v="274"/>
    <s v="77704c31-3c38-40ac-b690-2009189ea7d0"/>
    <n v="1565"/>
    <n v="227"/>
    <n v="1608"/>
    <n v="47.41"/>
    <n v="58265"/>
    <n v="50416"/>
    <n v="0.16"/>
    <x v="3"/>
    <x v="274"/>
    <x v="274"/>
    <n v="0.47409999999999997"/>
    <n v="1.6000000000000001E-3"/>
    <n v="3400"/>
    <n v="6.7438908283084742E-2"/>
    <s v="High CTR"/>
    <s v="High"/>
    <x v="1"/>
  </r>
  <r>
    <x v="275"/>
    <s v="f4dc596f-1613-4399-9141-f6099af70dcc"/>
    <n v="3729"/>
    <n v="1651"/>
    <n v="900"/>
    <n v="80.92"/>
    <n v="45083"/>
    <n v="51326"/>
    <n v="2.04"/>
    <x v="0"/>
    <x v="275"/>
    <x v="275"/>
    <n v="0.80920000000000003"/>
    <n v="2.0400000000000001E-2"/>
    <n v="6280"/>
    <n v="0.12235514164361143"/>
    <s v="High CTR"/>
    <s v="High"/>
    <x v="2"/>
  </r>
  <r>
    <x v="276"/>
    <s v="d579d7f9-307f-49cf-9d72-c13845cbf161"/>
    <n v="7749"/>
    <n v="1534"/>
    <n v="291"/>
    <n v="36.54"/>
    <n v="44665"/>
    <n v="34568"/>
    <n v="2.02"/>
    <x v="2"/>
    <x v="276"/>
    <x v="276"/>
    <n v="0.3654"/>
    <n v="2.0199999999999999E-2"/>
    <n v="9574"/>
    <n v="0.27696135153899559"/>
    <s v="High CTR"/>
    <s v="High"/>
    <x v="3"/>
  </r>
  <r>
    <x v="277"/>
    <s v="746bf520-432c-4c92-8591-4d92fad3ba8f"/>
    <n v="6016"/>
    <n v="1634"/>
    <n v="418"/>
    <n v="83.31"/>
    <n v="48010"/>
    <n v="7353"/>
    <n v="8.06"/>
    <x v="3"/>
    <x v="277"/>
    <x v="277"/>
    <n v="0.83310000000000006"/>
    <n v="8.0600000000000005E-2"/>
    <n v="8068"/>
    <n v="1"/>
    <s v="High CTR"/>
    <s v="High"/>
    <x v="1"/>
  </r>
  <r>
    <x v="278"/>
    <s v="89e93b5a-0038-4923-aa19-a050a8d9507f"/>
    <n v="7826"/>
    <n v="1973"/>
    <n v="467"/>
    <n v="59.93"/>
    <n v="68767"/>
    <n v="69313"/>
    <n v="8.34"/>
    <x v="2"/>
    <x v="278"/>
    <x v="278"/>
    <n v="0.59929999999999994"/>
    <n v="8.3400000000000002E-2"/>
    <n v="10266"/>
    <n v="0.148110744016274"/>
    <s v="High CTR"/>
    <s v="High"/>
    <x v="0"/>
  </r>
  <r>
    <x v="279"/>
    <s v="40fd1efd-a958-4c70-aab0-c4f19325d765"/>
    <n v="4409"/>
    <n v="870"/>
    <n v="1482"/>
    <n v="18.309999999999999"/>
    <n v="9709"/>
    <n v="69013"/>
    <n v="0.81"/>
    <x v="2"/>
    <x v="279"/>
    <x v="279"/>
    <n v="0.18309999999999998"/>
    <n v="8.1000000000000013E-3"/>
    <n v="6761"/>
    <n v="9.7967049686290983E-2"/>
    <s v="High CTR"/>
    <s v="High"/>
    <x v="1"/>
  </r>
  <r>
    <x v="280"/>
    <s v="961b1b9b-6256-406b-b527-693b911b7d13"/>
    <n v="7526"/>
    <n v="4400"/>
    <n v="1083"/>
    <n v="44.87"/>
    <n v="13840"/>
    <n v="32653"/>
    <n v="8.36"/>
    <x v="0"/>
    <x v="280"/>
    <x v="280"/>
    <n v="0.44869999999999999"/>
    <n v="8.3599999999999994E-2"/>
    <n v="13009"/>
    <n v="0.39840137200257253"/>
    <s v="High CTR"/>
    <s v="High"/>
    <x v="3"/>
  </r>
  <r>
    <x v="281"/>
    <s v="17768b80-e9f6-4772-9473-5acb374d9b90"/>
    <n v="1114"/>
    <n v="455"/>
    <n v="1430"/>
    <n v="82.37"/>
    <n v="90245"/>
    <n v="55286"/>
    <n v="7.67"/>
    <x v="2"/>
    <x v="281"/>
    <x v="281"/>
    <n v="0.8237000000000001"/>
    <n v="7.6700000000000004E-2"/>
    <n v="2999"/>
    <n v="5.4245197699236698E-2"/>
    <s v="High CTR"/>
    <s v="High"/>
    <x v="1"/>
  </r>
  <r>
    <x v="282"/>
    <s v="a3c39884-ddf4-44aa-8778-5ab7b82b36e4"/>
    <n v="2407"/>
    <n v="104"/>
    <n v="107"/>
    <n v="60.82"/>
    <n v="19105"/>
    <n v="2185"/>
    <n v="4.1100000000000003"/>
    <x v="3"/>
    <x v="282"/>
    <x v="282"/>
    <n v="0.60819999999999996"/>
    <n v="4.1100000000000005E-2"/>
    <n v="2618"/>
    <n v="1"/>
    <s v="High CTR"/>
    <s v="High"/>
    <x v="3"/>
  </r>
  <r>
    <x v="283"/>
    <s v="81d7b27d-0aa1-4ee4-9397-a5ad52fc01f8"/>
    <n v="6075"/>
    <n v="3104"/>
    <n v="96"/>
    <n v="91.12"/>
    <n v="74675"/>
    <n v="79529"/>
    <n v="0.53"/>
    <x v="3"/>
    <x v="283"/>
    <x v="283"/>
    <n v="0.91120000000000001"/>
    <n v="5.3E-3"/>
    <n v="9275"/>
    <n v="0.11662412453318916"/>
    <s v="High CTR"/>
    <s v="High"/>
    <x v="0"/>
  </r>
  <r>
    <x v="284"/>
    <s v="031bb6ee-d8c7-4467-94ae-0f6924c28321"/>
    <n v="6049"/>
    <n v="3769"/>
    <n v="989"/>
    <n v="14.13"/>
    <n v="45885"/>
    <n v="45469"/>
    <n v="0.81"/>
    <x v="0"/>
    <x v="284"/>
    <x v="284"/>
    <n v="0.14130000000000001"/>
    <n v="8.1000000000000013E-3"/>
    <n v="10807"/>
    <n v="0.23767841826299238"/>
    <s v="High CTR"/>
    <s v="High"/>
    <x v="1"/>
  </r>
  <r>
    <x v="285"/>
    <s v="74d8d918-4329-4a94-8f47-b1d0862310c6"/>
    <n v="3169"/>
    <n v="2964"/>
    <n v="78"/>
    <n v="63.68"/>
    <n v="32246"/>
    <n v="61261"/>
    <n v="7.85"/>
    <x v="1"/>
    <x v="285"/>
    <x v="285"/>
    <n v="0.63680000000000003"/>
    <n v="7.85E-2"/>
    <n v="6211"/>
    <n v="0.10138587355740193"/>
    <s v="High CTR"/>
    <s v="High"/>
    <x v="0"/>
  </r>
  <r>
    <x v="286"/>
    <s v="a00e1280-275a-4f5e-9923-55d836188ec6"/>
    <n v="220"/>
    <n v="3590"/>
    <n v="1276"/>
    <n v="96.26"/>
    <n v="83475"/>
    <n v="44117"/>
    <n v="5.75"/>
    <x v="2"/>
    <x v="286"/>
    <x v="286"/>
    <n v="0.96260000000000001"/>
    <n v="5.7500000000000002E-2"/>
    <n v="5086"/>
    <n v="0.11528435750391006"/>
    <s v="High CTR"/>
    <s v="High"/>
    <x v="3"/>
  </r>
  <r>
    <x v="287"/>
    <s v="22ae8fe3-e46a-4459-88d9-cd77255daee8"/>
    <n v="3368"/>
    <n v="1099"/>
    <n v="1458"/>
    <n v="83.24"/>
    <n v="18400"/>
    <n v="52414"/>
    <n v="8.66"/>
    <x v="3"/>
    <x v="287"/>
    <x v="287"/>
    <n v="0.83239999999999992"/>
    <n v="8.6599999999999996E-2"/>
    <n v="5925"/>
    <n v="0.11304231693822261"/>
    <s v="High CTR"/>
    <s v="High"/>
    <x v="1"/>
  </r>
  <r>
    <x v="288"/>
    <s v="1a62a0b6-0d9b-4819-9ae7-b9f4b0b02a5e"/>
    <n v="7251"/>
    <n v="4210"/>
    <n v="766"/>
    <n v="61.32"/>
    <n v="48010"/>
    <n v="1410"/>
    <n v="2.72"/>
    <x v="1"/>
    <x v="288"/>
    <x v="288"/>
    <n v="0.61319999999999997"/>
    <n v="2.7200000000000002E-2"/>
    <n v="12227"/>
    <n v="1"/>
    <s v="High CTR"/>
    <s v="High"/>
    <x v="1"/>
  </r>
  <r>
    <x v="289"/>
    <s v="8f5a80c2-6a75-40f0-9dbf-d63eeb8f9b89"/>
    <n v="6106"/>
    <n v="3379"/>
    <n v="233"/>
    <n v="52.21"/>
    <n v="49983"/>
    <n v="69328"/>
    <n v="3.23"/>
    <x v="2"/>
    <x v="289"/>
    <x v="289"/>
    <n v="0.52210000000000001"/>
    <n v="3.2300000000000002E-2"/>
    <n v="9718"/>
    <n v="0.14017424417262866"/>
    <s v="High CTR"/>
    <s v="High"/>
    <x v="2"/>
  </r>
  <r>
    <x v="290"/>
    <s v="5ecea2e8-6c5e-43e4-ac33-07d173f20cf2"/>
    <n v="6737"/>
    <n v="352"/>
    <n v="159"/>
    <n v="97.22"/>
    <n v="42428"/>
    <n v="69770"/>
    <n v="7.94"/>
    <x v="2"/>
    <x v="290"/>
    <x v="290"/>
    <n v="0.97219999999999995"/>
    <n v="7.9399999999999998E-2"/>
    <n v="7248"/>
    <n v="0.10388419091299986"/>
    <s v="High CTR"/>
    <s v="High"/>
    <x v="2"/>
  </r>
  <r>
    <x v="291"/>
    <s v="afcd8d43-7dbc-49ef-b081-c936ee972eb7"/>
    <n v="2258"/>
    <n v="4556"/>
    <n v="1112"/>
    <n v="76.87"/>
    <n v="35105"/>
    <n v="30815"/>
    <n v="0.27"/>
    <x v="1"/>
    <x v="291"/>
    <x v="291"/>
    <n v="0.76870000000000005"/>
    <n v="2.7000000000000001E-3"/>
    <n v="7926"/>
    <n v="0.25721239656011685"/>
    <s v="High CTR"/>
    <s v="High"/>
    <x v="1"/>
  </r>
  <r>
    <x v="292"/>
    <s v="aa968236-9982-4838-97ad-9805f8882e9f"/>
    <n v="7181"/>
    <n v="3071"/>
    <n v="523"/>
    <n v="98.25"/>
    <n v="21517"/>
    <n v="658"/>
    <n v="0.2"/>
    <x v="2"/>
    <x v="292"/>
    <x v="292"/>
    <n v="0.98250000000000004"/>
    <n v="2E-3"/>
    <n v="10775"/>
    <n v="1"/>
    <s v="High CTR"/>
    <s v="High"/>
    <x v="1"/>
  </r>
  <r>
    <x v="293"/>
    <s v="4aa6d9ba-2a7e-4413-90ee-a0b1a42727cd"/>
    <n v="4245"/>
    <n v="2244"/>
    <n v="776"/>
    <n v="19.05"/>
    <n v="53640"/>
    <n v="60479"/>
    <n v="5.4"/>
    <x v="2"/>
    <x v="293"/>
    <x v="293"/>
    <n v="0.1905"/>
    <n v="5.4000000000000006E-2"/>
    <n v="7265"/>
    <n v="0.12012434068023611"/>
    <s v="High CTR"/>
    <s v="High"/>
    <x v="1"/>
  </r>
  <r>
    <x v="294"/>
    <s v="d165142d-f825-48bb-b13e-99544c7eca1c"/>
    <n v="1502"/>
    <n v="646"/>
    <n v="687"/>
    <n v="53.14"/>
    <n v="60281"/>
    <n v="80023"/>
    <n v="5.96"/>
    <x v="2"/>
    <x v="294"/>
    <x v="294"/>
    <n v="0.53139999999999998"/>
    <n v="5.96E-2"/>
    <n v="2835"/>
    <n v="3.5427314647038979E-2"/>
    <s v="High CTR"/>
    <s v="High"/>
    <x v="1"/>
  </r>
  <r>
    <x v="295"/>
    <s v="a9442c79-93d4-4a07-8539-42642c1ca5fe"/>
    <n v="8362"/>
    <n v="1864"/>
    <n v="1049"/>
    <n v="52.37"/>
    <n v="26419"/>
    <n v="96775"/>
    <n v="6.44"/>
    <x v="1"/>
    <x v="295"/>
    <x v="295"/>
    <n v="0.52369999999999994"/>
    <n v="6.4399999999999999E-2"/>
    <n v="11275"/>
    <n v="0.11650736243864634"/>
    <s v="High CTR"/>
    <s v="High"/>
    <x v="1"/>
  </r>
  <r>
    <x v="296"/>
    <s v="3b3ff695-62c2-4673-a079-c0c8cd4bc5ec"/>
    <n v="9538"/>
    <n v="3828"/>
    <n v="1928"/>
    <n v="62.99"/>
    <n v="26815"/>
    <n v="25483"/>
    <n v="0.91"/>
    <x v="3"/>
    <x v="296"/>
    <x v="296"/>
    <n v="0.62990000000000002"/>
    <n v="9.1000000000000004E-3"/>
    <n v="15294"/>
    <n v="0.60016481575952596"/>
    <s v="High CTR"/>
    <s v="High"/>
    <x v="1"/>
  </r>
  <r>
    <x v="297"/>
    <s v="c8d397b3-359f-4d61-8dba-8f6f4db88757"/>
    <n v="7167"/>
    <n v="2381"/>
    <n v="1657"/>
    <n v="5.38"/>
    <n v="50136"/>
    <n v="49867"/>
    <n v="4.93"/>
    <x v="0"/>
    <x v="297"/>
    <x v="297"/>
    <n v="5.3800000000000001E-2"/>
    <n v="4.9299999999999997E-2"/>
    <n v="11205"/>
    <n v="0.2246976958710169"/>
    <s v="High CTR"/>
    <s v="High"/>
    <x v="1"/>
  </r>
  <r>
    <x v="298"/>
    <s v="aef6bcdc-f487-4663-9140-dbc4228c91b7"/>
    <n v="2740"/>
    <n v="2534"/>
    <n v="786"/>
    <n v="17.02"/>
    <n v="49345"/>
    <n v="43400"/>
    <n v="2.64"/>
    <x v="3"/>
    <x v="298"/>
    <x v="298"/>
    <n v="0.17019999999999999"/>
    <n v="2.64E-2"/>
    <n v="6060"/>
    <n v="0.13963133640552997"/>
    <s v="High CTR"/>
    <s v="High"/>
    <x v="1"/>
  </r>
  <r>
    <x v="299"/>
    <s v="e82974a3-a3ff-4363-8ee4-5a7ece9dd9a0"/>
    <n v="5084"/>
    <n v="1819"/>
    <n v="1264"/>
    <n v="46.19"/>
    <n v="7276"/>
    <n v="8472"/>
    <n v="6.94"/>
    <x v="3"/>
    <x v="299"/>
    <x v="299"/>
    <n v="0.46189999999999998"/>
    <n v="6.9400000000000003E-2"/>
    <n v="8167"/>
    <n v="0.96399905571293676"/>
    <s v="High CTR"/>
    <s v="High"/>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s v="c4e1f1b3-0d27-4ebd-927a-969eddfa0263"/>
    <s v="e849b68b-954c-454a-b656-3b2dc58f2721"/>
    <n v="4724"/>
    <n v="2683"/>
    <n v="1452"/>
    <n v="83.04"/>
    <n v="67176"/>
    <n v="52636"/>
    <n v="6.32"/>
    <s v="Image"/>
    <x v="0"/>
    <d v="1899-12-30T15:32:04"/>
    <n v="0.83040000000000003"/>
    <n v="6.3200000000000006E-2"/>
    <n v="8859"/>
    <n v="0.16830686222357322"/>
    <s v="High CTR"/>
    <s v="High"/>
    <s v="Afternoon"/>
    <n v="3"/>
  </r>
  <r>
    <s v="c4e1f1b3-0d27-4ebd-927a-969eddfa0263"/>
    <s v="e849b68b-954c-454a-b656-3b2dc58f2721"/>
    <n v="4724"/>
    <n v="2683"/>
    <n v="1452"/>
    <n v="83.04"/>
    <n v="67176"/>
    <n v="52636"/>
    <n v="6.32"/>
    <s v="Image"/>
    <x v="1"/>
    <d v="1899-12-30T15:32:04"/>
    <n v="0.83040000000000003"/>
    <n v="6.3200000000000006E-2"/>
    <n v="8859"/>
    <n v="0.16830686222357322"/>
    <s v="High CTR"/>
    <s v="High"/>
    <s v="Afternoon"/>
    <n v="3"/>
  </r>
  <r>
    <s v="c4e1f1b3-0d27-4ebd-927a-969eddfa0263"/>
    <s v="e849b68b-954c-454a-b656-3b2dc58f2721"/>
    <n v="4724"/>
    <n v="2683"/>
    <n v="1452"/>
    <n v="83.04"/>
    <n v="67176"/>
    <n v="52636"/>
    <n v="6.32"/>
    <s v="Image"/>
    <x v="2"/>
    <d v="1899-12-30T15:32:04"/>
    <n v="0.83040000000000003"/>
    <n v="6.3200000000000006E-2"/>
    <n v="8859"/>
    <n v="0.16830686222357322"/>
    <s v="High CTR"/>
    <s v="High"/>
    <s v="Afternoon"/>
    <n v="3"/>
  </r>
  <r>
    <s v="20a8b3b3-e607-43ba-a495-e902c680a047"/>
    <s v="59c3f8b7-c270-4139-a580-12919688f2f3"/>
    <n v="9633"/>
    <n v="2484"/>
    <n v="200"/>
    <n v="3.51"/>
    <n v="12575"/>
    <n v="18307"/>
    <n v="0.91"/>
    <s v="Poll"/>
    <x v="3"/>
    <d v="1899-12-30T14:39:21"/>
    <n v="3.5099999999999999E-2"/>
    <n v="9.1000000000000004E-3"/>
    <n v="12317"/>
    <n v="0.67280275304528325"/>
    <s v="High CTR"/>
    <s v="High"/>
    <s v="Afternoon"/>
    <n v="3"/>
  </r>
  <r>
    <s v="20a8b3b3-e607-43ba-a495-e902c680a047"/>
    <s v="59c3f8b7-c270-4139-a580-12919688f2f3"/>
    <n v="9633"/>
    <n v="2484"/>
    <n v="200"/>
    <n v="3.51"/>
    <n v="12575"/>
    <n v="18307"/>
    <n v="0.91"/>
    <s v="Poll"/>
    <x v="4"/>
    <d v="1899-12-30T14:39:21"/>
    <n v="3.5099999999999999E-2"/>
    <n v="9.1000000000000004E-3"/>
    <n v="12317"/>
    <n v="0.67280275304528325"/>
    <s v="High CTR"/>
    <s v="High"/>
    <s v="Afternoon"/>
    <n v="3"/>
  </r>
  <r>
    <s v="20a8b3b3-e607-43ba-a495-e902c680a047"/>
    <s v="59c3f8b7-c270-4139-a580-12919688f2f3"/>
    <n v="9633"/>
    <n v="2484"/>
    <n v="200"/>
    <n v="3.51"/>
    <n v="12575"/>
    <n v="18307"/>
    <n v="0.91"/>
    <s v="Poll"/>
    <x v="5"/>
    <d v="1899-12-30T14:39:21"/>
    <n v="3.5099999999999999E-2"/>
    <n v="9.1000000000000004E-3"/>
    <n v="12317"/>
    <n v="0.67280275304528325"/>
    <s v="High CTR"/>
    <s v="High"/>
    <s v="Afternoon"/>
    <n v="3"/>
  </r>
  <r>
    <s v="10f2dff0-06f7-46f8-a8ad-518b3342ec90"/>
    <s v="1e51a438-6c53-4156-a9e5-fda55bb5a756"/>
    <n v="9213"/>
    <n v="1029"/>
    <n v="1366"/>
    <n v="80.69"/>
    <n v="33330"/>
    <n v="40656"/>
    <n v="6.91"/>
    <s v="Video"/>
    <x v="6"/>
    <d v="1899-12-30T11:39:02"/>
    <n v="0.80689999999999995"/>
    <n v="6.9099999999999995E-2"/>
    <n v="11608"/>
    <n v="0.28551751279024007"/>
    <s v="High CTR"/>
    <s v="High"/>
    <s v="Morning"/>
    <n v="3"/>
  </r>
  <r>
    <s v="10f2dff0-06f7-46f8-a8ad-518b3342ec90"/>
    <s v="1e51a438-6c53-4156-a9e5-fda55bb5a756"/>
    <n v="9213"/>
    <n v="1029"/>
    <n v="1366"/>
    <n v="80.69"/>
    <n v="33330"/>
    <n v="40656"/>
    <n v="6.91"/>
    <s v="Video"/>
    <x v="7"/>
    <d v="1899-12-30T11:39:02"/>
    <n v="0.80689999999999995"/>
    <n v="6.9099999999999995E-2"/>
    <n v="11608"/>
    <n v="0.28551751279024007"/>
    <s v="High CTR"/>
    <s v="High"/>
    <s v="Morning"/>
    <n v="3"/>
  </r>
  <r>
    <s v="10f2dff0-06f7-46f8-a8ad-518b3342ec90"/>
    <s v="1e51a438-6c53-4156-a9e5-fda55bb5a756"/>
    <n v="9213"/>
    <n v="1029"/>
    <n v="1366"/>
    <n v="80.69"/>
    <n v="33330"/>
    <n v="40656"/>
    <n v="6.91"/>
    <s v="Video"/>
    <x v="8"/>
    <d v="1899-12-30T11:39:02"/>
    <n v="0.80689999999999995"/>
    <n v="6.9099999999999995E-2"/>
    <n v="11608"/>
    <n v="0.28551751279024007"/>
    <s v="High CTR"/>
    <s v="High"/>
    <s v="Morning"/>
    <n v="3"/>
  </r>
  <r>
    <s v="aded85d0-f364-49de-be2a-44fde916405d"/>
    <s v="f5d43f26-f279-4365-bed0-8ec6ef0fa6d3"/>
    <n v="5753"/>
    <n v="2392"/>
    <n v="312"/>
    <n v="96.79"/>
    <n v="15399"/>
    <n v="94920"/>
    <n v="0.74"/>
    <s v="Video"/>
    <x v="9"/>
    <d v="1899-12-30T10:57:56"/>
    <n v="0.96790000000000009"/>
    <n v="7.4000000000000003E-3"/>
    <n v="8457"/>
    <n v="8.9096080910240197E-2"/>
    <s v="High CTR"/>
    <s v="High"/>
    <s v="Morning"/>
    <n v="3"/>
  </r>
  <r>
    <s v="aded85d0-f364-49de-be2a-44fde916405d"/>
    <s v="f5d43f26-f279-4365-bed0-8ec6ef0fa6d3"/>
    <n v="5753"/>
    <n v="2392"/>
    <n v="312"/>
    <n v="96.79"/>
    <n v="15399"/>
    <n v="94920"/>
    <n v="0.74"/>
    <s v="Video"/>
    <x v="10"/>
    <d v="1899-12-30T10:57:56"/>
    <n v="0.96790000000000009"/>
    <n v="7.4000000000000003E-3"/>
    <n v="8457"/>
    <n v="8.9096080910240197E-2"/>
    <s v="High CTR"/>
    <s v="High"/>
    <s v="Morning"/>
    <n v="3"/>
  </r>
  <r>
    <s v="aded85d0-f364-49de-be2a-44fde916405d"/>
    <s v="f5d43f26-f279-4365-bed0-8ec6ef0fa6d3"/>
    <n v="5753"/>
    <n v="2392"/>
    <n v="312"/>
    <n v="96.79"/>
    <n v="15399"/>
    <n v="94920"/>
    <n v="0.74"/>
    <s v="Video"/>
    <x v="11"/>
    <d v="1899-12-30T10:57:56"/>
    <n v="0.96790000000000009"/>
    <n v="7.4000000000000003E-3"/>
    <n v="8457"/>
    <n v="8.9096080910240197E-2"/>
    <s v="High CTR"/>
    <s v="High"/>
    <s v="Morning"/>
    <n v="3"/>
  </r>
  <r>
    <s v="f0e3ad71-e8b7-42c4-b659-99bafe380a83"/>
    <s v="a7fc724f-529c-4f80-9b47-d542e250ab48"/>
    <n v="8977"/>
    <n v="4183"/>
    <n v="668"/>
    <n v="85.24"/>
    <n v="70221"/>
    <n v="6119"/>
    <n v="6.15"/>
    <s v="Video"/>
    <x v="12"/>
    <d v="1899-12-30T03:53:01"/>
    <n v="0.85239999999999994"/>
    <n v="6.1500000000000006E-2"/>
    <n v="13828"/>
    <n v="1"/>
    <s v="High CTR"/>
    <s v="High"/>
    <s v="Morning"/>
    <n v="3"/>
  </r>
  <r>
    <s v="f0e3ad71-e8b7-42c4-b659-99bafe380a83"/>
    <s v="a7fc724f-529c-4f80-9b47-d542e250ab48"/>
    <n v="8977"/>
    <n v="4183"/>
    <n v="668"/>
    <n v="85.24"/>
    <n v="70221"/>
    <n v="6119"/>
    <n v="6.15"/>
    <s v="Video"/>
    <x v="13"/>
    <d v="1899-12-30T03:53:01"/>
    <n v="0.85239999999999994"/>
    <n v="6.1500000000000006E-2"/>
    <n v="13828"/>
    <n v="1"/>
    <s v="High CTR"/>
    <s v="High"/>
    <s v="Morning"/>
    <n v="3"/>
  </r>
  <r>
    <s v="f0e3ad71-e8b7-42c4-b659-99bafe380a83"/>
    <s v="a7fc724f-529c-4f80-9b47-d542e250ab48"/>
    <n v="8977"/>
    <n v="4183"/>
    <n v="668"/>
    <n v="85.24"/>
    <n v="70221"/>
    <n v="6119"/>
    <n v="6.15"/>
    <s v="Video"/>
    <x v="14"/>
    <d v="1899-12-30T03:53:01"/>
    <n v="0.85239999999999994"/>
    <n v="6.1500000000000006E-2"/>
    <n v="13828"/>
    <n v="1"/>
    <s v="High CTR"/>
    <s v="High"/>
    <s v="Morning"/>
    <n v="3"/>
  </r>
  <r>
    <s v="810bb44d-df35-4fd6-be93-b5ae37dc1be5"/>
    <s v="5bed235e-2c24-4cf7-ab86-78e617cc5044"/>
    <n v="7644"/>
    <n v="700"/>
    <n v="497"/>
    <n v="51.53"/>
    <n v="43401"/>
    <n v="82290"/>
    <n v="8.0299999999999994"/>
    <s v="Image"/>
    <x v="15"/>
    <d v="1899-12-30T23:01:53"/>
    <n v="0.51529999999999998"/>
    <n v="8.0299999999999996E-2"/>
    <n v="8841"/>
    <n v="0.10743711265038279"/>
    <s v="High CTR"/>
    <s v="High"/>
    <s v="Night"/>
    <n v="3"/>
  </r>
  <r>
    <s v="810bb44d-df35-4fd6-be93-b5ae37dc1be5"/>
    <s v="5bed235e-2c24-4cf7-ab86-78e617cc5044"/>
    <n v="7644"/>
    <n v="700"/>
    <n v="497"/>
    <n v="51.53"/>
    <n v="43401"/>
    <n v="82290"/>
    <n v="8.0299999999999994"/>
    <s v="Image"/>
    <x v="16"/>
    <d v="1899-12-30T23:01:53"/>
    <n v="0.51529999999999998"/>
    <n v="8.0299999999999996E-2"/>
    <n v="8841"/>
    <n v="0.10743711265038279"/>
    <s v="High CTR"/>
    <s v="High"/>
    <s v="Night"/>
    <n v="3"/>
  </r>
  <r>
    <s v="810bb44d-df35-4fd6-be93-b5ae37dc1be5"/>
    <s v="5bed235e-2c24-4cf7-ab86-78e617cc5044"/>
    <n v="7644"/>
    <n v="700"/>
    <n v="497"/>
    <n v="51.53"/>
    <n v="43401"/>
    <n v="82290"/>
    <n v="8.0299999999999994"/>
    <s v="Image"/>
    <x v="17"/>
    <d v="1899-12-30T23:01:53"/>
    <n v="0.51529999999999998"/>
    <n v="8.0299999999999996E-2"/>
    <n v="8841"/>
    <n v="0.10743711265038279"/>
    <s v="High CTR"/>
    <s v="High"/>
    <s v="Night"/>
    <n v="3"/>
  </r>
  <r>
    <s v="757ad123-9f7d-4e73-aa24-228576baeea6"/>
    <s v="7e4b51d7-042f-4a32-b79c-8bcfd6807b4e"/>
    <n v="7634"/>
    <n v="836"/>
    <n v="1282"/>
    <n v="16.55"/>
    <n v="5029"/>
    <n v="82551"/>
    <n v="8.26"/>
    <s v="Poll"/>
    <x v="18"/>
    <d v="1899-12-30T19:15:48"/>
    <n v="0.16550000000000001"/>
    <n v="8.2599999999999993E-2"/>
    <n v="9752"/>
    <n v="0.11813303291298713"/>
    <s v="High CTR"/>
    <s v="High"/>
    <s v="Evening"/>
    <n v="3"/>
  </r>
  <r>
    <s v="757ad123-9f7d-4e73-aa24-228576baeea6"/>
    <s v="7e4b51d7-042f-4a32-b79c-8bcfd6807b4e"/>
    <n v="7634"/>
    <n v="836"/>
    <n v="1282"/>
    <n v="16.55"/>
    <n v="5029"/>
    <n v="82551"/>
    <n v="8.26"/>
    <s v="Poll"/>
    <x v="19"/>
    <d v="1899-12-30T19:15:48"/>
    <n v="0.16550000000000001"/>
    <n v="8.2599999999999993E-2"/>
    <n v="9752"/>
    <n v="0.11813303291298713"/>
    <s v="High CTR"/>
    <s v="High"/>
    <s v="Evening"/>
    <n v="3"/>
  </r>
  <r>
    <s v="757ad123-9f7d-4e73-aa24-228576baeea6"/>
    <s v="7e4b51d7-042f-4a32-b79c-8bcfd6807b4e"/>
    <n v="7634"/>
    <n v="836"/>
    <n v="1282"/>
    <n v="16.55"/>
    <n v="5029"/>
    <n v="82551"/>
    <n v="8.26"/>
    <s v="Poll"/>
    <x v="20"/>
    <d v="1899-12-30T19:15:48"/>
    <n v="0.16550000000000001"/>
    <n v="8.2599999999999993E-2"/>
    <n v="9752"/>
    <n v="0.11813303291298713"/>
    <s v="High CTR"/>
    <s v="High"/>
    <s v="Evening"/>
    <n v="3"/>
  </r>
  <r>
    <s v="d3c380c5-11e0-4f4a-8570-05c13d2cada0"/>
    <s v="ea4580c7-cec3-448e-984e-9997ac31027f"/>
    <n v="8291"/>
    <n v="799"/>
    <n v="406"/>
    <n v="38.47"/>
    <n v="12765"/>
    <n v="27367"/>
    <n v="9.26"/>
    <s v="Poll"/>
    <x v="21"/>
    <d v="1899-12-30T08:42:14"/>
    <n v="0.38469999999999999"/>
    <n v="9.2600000000000002E-2"/>
    <n v="9496"/>
    <n v="0.34698724741476961"/>
    <s v="High CTR"/>
    <s v="High"/>
    <s v="Morning"/>
    <n v="3"/>
  </r>
  <r>
    <s v="d3c380c5-11e0-4f4a-8570-05c13d2cada0"/>
    <s v="ea4580c7-cec3-448e-984e-9997ac31027f"/>
    <n v="8291"/>
    <n v="799"/>
    <n v="406"/>
    <n v="38.47"/>
    <n v="12765"/>
    <n v="27367"/>
    <n v="9.26"/>
    <s v="Poll"/>
    <x v="22"/>
    <d v="1899-12-30T08:42:14"/>
    <n v="0.38469999999999999"/>
    <n v="9.2600000000000002E-2"/>
    <n v="9496"/>
    <n v="0.34698724741476961"/>
    <s v="High CTR"/>
    <s v="High"/>
    <s v="Morning"/>
    <n v="3"/>
  </r>
  <r>
    <s v="d3c380c5-11e0-4f4a-8570-05c13d2cada0"/>
    <s v="ea4580c7-cec3-448e-984e-9997ac31027f"/>
    <n v="8291"/>
    <n v="799"/>
    <n v="406"/>
    <n v="38.47"/>
    <n v="12765"/>
    <n v="27367"/>
    <n v="9.26"/>
    <s v="Poll"/>
    <x v="23"/>
    <d v="1899-12-30T08:42:14"/>
    <n v="0.38469999999999999"/>
    <n v="9.2600000000000002E-2"/>
    <n v="9496"/>
    <n v="0.34698724741476961"/>
    <s v="High CTR"/>
    <s v="High"/>
    <s v="Morning"/>
    <n v="3"/>
  </r>
  <r>
    <s v="591bf8fe-8978-4583-a9fb-ea908934b2e2"/>
    <s v="77b6033d-69e6-4bb6-865c-181badb20124"/>
    <n v="692"/>
    <n v="1208"/>
    <n v="828"/>
    <n v="78.459999999999994"/>
    <n v="89131"/>
    <n v="88660"/>
    <n v="3.4"/>
    <s v="Poll"/>
    <x v="24"/>
    <d v="1899-12-30T06:02:16"/>
    <n v="0.78459999999999996"/>
    <n v="3.4000000000000002E-2"/>
    <n v="2728"/>
    <n v="3.0769230769230771E-2"/>
    <s v="High CTR"/>
    <s v="High"/>
    <s v="Morning"/>
    <n v="3"/>
  </r>
  <r>
    <s v="591bf8fe-8978-4583-a9fb-ea908934b2e2"/>
    <s v="77b6033d-69e6-4bb6-865c-181badb20124"/>
    <n v="692"/>
    <n v="1208"/>
    <n v="828"/>
    <n v="78.459999999999994"/>
    <n v="89131"/>
    <n v="88660"/>
    <n v="3.4"/>
    <s v="Poll"/>
    <x v="25"/>
    <d v="1899-12-30T06:02:16"/>
    <n v="0.78459999999999996"/>
    <n v="3.4000000000000002E-2"/>
    <n v="2728"/>
    <n v="3.0769230769230771E-2"/>
    <s v="High CTR"/>
    <s v="High"/>
    <s v="Morning"/>
    <n v="3"/>
  </r>
  <r>
    <s v="591bf8fe-8978-4583-a9fb-ea908934b2e2"/>
    <s v="77b6033d-69e6-4bb6-865c-181badb20124"/>
    <n v="692"/>
    <n v="1208"/>
    <n v="828"/>
    <n v="78.459999999999994"/>
    <n v="89131"/>
    <n v="88660"/>
    <n v="3.4"/>
    <s v="Poll"/>
    <x v="26"/>
    <d v="1899-12-30T06:02:16"/>
    <n v="0.78459999999999996"/>
    <n v="3.4000000000000002E-2"/>
    <n v="2728"/>
    <n v="3.0769230769230771E-2"/>
    <s v="High CTR"/>
    <s v="High"/>
    <s v="Morning"/>
    <n v="3"/>
  </r>
  <r>
    <s v="05e50b5f-e08f-4982-b0f2-e2689917bbe6"/>
    <s v="e4701746-3d4e-4039-a63f-4b3182e6a88e"/>
    <n v="9194"/>
    <n v="969"/>
    <n v="208"/>
    <n v="62.92"/>
    <n v="34702"/>
    <n v="63475"/>
    <n v="8.98"/>
    <s v="Text"/>
    <x v="27"/>
    <d v="1899-12-30T02:24:15"/>
    <n v="0.62919999999999998"/>
    <n v="8.9800000000000005E-2"/>
    <n v="10371"/>
    <n v="0.16338716029933045"/>
    <s v="High CTR"/>
    <s v="High"/>
    <s v="Morning"/>
    <n v="3"/>
  </r>
  <r>
    <s v="05e50b5f-e08f-4982-b0f2-e2689917bbe6"/>
    <s v="e4701746-3d4e-4039-a63f-4b3182e6a88e"/>
    <n v="9194"/>
    <n v="969"/>
    <n v="208"/>
    <n v="62.92"/>
    <n v="34702"/>
    <n v="63475"/>
    <n v="8.98"/>
    <s v="Text"/>
    <x v="28"/>
    <d v="1899-12-30T02:24:15"/>
    <n v="0.62919999999999998"/>
    <n v="8.9800000000000005E-2"/>
    <n v="10371"/>
    <n v="0.16338716029933045"/>
    <s v="High CTR"/>
    <s v="High"/>
    <s v="Morning"/>
    <n v="3"/>
  </r>
  <r>
    <s v="05e50b5f-e08f-4982-b0f2-e2689917bbe6"/>
    <s v="e4701746-3d4e-4039-a63f-4b3182e6a88e"/>
    <n v="9194"/>
    <n v="969"/>
    <n v="208"/>
    <n v="62.92"/>
    <n v="34702"/>
    <n v="63475"/>
    <n v="8.98"/>
    <s v="Text"/>
    <x v="29"/>
    <d v="1899-12-30T02:24:15"/>
    <n v="0.62919999999999998"/>
    <n v="8.9800000000000005E-2"/>
    <n v="10371"/>
    <n v="0.16338716029933045"/>
    <s v="High CTR"/>
    <s v="High"/>
    <s v="Morning"/>
    <n v="3"/>
  </r>
  <r>
    <s v="a19765fc-e339-446d-a475-ccbabe1e1b63"/>
    <s v="f657ac2e-d150-4219-95d1-c088ff29b93c"/>
    <n v="6108"/>
    <n v="2277"/>
    <n v="1086"/>
    <n v="87.33"/>
    <n v="85657"/>
    <n v="90781"/>
    <n v="9.7799999999999994"/>
    <s v="Video"/>
    <x v="30"/>
    <d v="1899-12-30T02:54:58"/>
    <n v="0.87329999999999997"/>
    <n v="9.7799999999999998E-2"/>
    <n v="9471"/>
    <n v="0.10432799814939249"/>
    <s v="High CTR"/>
    <s v="High"/>
    <s v="Morning"/>
    <n v="3"/>
  </r>
  <r>
    <s v="a19765fc-e339-446d-a475-ccbabe1e1b63"/>
    <s v="f657ac2e-d150-4219-95d1-c088ff29b93c"/>
    <n v="6108"/>
    <n v="2277"/>
    <n v="1086"/>
    <n v="87.33"/>
    <n v="85657"/>
    <n v="90781"/>
    <n v="9.7799999999999994"/>
    <s v="Video"/>
    <x v="31"/>
    <d v="1899-12-30T02:54:58"/>
    <n v="0.87329999999999997"/>
    <n v="9.7799999999999998E-2"/>
    <n v="9471"/>
    <n v="0.10432799814939249"/>
    <s v="High CTR"/>
    <s v="High"/>
    <s v="Morning"/>
    <n v="3"/>
  </r>
  <r>
    <s v="a19765fc-e339-446d-a475-ccbabe1e1b63"/>
    <s v="f657ac2e-d150-4219-95d1-c088ff29b93c"/>
    <n v="6108"/>
    <n v="2277"/>
    <n v="1086"/>
    <n v="87.33"/>
    <n v="85657"/>
    <n v="90781"/>
    <n v="9.7799999999999994"/>
    <s v="Video"/>
    <x v="32"/>
    <d v="1899-12-30T02:54:58"/>
    <n v="0.87329999999999997"/>
    <n v="9.7799999999999998E-2"/>
    <n v="9471"/>
    <n v="0.10432799814939249"/>
    <s v="High CTR"/>
    <s v="High"/>
    <s v="Morning"/>
    <n v="3"/>
  </r>
  <r>
    <s v="d589b7aa-246d-4d0f-97b5-dbd13ba56be0"/>
    <s v="bd316bf2-63ba-45c0-bf9b-485ac1087250"/>
    <n v="6048"/>
    <n v="4595"/>
    <n v="1042"/>
    <n v="46.56"/>
    <n v="15739"/>
    <n v="40262"/>
    <n v="3.13"/>
    <s v="Video"/>
    <x v="33"/>
    <d v="1899-12-30T05:43:52"/>
    <n v="0.46560000000000001"/>
    <n v="3.1300000000000001E-2"/>
    <n v="11685"/>
    <n v="0.29022403258655805"/>
    <s v="High CTR"/>
    <s v="High"/>
    <s v="Morning"/>
    <n v="3"/>
  </r>
  <r>
    <s v="d589b7aa-246d-4d0f-97b5-dbd13ba56be0"/>
    <s v="bd316bf2-63ba-45c0-bf9b-485ac1087250"/>
    <n v="6048"/>
    <n v="4595"/>
    <n v="1042"/>
    <n v="46.56"/>
    <n v="15739"/>
    <n v="40262"/>
    <n v="3.13"/>
    <s v="Video"/>
    <x v="34"/>
    <d v="1899-12-30T05:43:52"/>
    <n v="0.46560000000000001"/>
    <n v="3.1300000000000001E-2"/>
    <n v="11685"/>
    <n v="0.29022403258655805"/>
    <s v="High CTR"/>
    <s v="High"/>
    <s v="Morning"/>
    <n v="3"/>
  </r>
  <r>
    <s v="d589b7aa-246d-4d0f-97b5-dbd13ba56be0"/>
    <s v="bd316bf2-63ba-45c0-bf9b-485ac1087250"/>
    <n v="6048"/>
    <n v="4595"/>
    <n v="1042"/>
    <n v="46.56"/>
    <n v="15739"/>
    <n v="40262"/>
    <n v="3.13"/>
    <s v="Video"/>
    <x v="35"/>
    <d v="1899-12-30T05:43:52"/>
    <n v="0.46560000000000001"/>
    <n v="3.1300000000000001E-2"/>
    <n v="11685"/>
    <n v="0.29022403258655805"/>
    <s v="High CTR"/>
    <s v="High"/>
    <s v="Morning"/>
    <n v="3"/>
  </r>
  <r>
    <s v="f4b65ba5-c9d9-4822-ac04-128de73dbe4f"/>
    <s v="5b890583-3788-41a3-89b7-5b0f34d12d1c"/>
    <n v="8594"/>
    <n v="440"/>
    <n v="840"/>
    <n v="20.68"/>
    <n v="88445"/>
    <n v="4445"/>
    <n v="8.01"/>
    <s v="Video"/>
    <x v="36"/>
    <d v="1899-12-30T08:34:19"/>
    <n v="0.20679999999999998"/>
    <n v="8.0100000000000005E-2"/>
    <n v="9874"/>
    <n v="1"/>
    <s v="High CTR"/>
    <s v="High"/>
    <s v="Morning"/>
    <n v="3"/>
  </r>
  <r>
    <s v="f4b65ba5-c9d9-4822-ac04-128de73dbe4f"/>
    <s v="5b890583-3788-41a3-89b7-5b0f34d12d1c"/>
    <n v="8594"/>
    <n v="440"/>
    <n v="840"/>
    <n v="20.68"/>
    <n v="88445"/>
    <n v="4445"/>
    <n v="8.01"/>
    <s v="Video"/>
    <x v="37"/>
    <d v="1899-12-30T08:34:19"/>
    <n v="0.20679999999999998"/>
    <n v="8.0100000000000005E-2"/>
    <n v="9874"/>
    <n v="1"/>
    <s v="High CTR"/>
    <s v="High"/>
    <s v="Morning"/>
    <n v="3"/>
  </r>
  <r>
    <s v="f4b65ba5-c9d9-4822-ac04-128de73dbe4f"/>
    <s v="5b890583-3788-41a3-89b7-5b0f34d12d1c"/>
    <n v="8594"/>
    <n v="440"/>
    <n v="840"/>
    <n v="20.68"/>
    <n v="88445"/>
    <n v="4445"/>
    <n v="8.01"/>
    <s v="Video"/>
    <x v="38"/>
    <d v="1899-12-30T08:34:19"/>
    <n v="0.20679999999999998"/>
    <n v="8.0100000000000005E-2"/>
    <n v="9874"/>
    <n v="1"/>
    <s v="High CTR"/>
    <s v="High"/>
    <s v="Morning"/>
    <n v="3"/>
  </r>
  <r>
    <s v="b5a5793c-c356-4106-ae47-a3564b257814"/>
    <s v="a418acad-9dfe-465f-b0ed-6886a4f026cd"/>
    <n v="2935"/>
    <n v="4061"/>
    <n v="236"/>
    <n v="81.680000000000007"/>
    <n v="52411"/>
    <n v="2887"/>
    <n v="1.87"/>
    <s v="Text"/>
    <x v="39"/>
    <d v="1899-12-30T08:55:41"/>
    <n v="0.81680000000000008"/>
    <n v="1.8700000000000001E-2"/>
    <n v="7232"/>
    <n v="1"/>
    <s v="High CTR"/>
    <s v="High"/>
    <s v="Morning"/>
    <n v="3"/>
  </r>
  <r>
    <s v="b5a5793c-c356-4106-ae47-a3564b257814"/>
    <s v="a418acad-9dfe-465f-b0ed-6886a4f026cd"/>
    <n v="2935"/>
    <n v="4061"/>
    <n v="236"/>
    <n v="81.680000000000007"/>
    <n v="52411"/>
    <n v="2887"/>
    <n v="1.87"/>
    <s v="Text"/>
    <x v="40"/>
    <d v="1899-12-30T08:55:41"/>
    <n v="0.81680000000000008"/>
    <n v="1.8700000000000001E-2"/>
    <n v="7232"/>
    <n v="1"/>
    <s v="High CTR"/>
    <s v="High"/>
    <s v="Morning"/>
    <n v="3"/>
  </r>
  <r>
    <s v="b5a5793c-c356-4106-ae47-a3564b257814"/>
    <s v="a418acad-9dfe-465f-b0ed-6886a4f026cd"/>
    <n v="2935"/>
    <n v="4061"/>
    <n v="236"/>
    <n v="81.680000000000007"/>
    <n v="52411"/>
    <n v="2887"/>
    <n v="1.87"/>
    <s v="Text"/>
    <x v="41"/>
    <d v="1899-12-30T08:55:41"/>
    <n v="0.81680000000000008"/>
    <n v="1.8700000000000001E-2"/>
    <n v="7232"/>
    <n v="1"/>
    <s v="High CTR"/>
    <s v="High"/>
    <s v="Morning"/>
    <n v="3"/>
  </r>
  <r>
    <s v="dfb9ee43-e2bc-4637-9e51-374994cf9d47"/>
    <s v="71f710a0-ec41-43db-bcd6-75aa23b4cbd1"/>
    <n v="2303"/>
    <n v="1120"/>
    <n v="1660"/>
    <n v="53.48"/>
    <n v="78543"/>
    <n v="46720"/>
    <n v="1.25"/>
    <s v="Image"/>
    <x v="42"/>
    <d v="1899-12-30T22:21:05"/>
    <n v="0.53479999999999994"/>
    <n v="1.2500000000000001E-2"/>
    <n v="5083"/>
    <n v="0.10879708904109589"/>
    <s v="High CTR"/>
    <s v="High"/>
    <s v="Night"/>
    <n v="3"/>
  </r>
  <r>
    <s v="dfb9ee43-e2bc-4637-9e51-374994cf9d47"/>
    <s v="71f710a0-ec41-43db-bcd6-75aa23b4cbd1"/>
    <n v="2303"/>
    <n v="1120"/>
    <n v="1660"/>
    <n v="53.48"/>
    <n v="78543"/>
    <n v="46720"/>
    <n v="1.25"/>
    <s v="Image"/>
    <x v="43"/>
    <d v="1899-12-30T22:21:05"/>
    <n v="0.53479999999999994"/>
    <n v="1.2500000000000001E-2"/>
    <n v="5083"/>
    <n v="0.10879708904109589"/>
    <s v="High CTR"/>
    <s v="High"/>
    <s v="Night"/>
    <n v="3"/>
  </r>
  <r>
    <s v="dfb9ee43-e2bc-4637-9e51-374994cf9d47"/>
    <s v="71f710a0-ec41-43db-bcd6-75aa23b4cbd1"/>
    <n v="2303"/>
    <n v="1120"/>
    <n v="1660"/>
    <n v="53.48"/>
    <n v="78543"/>
    <n v="46720"/>
    <n v="1.25"/>
    <s v="Image"/>
    <x v="44"/>
    <d v="1899-12-30T22:21:05"/>
    <n v="0.53479999999999994"/>
    <n v="1.2500000000000001E-2"/>
    <n v="5083"/>
    <n v="0.10879708904109589"/>
    <s v="High CTR"/>
    <s v="High"/>
    <s v="Night"/>
    <n v="3"/>
  </r>
  <r>
    <s v="a579f475-2212-4372-bc68-0578aa260bee"/>
    <s v="d19c4bdd-f1e7-4f26-b86d-efe7031d8013"/>
    <n v="3729"/>
    <n v="931"/>
    <n v="1022"/>
    <n v="69.540000000000006"/>
    <n v="78370"/>
    <n v="37690"/>
    <n v="1.95"/>
    <s v="Text"/>
    <x v="45"/>
    <d v="1899-12-30T16:39:17"/>
    <n v="0.69540000000000002"/>
    <n v="1.95E-2"/>
    <n v="5682"/>
    <n v="0.1507561687450252"/>
    <s v="High CTR"/>
    <s v="High"/>
    <s v="Afternoon"/>
    <n v="3"/>
  </r>
  <r>
    <s v="a579f475-2212-4372-bc68-0578aa260bee"/>
    <s v="d19c4bdd-f1e7-4f26-b86d-efe7031d8013"/>
    <n v="3729"/>
    <n v="931"/>
    <n v="1022"/>
    <n v="69.540000000000006"/>
    <n v="78370"/>
    <n v="37690"/>
    <n v="1.95"/>
    <s v="Text"/>
    <x v="46"/>
    <d v="1899-12-30T16:39:17"/>
    <n v="0.69540000000000002"/>
    <n v="1.95E-2"/>
    <n v="5682"/>
    <n v="0.1507561687450252"/>
    <s v="High CTR"/>
    <s v="High"/>
    <s v="Afternoon"/>
    <n v="3"/>
  </r>
  <r>
    <s v="a579f475-2212-4372-bc68-0578aa260bee"/>
    <s v="d19c4bdd-f1e7-4f26-b86d-efe7031d8013"/>
    <n v="3729"/>
    <n v="931"/>
    <n v="1022"/>
    <n v="69.540000000000006"/>
    <n v="78370"/>
    <n v="37690"/>
    <n v="1.95"/>
    <s v="Text"/>
    <x v="47"/>
    <d v="1899-12-30T16:39:17"/>
    <n v="0.69540000000000002"/>
    <n v="1.95E-2"/>
    <n v="5682"/>
    <n v="0.1507561687450252"/>
    <s v="High CTR"/>
    <s v="High"/>
    <s v="Afternoon"/>
    <n v="3"/>
  </r>
  <r>
    <s v="005482ad-eaba-4edb-aab7-aa499f166c6f"/>
    <s v="43f24776-07f6-4b4d-a860-ffbeca80ab0d"/>
    <n v="4987"/>
    <n v="4164"/>
    <n v="669"/>
    <n v="81"/>
    <n v="63915"/>
    <n v="68362"/>
    <n v="5.37"/>
    <s v="Image"/>
    <x v="48"/>
    <d v="1899-12-30T13:32:34"/>
    <n v="0.81"/>
    <n v="5.3699999999999998E-2"/>
    <n v="9820"/>
    <n v="0.14364705538164477"/>
    <s v="High CTR"/>
    <s v="High"/>
    <s v="Afternoon"/>
    <n v="3"/>
  </r>
  <r>
    <s v="005482ad-eaba-4edb-aab7-aa499f166c6f"/>
    <s v="43f24776-07f6-4b4d-a860-ffbeca80ab0d"/>
    <n v="4987"/>
    <n v="4164"/>
    <n v="669"/>
    <n v="81"/>
    <n v="63915"/>
    <n v="68362"/>
    <n v="5.37"/>
    <s v="Image"/>
    <x v="20"/>
    <d v="1899-12-30T13:32:34"/>
    <n v="0.81"/>
    <n v="5.3699999999999998E-2"/>
    <n v="9820"/>
    <n v="0.14364705538164477"/>
    <s v="High CTR"/>
    <s v="High"/>
    <s v="Afternoon"/>
    <n v="3"/>
  </r>
  <r>
    <s v="005482ad-eaba-4edb-aab7-aa499f166c6f"/>
    <s v="43f24776-07f6-4b4d-a860-ffbeca80ab0d"/>
    <n v="4987"/>
    <n v="4164"/>
    <n v="669"/>
    <n v="81"/>
    <n v="63915"/>
    <n v="68362"/>
    <n v="5.37"/>
    <s v="Image"/>
    <x v="49"/>
    <d v="1899-12-30T13:32:34"/>
    <n v="0.81"/>
    <n v="5.3699999999999998E-2"/>
    <n v="9820"/>
    <n v="0.14364705538164477"/>
    <s v="High CTR"/>
    <s v="High"/>
    <s v="Afternoon"/>
    <n v="3"/>
  </r>
  <r>
    <s v="f72ebd83-fef6-4eb1-9415-0e2267779a5f"/>
    <s v="5003e665-c1ad-4994-9de5-595acfa3d796"/>
    <n v="381"/>
    <n v="3180"/>
    <n v="1841"/>
    <n v="12.44"/>
    <n v="7553"/>
    <n v="92301"/>
    <n v="7.04"/>
    <s v="Image"/>
    <x v="50"/>
    <d v="1899-12-30T02:20:18"/>
    <n v="0.1244"/>
    <n v="7.0400000000000004E-2"/>
    <n v="5402"/>
    <n v="5.8525909795126813E-2"/>
    <s v="High CTR"/>
    <s v="High"/>
    <s v="Morning"/>
    <n v="3"/>
  </r>
  <r>
    <s v="f72ebd83-fef6-4eb1-9415-0e2267779a5f"/>
    <s v="5003e665-c1ad-4994-9de5-595acfa3d796"/>
    <n v="381"/>
    <n v="3180"/>
    <n v="1841"/>
    <n v="12.44"/>
    <n v="7553"/>
    <n v="92301"/>
    <n v="7.04"/>
    <s v="Image"/>
    <x v="51"/>
    <d v="1899-12-30T02:20:18"/>
    <n v="0.1244"/>
    <n v="7.0400000000000004E-2"/>
    <n v="5402"/>
    <n v="5.8525909795126813E-2"/>
    <s v="High CTR"/>
    <s v="High"/>
    <s v="Morning"/>
    <n v="3"/>
  </r>
  <r>
    <s v="f72ebd83-fef6-4eb1-9415-0e2267779a5f"/>
    <s v="5003e665-c1ad-4994-9de5-595acfa3d796"/>
    <n v="381"/>
    <n v="3180"/>
    <n v="1841"/>
    <n v="12.44"/>
    <n v="7553"/>
    <n v="92301"/>
    <n v="7.04"/>
    <s v="Image"/>
    <x v="52"/>
    <d v="1899-12-30T02:20:18"/>
    <n v="0.1244"/>
    <n v="7.0400000000000004E-2"/>
    <n v="5402"/>
    <n v="5.8525909795126813E-2"/>
    <s v="High CTR"/>
    <s v="High"/>
    <s v="Morning"/>
    <n v="3"/>
  </r>
  <r>
    <s v="71f35d59-b999-411e-a19e-965ac1677431"/>
    <s v="a12d10cc-1538-49cc-8b51-1db7fa4d4de8"/>
    <n v="3483"/>
    <n v="2605"/>
    <n v="253"/>
    <n v="50.43"/>
    <n v="88323"/>
    <n v="52593"/>
    <n v="7.22"/>
    <s v="Video"/>
    <x v="53"/>
    <d v="1899-12-30T12:55:38"/>
    <n v="0.50429999999999997"/>
    <n v="7.22E-2"/>
    <n v="6341"/>
    <n v="0.12056737588652482"/>
    <s v="High CTR"/>
    <s v="High"/>
    <s v="Afternoon"/>
    <n v="3"/>
  </r>
  <r>
    <s v="71f35d59-b999-411e-a19e-965ac1677431"/>
    <s v="a12d10cc-1538-49cc-8b51-1db7fa4d4de8"/>
    <n v="3483"/>
    <n v="2605"/>
    <n v="253"/>
    <n v="50.43"/>
    <n v="88323"/>
    <n v="52593"/>
    <n v="7.22"/>
    <s v="Video"/>
    <x v="54"/>
    <d v="1899-12-30T12:55:38"/>
    <n v="0.50429999999999997"/>
    <n v="7.22E-2"/>
    <n v="6341"/>
    <n v="0.12056737588652482"/>
    <s v="High CTR"/>
    <s v="High"/>
    <s v="Afternoon"/>
    <n v="3"/>
  </r>
  <r>
    <s v="71f35d59-b999-411e-a19e-965ac1677431"/>
    <s v="a12d10cc-1538-49cc-8b51-1db7fa4d4de8"/>
    <n v="3483"/>
    <n v="2605"/>
    <n v="253"/>
    <n v="50.43"/>
    <n v="88323"/>
    <n v="52593"/>
    <n v="7.22"/>
    <s v="Video"/>
    <x v="55"/>
    <d v="1899-12-30T12:55:38"/>
    <n v="0.50429999999999997"/>
    <n v="7.22E-2"/>
    <n v="6341"/>
    <n v="0.12056737588652482"/>
    <s v="High CTR"/>
    <s v="High"/>
    <s v="Afternoon"/>
    <n v="3"/>
  </r>
  <r>
    <s v="3bee4455-c6b6-4d1b-9021-1148d5656bdf"/>
    <s v="7b78f565-bad2-4d59-b337-91f36e030878"/>
    <n v="118"/>
    <n v="3048"/>
    <n v="918"/>
    <n v="4.2699999999999996"/>
    <n v="19881"/>
    <n v="41902"/>
    <n v="2.35"/>
    <s v="Poll"/>
    <x v="56"/>
    <d v="1899-12-30T20:09:12"/>
    <n v="4.2699999999999995E-2"/>
    <n v="2.35E-2"/>
    <n v="4084"/>
    <n v="9.7465514772564557E-2"/>
    <s v="High CTR"/>
    <s v="High"/>
    <s v="Evening"/>
    <n v="3"/>
  </r>
  <r>
    <s v="3bee4455-c6b6-4d1b-9021-1148d5656bdf"/>
    <s v="7b78f565-bad2-4d59-b337-91f36e030878"/>
    <n v="118"/>
    <n v="3048"/>
    <n v="918"/>
    <n v="4.2699999999999996"/>
    <n v="19881"/>
    <n v="41902"/>
    <n v="2.35"/>
    <s v="Poll"/>
    <x v="57"/>
    <d v="1899-12-30T20:09:12"/>
    <n v="4.2699999999999995E-2"/>
    <n v="2.35E-2"/>
    <n v="4084"/>
    <n v="9.7465514772564557E-2"/>
    <s v="High CTR"/>
    <s v="High"/>
    <s v="Evening"/>
    <n v="3"/>
  </r>
  <r>
    <s v="3bee4455-c6b6-4d1b-9021-1148d5656bdf"/>
    <s v="7b78f565-bad2-4d59-b337-91f36e030878"/>
    <n v="118"/>
    <n v="3048"/>
    <n v="918"/>
    <n v="4.2699999999999996"/>
    <n v="19881"/>
    <n v="41902"/>
    <n v="2.35"/>
    <s v="Poll"/>
    <x v="58"/>
    <d v="1899-12-30T20:09:12"/>
    <n v="4.2699999999999995E-2"/>
    <n v="2.35E-2"/>
    <n v="4084"/>
    <n v="9.7465514772564557E-2"/>
    <s v="High CTR"/>
    <s v="High"/>
    <s v="Evening"/>
    <n v="3"/>
  </r>
  <r>
    <s v="4203fb47-0fcb-4418-85ba-7d4236f705e4"/>
    <s v="488e1ef3-6f9b-40cf-83c9-40305f720feb"/>
    <n v="530"/>
    <n v="858"/>
    <n v="1273"/>
    <n v="27.99"/>
    <n v="75502"/>
    <n v="39879"/>
    <n v="5.89"/>
    <s v="Text"/>
    <x v="59"/>
    <d v="1899-12-30T04:23:50"/>
    <n v="0.27989999999999998"/>
    <n v="5.8899999999999994E-2"/>
    <n v="2661"/>
    <n v="6.6726848717370044E-2"/>
    <s v="High CTR"/>
    <s v="High"/>
    <s v="Morning"/>
    <n v="3"/>
  </r>
  <r>
    <s v="4203fb47-0fcb-4418-85ba-7d4236f705e4"/>
    <s v="488e1ef3-6f9b-40cf-83c9-40305f720feb"/>
    <n v="530"/>
    <n v="858"/>
    <n v="1273"/>
    <n v="27.99"/>
    <n v="75502"/>
    <n v="39879"/>
    <n v="5.89"/>
    <s v="Text"/>
    <x v="60"/>
    <d v="1899-12-30T04:23:50"/>
    <n v="0.27989999999999998"/>
    <n v="5.8899999999999994E-2"/>
    <n v="2661"/>
    <n v="6.6726848717370044E-2"/>
    <s v="High CTR"/>
    <s v="High"/>
    <s v="Morning"/>
    <n v="3"/>
  </r>
  <r>
    <s v="4203fb47-0fcb-4418-85ba-7d4236f705e4"/>
    <s v="488e1ef3-6f9b-40cf-83c9-40305f720feb"/>
    <n v="530"/>
    <n v="858"/>
    <n v="1273"/>
    <n v="27.99"/>
    <n v="75502"/>
    <n v="39879"/>
    <n v="5.89"/>
    <s v="Text"/>
    <x v="61"/>
    <d v="1899-12-30T04:23:50"/>
    <n v="0.27989999999999998"/>
    <n v="5.8899999999999994E-2"/>
    <n v="2661"/>
    <n v="6.6726848717370044E-2"/>
    <s v="High CTR"/>
    <s v="High"/>
    <s v="Morning"/>
    <n v="3"/>
  </r>
  <r>
    <s v="259732c8-a99a-49ea-b529-d824537b4749"/>
    <s v="c8102d0f-0720-4679-b7d9-64aad7ef69a6"/>
    <n v="7882"/>
    <n v="909"/>
    <n v="732"/>
    <n v="46.35"/>
    <n v="67482"/>
    <n v="48480"/>
    <n v="1.47"/>
    <s v="Text"/>
    <x v="62"/>
    <d v="1899-12-30T11:06:31"/>
    <n v="0.46350000000000002"/>
    <n v="1.47E-2"/>
    <n v="9523"/>
    <n v="0.19643151815181517"/>
    <s v="High CTR"/>
    <s v="High"/>
    <s v="Morning"/>
    <n v="3"/>
  </r>
  <r>
    <s v="259732c8-a99a-49ea-b529-d824537b4749"/>
    <s v="c8102d0f-0720-4679-b7d9-64aad7ef69a6"/>
    <n v="7882"/>
    <n v="909"/>
    <n v="732"/>
    <n v="46.35"/>
    <n v="67482"/>
    <n v="48480"/>
    <n v="1.47"/>
    <s v="Text"/>
    <x v="63"/>
    <d v="1899-12-30T11:06:31"/>
    <n v="0.46350000000000002"/>
    <n v="1.47E-2"/>
    <n v="9523"/>
    <n v="0.19643151815181517"/>
    <s v="High CTR"/>
    <s v="High"/>
    <s v="Morning"/>
    <n v="3"/>
  </r>
  <r>
    <s v="259732c8-a99a-49ea-b529-d824537b4749"/>
    <s v="c8102d0f-0720-4679-b7d9-64aad7ef69a6"/>
    <n v="7882"/>
    <n v="909"/>
    <n v="732"/>
    <n v="46.35"/>
    <n v="67482"/>
    <n v="48480"/>
    <n v="1.47"/>
    <s v="Text"/>
    <x v="64"/>
    <d v="1899-12-30T11:06:31"/>
    <n v="0.46350000000000002"/>
    <n v="1.47E-2"/>
    <n v="9523"/>
    <n v="0.19643151815181517"/>
    <s v="High CTR"/>
    <s v="High"/>
    <s v="Morning"/>
    <n v="3"/>
  </r>
  <r>
    <s v="161a3474-19ad-42ff-80f7-102bb2d6612e"/>
    <s v="2c5e8578-bba0-4382-9b63-a2d0141e321a"/>
    <n v="7085"/>
    <n v="3616"/>
    <n v="741"/>
    <n v="11.84"/>
    <n v="78533"/>
    <n v="12572"/>
    <n v="3.22"/>
    <s v="Image"/>
    <x v="65"/>
    <d v="1899-12-30T17:59:36"/>
    <n v="0.11840000000000001"/>
    <n v="3.2199999999999999E-2"/>
    <n v="11442"/>
    <n v="0.91011772192173079"/>
    <s v="High CTR"/>
    <s v="High"/>
    <s v="Evening"/>
    <n v="3"/>
  </r>
  <r>
    <s v="161a3474-19ad-42ff-80f7-102bb2d6612e"/>
    <s v="2c5e8578-bba0-4382-9b63-a2d0141e321a"/>
    <n v="7085"/>
    <n v="3616"/>
    <n v="741"/>
    <n v="11.84"/>
    <n v="78533"/>
    <n v="12572"/>
    <n v="3.22"/>
    <s v="Image"/>
    <x v="66"/>
    <d v="1899-12-30T17:59:36"/>
    <n v="0.11840000000000001"/>
    <n v="3.2199999999999999E-2"/>
    <n v="11442"/>
    <n v="0.91011772192173079"/>
    <s v="High CTR"/>
    <s v="High"/>
    <s v="Evening"/>
    <n v="3"/>
  </r>
  <r>
    <s v="161a3474-19ad-42ff-80f7-102bb2d6612e"/>
    <s v="2c5e8578-bba0-4382-9b63-a2d0141e321a"/>
    <n v="7085"/>
    <n v="3616"/>
    <n v="741"/>
    <n v="11.84"/>
    <n v="78533"/>
    <n v="12572"/>
    <n v="3.22"/>
    <s v="Image"/>
    <x v="67"/>
    <d v="1899-12-30T17:59:36"/>
    <n v="0.11840000000000001"/>
    <n v="3.2199999999999999E-2"/>
    <n v="11442"/>
    <n v="0.91011772192173079"/>
    <s v="High CTR"/>
    <s v="High"/>
    <s v="Evening"/>
    <n v="3"/>
  </r>
  <r>
    <s v="641eca4b-26b1-4902-b685-37fe1bae36c3"/>
    <s v="d47e2036-85e5-43e4-aad3-687f70d2d960"/>
    <n v="9218"/>
    <n v="1560"/>
    <n v="93"/>
    <n v="68.12"/>
    <n v="60329"/>
    <n v="76227"/>
    <n v="8.66"/>
    <s v="Video"/>
    <x v="68"/>
    <d v="1899-12-30T19:21:11"/>
    <n v="0.68120000000000003"/>
    <n v="8.6599999999999996E-2"/>
    <n v="10871"/>
    <n v="0.14261350964881211"/>
    <s v="High CTR"/>
    <s v="High"/>
    <s v="Evening"/>
    <n v="3"/>
  </r>
  <r>
    <s v="641eca4b-26b1-4902-b685-37fe1bae36c3"/>
    <s v="d47e2036-85e5-43e4-aad3-687f70d2d960"/>
    <n v="9218"/>
    <n v="1560"/>
    <n v="93"/>
    <n v="68.12"/>
    <n v="60329"/>
    <n v="76227"/>
    <n v="8.66"/>
    <s v="Video"/>
    <x v="69"/>
    <d v="1899-12-30T19:21:11"/>
    <n v="0.68120000000000003"/>
    <n v="8.6599999999999996E-2"/>
    <n v="10871"/>
    <n v="0.14261350964881211"/>
    <s v="High CTR"/>
    <s v="High"/>
    <s v="Evening"/>
    <n v="3"/>
  </r>
  <r>
    <s v="641eca4b-26b1-4902-b685-37fe1bae36c3"/>
    <s v="d47e2036-85e5-43e4-aad3-687f70d2d960"/>
    <n v="9218"/>
    <n v="1560"/>
    <n v="93"/>
    <n v="68.12"/>
    <n v="60329"/>
    <n v="76227"/>
    <n v="8.66"/>
    <s v="Video"/>
    <x v="70"/>
    <d v="1899-12-30T19:21:11"/>
    <n v="0.68120000000000003"/>
    <n v="8.6599999999999996E-2"/>
    <n v="10871"/>
    <n v="0.14261350964881211"/>
    <s v="High CTR"/>
    <s v="High"/>
    <s v="Evening"/>
    <n v="3"/>
  </r>
  <r>
    <s v="1ac38d57-9b8b-4973-9141-74feb4446a38"/>
    <s v="00d9a80d-efc9-4838-bfaa-d088051b9b95"/>
    <n v="1220"/>
    <n v="633"/>
    <n v="986"/>
    <n v="2.65"/>
    <n v="57353"/>
    <n v="86163"/>
    <n v="2.31"/>
    <s v="Poll"/>
    <x v="71"/>
    <d v="1899-12-30T07:00:27"/>
    <n v="2.6499999999999999E-2"/>
    <n v="2.3099999999999999E-2"/>
    <n v="2839"/>
    <n v="3.2949177721295686E-2"/>
    <s v="High CTR"/>
    <s v="High"/>
    <s v="Morning"/>
    <n v="3"/>
  </r>
  <r>
    <s v="1ac38d57-9b8b-4973-9141-74feb4446a38"/>
    <s v="00d9a80d-efc9-4838-bfaa-d088051b9b95"/>
    <n v="1220"/>
    <n v="633"/>
    <n v="986"/>
    <n v="2.65"/>
    <n v="57353"/>
    <n v="86163"/>
    <n v="2.31"/>
    <s v="Poll"/>
    <x v="72"/>
    <d v="1899-12-30T07:00:27"/>
    <n v="2.6499999999999999E-2"/>
    <n v="2.3099999999999999E-2"/>
    <n v="2839"/>
    <n v="3.2949177721295686E-2"/>
    <s v="High CTR"/>
    <s v="High"/>
    <s v="Morning"/>
    <n v="3"/>
  </r>
  <r>
    <s v="1ac38d57-9b8b-4973-9141-74feb4446a38"/>
    <s v="00d9a80d-efc9-4838-bfaa-d088051b9b95"/>
    <n v="1220"/>
    <n v="633"/>
    <n v="986"/>
    <n v="2.65"/>
    <n v="57353"/>
    <n v="86163"/>
    <n v="2.31"/>
    <s v="Poll"/>
    <x v="41"/>
    <d v="1899-12-30T07:00:27"/>
    <n v="2.6499999999999999E-2"/>
    <n v="2.3099999999999999E-2"/>
    <n v="2839"/>
    <n v="3.2949177721295686E-2"/>
    <s v="High CTR"/>
    <s v="High"/>
    <s v="Morning"/>
    <n v="3"/>
  </r>
  <r>
    <s v="2b8b2f74-19a2-4daa-85ae-37d43bb66f97"/>
    <s v="fe2af74d-14d4-420d-9cb2-73056ba20d51"/>
    <n v="2093"/>
    <n v="4157"/>
    <n v="215"/>
    <n v="30.6"/>
    <n v="97819"/>
    <n v="48911"/>
    <n v="0.6"/>
    <s v="Video"/>
    <x v="73"/>
    <d v="1899-12-30T00:25:18"/>
    <n v="0.30599999999999999"/>
    <n v="6.0000000000000001E-3"/>
    <n v="6465"/>
    <n v="0.13217885547218416"/>
    <s v="High CTR"/>
    <s v="High"/>
    <s v="Morning"/>
    <n v="3"/>
  </r>
  <r>
    <s v="2b8b2f74-19a2-4daa-85ae-37d43bb66f97"/>
    <s v="fe2af74d-14d4-420d-9cb2-73056ba20d51"/>
    <n v="2093"/>
    <n v="4157"/>
    <n v="215"/>
    <n v="30.6"/>
    <n v="97819"/>
    <n v="48911"/>
    <n v="0.6"/>
    <s v="Video"/>
    <x v="74"/>
    <d v="1899-12-30T00:25:18"/>
    <n v="0.30599999999999999"/>
    <n v="6.0000000000000001E-3"/>
    <n v="6465"/>
    <n v="0.13217885547218416"/>
    <s v="High CTR"/>
    <s v="High"/>
    <s v="Morning"/>
    <n v="3"/>
  </r>
  <r>
    <s v="2b8b2f74-19a2-4daa-85ae-37d43bb66f97"/>
    <s v="fe2af74d-14d4-420d-9cb2-73056ba20d51"/>
    <n v="2093"/>
    <n v="4157"/>
    <n v="215"/>
    <n v="30.6"/>
    <n v="97819"/>
    <n v="48911"/>
    <n v="0.6"/>
    <s v="Video"/>
    <x v="75"/>
    <d v="1899-12-30T00:25:18"/>
    <n v="0.30599999999999999"/>
    <n v="6.0000000000000001E-3"/>
    <n v="6465"/>
    <n v="0.13217885547218416"/>
    <s v="High CTR"/>
    <s v="High"/>
    <s v="Morning"/>
    <n v="3"/>
  </r>
  <r>
    <s v="fef10df4-d34c-4d00-9267-a4f577eb06b5"/>
    <s v="085d99d0-7744-42a7-8d57-7cd0443ef524"/>
    <n v="7397"/>
    <n v="604"/>
    <n v="550"/>
    <n v="0.48"/>
    <n v="96991"/>
    <n v="49236"/>
    <n v="1.25"/>
    <s v="Image"/>
    <x v="76"/>
    <d v="1899-12-30T14:22:54"/>
    <n v="4.7999999999999996E-3"/>
    <n v="1.2500000000000001E-2"/>
    <n v="8551"/>
    <n v="0.17367373466569178"/>
    <s v="High CTR"/>
    <s v="High"/>
    <s v="Afternoon"/>
    <n v="3"/>
  </r>
  <r>
    <s v="fef10df4-d34c-4d00-9267-a4f577eb06b5"/>
    <s v="085d99d0-7744-42a7-8d57-7cd0443ef524"/>
    <n v="7397"/>
    <n v="604"/>
    <n v="550"/>
    <n v="0.48"/>
    <n v="96991"/>
    <n v="49236"/>
    <n v="1.25"/>
    <s v="Image"/>
    <x v="77"/>
    <d v="1899-12-30T14:22:54"/>
    <n v="4.7999999999999996E-3"/>
    <n v="1.2500000000000001E-2"/>
    <n v="8551"/>
    <n v="0.17367373466569178"/>
    <s v="High CTR"/>
    <s v="High"/>
    <s v="Afternoon"/>
    <n v="3"/>
  </r>
  <r>
    <s v="fef10df4-d34c-4d00-9267-a4f577eb06b5"/>
    <s v="085d99d0-7744-42a7-8d57-7cd0443ef524"/>
    <n v="7397"/>
    <n v="604"/>
    <n v="550"/>
    <n v="0.48"/>
    <n v="96991"/>
    <n v="49236"/>
    <n v="1.25"/>
    <s v="Image"/>
    <x v="78"/>
    <d v="1899-12-30T14:22:54"/>
    <n v="4.7999999999999996E-3"/>
    <n v="1.2500000000000001E-2"/>
    <n v="8551"/>
    <n v="0.17367373466569178"/>
    <s v="High CTR"/>
    <s v="High"/>
    <s v="Afternoon"/>
    <n v="3"/>
  </r>
  <r>
    <s v="f3048eb4-63de-4c8c-99ca-c72e8598dc2a"/>
    <s v="df1f9a06-14dd-42f2-a807-c4a99bb83f88"/>
    <n v="9911"/>
    <n v="496"/>
    <n v="94"/>
    <n v="64.22"/>
    <n v="9397"/>
    <n v="70992"/>
    <n v="9.09"/>
    <s v="Poll"/>
    <x v="79"/>
    <d v="1899-12-30T03:47:32"/>
    <n v="0.64219999999999999"/>
    <n v="9.0899999999999995E-2"/>
    <n v="10501"/>
    <n v="0.14791807527608744"/>
    <s v="High CTR"/>
    <s v="High"/>
    <s v="Morning"/>
    <n v="3"/>
  </r>
  <r>
    <s v="f3048eb4-63de-4c8c-99ca-c72e8598dc2a"/>
    <s v="df1f9a06-14dd-42f2-a807-c4a99bb83f88"/>
    <n v="9911"/>
    <n v="496"/>
    <n v="94"/>
    <n v="64.22"/>
    <n v="9397"/>
    <n v="70992"/>
    <n v="9.09"/>
    <s v="Poll"/>
    <x v="80"/>
    <d v="1899-12-30T03:47:32"/>
    <n v="0.64219999999999999"/>
    <n v="9.0899999999999995E-2"/>
    <n v="10501"/>
    <n v="0.14791807527608744"/>
    <s v="High CTR"/>
    <s v="High"/>
    <s v="Morning"/>
    <n v="3"/>
  </r>
  <r>
    <s v="f3048eb4-63de-4c8c-99ca-c72e8598dc2a"/>
    <s v="df1f9a06-14dd-42f2-a807-c4a99bb83f88"/>
    <n v="9911"/>
    <n v="496"/>
    <n v="94"/>
    <n v="64.22"/>
    <n v="9397"/>
    <n v="70992"/>
    <n v="9.09"/>
    <s v="Poll"/>
    <x v="81"/>
    <d v="1899-12-30T03:47:32"/>
    <n v="0.64219999999999999"/>
    <n v="9.0899999999999995E-2"/>
    <n v="10501"/>
    <n v="0.14791807527608744"/>
    <s v="High CTR"/>
    <s v="High"/>
    <s v="Morning"/>
    <n v="3"/>
  </r>
  <r>
    <s v="30dac416-b621-4f18-8b70-2c44e0fcd8bc"/>
    <s v="82966997-f7f9-4e6c-8ae7-07b50c02d8d8"/>
    <n v="4882"/>
    <n v="50"/>
    <n v="940"/>
    <n v="23.02"/>
    <n v="86682"/>
    <n v="66464"/>
    <n v="2"/>
    <s v="Poll"/>
    <x v="82"/>
    <d v="1899-12-30T18:46:18"/>
    <n v="0.23019999999999999"/>
    <n v="0.02"/>
    <n v="5872"/>
    <n v="8.8348579682233988E-2"/>
    <s v="High CTR"/>
    <s v="High"/>
    <s v="Evening"/>
    <n v="3"/>
  </r>
  <r>
    <s v="30dac416-b621-4f18-8b70-2c44e0fcd8bc"/>
    <s v="82966997-f7f9-4e6c-8ae7-07b50c02d8d8"/>
    <n v="4882"/>
    <n v="50"/>
    <n v="940"/>
    <n v="23.02"/>
    <n v="86682"/>
    <n v="66464"/>
    <n v="2"/>
    <s v="Poll"/>
    <x v="74"/>
    <d v="1899-12-30T18:46:18"/>
    <n v="0.23019999999999999"/>
    <n v="0.02"/>
    <n v="5872"/>
    <n v="8.8348579682233988E-2"/>
    <s v="High CTR"/>
    <s v="High"/>
    <s v="Evening"/>
    <n v="3"/>
  </r>
  <r>
    <s v="30dac416-b621-4f18-8b70-2c44e0fcd8bc"/>
    <s v="82966997-f7f9-4e6c-8ae7-07b50c02d8d8"/>
    <n v="4882"/>
    <n v="50"/>
    <n v="940"/>
    <n v="23.02"/>
    <n v="86682"/>
    <n v="66464"/>
    <n v="2"/>
    <s v="Poll"/>
    <x v="83"/>
    <d v="1899-12-30T18:46:18"/>
    <n v="0.23019999999999999"/>
    <n v="0.02"/>
    <n v="5872"/>
    <n v="8.8348579682233988E-2"/>
    <s v="High CTR"/>
    <s v="High"/>
    <s v="Evening"/>
    <n v="3"/>
  </r>
  <r>
    <s v="44dbdc04-37d6-4a9a-8889-0f72f2405bcd"/>
    <s v="0cc2c6fb-6fc3-47c2-9da8-36145d7d0346"/>
    <n v="6860"/>
    <n v="354"/>
    <n v="1341"/>
    <n v="32.21"/>
    <n v="45635"/>
    <n v="80614"/>
    <n v="6.68"/>
    <s v="Text"/>
    <x v="84"/>
    <d v="1899-12-30T07:28:38"/>
    <n v="0.3221"/>
    <n v="6.6799999999999998E-2"/>
    <n v="8555"/>
    <n v="0.10612300592949116"/>
    <s v="High CTR"/>
    <s v="High"/>
    <s v="Morning"/>
    <n v="3"/>
  </r>
  <r>
    <s v="44dbdc04-37d6-4a9a-8889-0f72f2405bcd"/>
    <s v="0cc2c6fb-6fc3-47c2-9da8-36145d7d0346"/>
    <n v="6860"/>
    <n v="354"/>
    <n v="1341"/>
    <n v="32.21"/>
    <n v="45635"/>
    <n v="80614"/>
    <n v="6.68"/>
    <s v="Text"/>
    <x v="12"/>
    <d v="1899-12-30T07:28:38"/>
    <n v="0.3221"/>
    <n v="6.6799999999999998E-2"/>
    <n v="8555"/>
    <n v="0.10612300592949116"/>
    <s v="High CTR"/>
    <s v="High"/>
    <s v="Morning"/>
    <n v="3"/>
  </r>
  <r>
    <s v="44dbdc04-37d6-4a9a-8889-0f72f2405bcd"/>
    <s v="0cc2c6fb-6fc3-47c2-9da8-36145d7d0346"/>
    <n v="6860"/>
    <n v="354"/>
    <n v="1341"/>
    <n v="32.21"/>
    <n v="45635"/>
    <n v="80614"/>
    <n v="6.68"/>
    <s v="Text"/>
    <x v="85"/>
    <d v="1899-12-30T07:28:38"/>
    <n v="0.3221"/>
    <n v="6.6799999999999998E-2"/>
    <n v="8555"/>
    <n v="0.10612300592949116"/>
    <s v="High CTR"/>
    <s v="High"/>
    <s v="Morning"/>
    <n v="3"/>
  </r>
  <r>
    <s v="025dd42c-05d6-4498-b31d-63fee0f9fe88"/>
    <s v="c7cc34d7-061d-4c1f-ada7-351ebaf70da1"/>
    <n v="3047"/>
    <n v="1174"/>
    <n v="302"/>
    <n v="4.75"/>
    <n v="49371"/>
    <n v="50698"/>
    <n v="1.03"/>
    <s v="Video"/>
    <x v="86"/>
    <d v="1899-12-30T07:51:00"/>
    <n v="4.7500000000000001E-2"/>
    <n v="1.03E-2"/>
    <n v="4523"/>
    <n v="8.9214564677107575E-2"/>
    <s v="High CTR"/>
    <s v="High"/>
    <s v="Morning"/>
    <n v="3"/>
  </r>
  <r>
    <s v="025dd42c-05d6-4498-b31d-63fee0f9fe88"/>
    <s v="c7cc34d7-061d-4c1f-ada7-351ebaf70da1"/>
    <n v="3047"/>
    <n v="1174"/>
    <n v="302"/>
    <n v="4.75"/>
    <n v="49371"/>
    <n v="50698"/>
    <n v="1.03"/>
    <s v="Video"/>
    <x v="87"/>
    <d v="1899-12-30T07:51:00"/>
    <n v="4.7500000000000001E-2"/>
    <n v="1.03E-2"/>
    <n v="4523"/>
    <n v="8.9214564677107575E-2"/>
    <s v="High CTR"/>
    <s v="High"/>
    <s v="Morning"/>
    <n v="3"/>
  </r>
  <r>
    <s v="025dd42c-05d6-4498-b31d-63fee0f9fe88"/>
    <s v="c7cc34d7-061d-4c1f-ada7-351ebaf70da1"/>
    <n v="3047"/>
    <n v="1174"/>
    <n v="302"/>
    <n v="4.75"/>
    <n v="49371"/>
    <n v="50698"/>
    <n v="1.03"/>
    <s v="Video"/>
    <x v="88"/>
    <d v="1899-12-30T07:51:00"/>
    <n v="4.7500000000000001E-2"/>
    <n v="1.03E-2"/>
    <n v="4523"/>
    <n v="8.9214564677107575E-2"/>
    <s v="High CTR"/>
    <s v="High"/>
    <s v="Morning"/>
    <n v="3"/>
  </r>
  <r>
    <s v="d6c573ff-40b7-4028-8445-996431708893"/>
    <s v="983980ab-c7f4-4639-8ad8-c02ac5ca54b1"/>
    <n v="7201"/>
    <n v="1752"/>
    <n v="922"/>
    <n v="20.57"/>
    <n v="24579"/>
    <n v="63676"/>
    <n v="6.83"/>
    <s v="Image"/>
    <x v="89"/>
    <d v="1899-12-30T08:01:49"/>
    <n v="0.20569999999999999"/>
    <n v="6.83E-2"/>
    <n v="9875"/>
    <n v="0.15508197751115019"/>
    <s v="High CTR"/>
    <s v="High"/>
    <s v="Morning"/>
    <n v="3"/>
  </r>
  <r>
    <s v="d6c573ff-40b7-4028-8445-996431708893"/>
    <s v="983980ab-c7f4-4639-8ad8-c02ac5ca54b1"/>
    <n v="7201"/>
    <n v="1752"/>
    <n v="922"/>
    <n v="20.57"/>
    <n v="24579"/>
    <n v="63676"/>
    <n v="6.83"/>
    <s v="Image"/>
    <x v="90"/>
    <d v="1899-12-30T08:01:49"/>
    <n v="0.20569999999999999"/>
    <n v="6.83E-2"/>
    <n v="9875"/>
    <n v="0.15508197751115019"/>
    <s v="High CTR"/>
    <s v="High"/>
    <s v="Morning"/>
    <n v="3"/>
  </r>
  <r>
    <s v="d6c573ff-40b7-4028-8445-996431708893"/>
    <s v="983980ab-c7f4-4639-8ad8-c02ac5ca54b1"/>
    <n v="7201"/>
    <n v="1752"/>
    <n v="922"/>
    <n v="20.57"/>
    <n v="24579"/>
    <n v="63676"/>
    <n v="6.83"/>
    <s v="Image"/>
    <x v="91"/>
    <d v="1899-12-30T08:01:49"/>
    <n v="0.20569999999999999"/>
    <n v="6.83E-2"/>
    <n v="9875"/>
    <n v="0.15508197751115019"/>
    <s v="High CTR"/>
    <s v="High"/>
    <s v="Morning"/>
    <n v="3"/>
  </r>
  <r>
    <s v="625d6e05-ddf8-4c47-bb6b-dc2e88af37ab"/>
    <s v="9eda4d51-8aa2-43af-ad95-ce6232486af2"/>
    <n v="1038"/>
    <n v="2541"/>
    <n v="1346"/>
    <n v="89.36"/>
    <n v="50562"/>
    <n v="86433"/>
    <n v="4.08"/>
    <s v="Poll"/>
    <x v="92"/>
    <d v="1899-12-30T09:13:27"/>
    <n v="0.89359999999999995"/>
    <n v="4.0800000000000003E-2"/>
    <n v="4925"/>
    <n v="5.6980551409762478E-2"/>
    <s v="High CTR"/>
    <s v="High"/>
    <s v="Morning"/>
    <n v="3"/>
  </r>
  <r>
    <s v="625d6e05-ddf8-4c47-bb6b-dc2e88af37ab"/>
    <s v="9eda4d51-8aa2-43af-ad95-ce6232486af2"/>
    <n v="1038"/>
    <n v="2541"/>
    <n v="1346"/>
    <n v="89.36"/>
    <n v="50562"/>
    <n v="86433"/>
    <n v="4.08"/>
    <s v="Poll"/>
    <x v="93"/>
    <d v="1899-12-30T09:13:27"/>
    <n v="0.89359999999999995"/>
    <n v="4.0800000000000003E-2"/>
    <n v="4925"/>
    <n v="5.6980551409762478E-2"/>
    <s v="High CTR"/>
    <s v="High"/>
    <s v="Morning"/>
    <n v="3"/>
  </r>
  <r>
    <s v="625d6e05-ddf8-4c47-bb6b-dc2e88af37ab"/>
    <s v="9eda4d51-8aa2-43af-ad95-ce6232486af2"/>
    <n v="1038"/>
    <n v="2541"/>
    <n v="1346"/>
    <n v="89.36"/>
    <n v="50562"/>
    <n v="86433"/>
    <n v="4.08"/>
    <s v="Poll"/>
    <x v="94"/>
    <d v="1899-12-30T09:13:27"/>
    <n v="0.89359999999999995"/>
    <n v="4.0800000000000003E-2"/>
    <n v="4925"/>
    <n v="5.6980551409762478E-2"/>
    <s v="High CTR"/>
    <s v="High"/>
    <s v="Morning"/>
    <n v="3"/>
  </r>
  <r>
    <s v="5233324f-72e8-4fca-bda2-1eadf7fa18e4"/>
    <s v="74ae1a8d-3a85-4ede-9cad-ba8dd13c4fe4"/>
    <n v="4137"/>
    <n v="355"/>
    <n v="1416"/>
    <n v="12.38"/>
    <n v="22447"/>
    <n v="60849"/>
    <n v="6.63"/>
    <s v="Video"/>
    <x v="95"/>
    <d v="1899-12-30T12:56:09"/>
    <n v="0.12380000000000001"/>
    <n v="6.6299999999999998E-2"/>
    <n v="5908"/>
    <n v="9.7092803497181551E-2"/>
    <s v="High CTR"/>
    <s v="High"/>
    <s v="Afternoon"/>
    <n v="3"/>
  </r>
  <r>
    <s v="5233324f-72e8-4fca-bda2-1eadf7fa18e4"/>
    <s v="74ae1a8d-3a85-4ede-9cad-ba8dd13c4fe4"/>
    <n v="4137"/>
    <n v="355"/>
    <n v="1416"/>
    <n v="12.38"/>
    <n v="22447"/>
    <n v="60849"/>
    <n v="6.63"/>
    <s v="Video"/>
    <x v="96"/>
    <d v="1899-12-30T12:56:09"/>
    <n v="0.12380000000000001"/>
    <n v="6.6299999999999998E-2"/>
    <n v="5908"/>
    <n v="9.7092803497181551E-2"/>
    <s v="High CTR"/>
    <s v="High"/>
    <s v="Afternoon"/>
    <n v="3"/>
  </r>
  <r>
    <s v="5233324f-72e8-4fca-bda2-1eadf7fa18e4"/>
    <s v="74ae1a8d-3a85-4ede-9cad-ba8dd13c4fe4"/>
    <n v="4137"/>
    <n v="355"/>
    <n v="1416"/>
    <n v="12.38"/>
    <n v="22447"/>
    <n v="60849"/>
    <n v="6.63"/>
    <s v="Video"/>
    <x v="97"/>
    <d v="1899-12-30T12:56:09"/>
    <n v="0.12380000000000001"/>
    <n v="6.6299999999999998E-2"/>
    <n v="5908"/>
    <n v="9.7092803497181551E-2"/>
    <s v="High CTR"/>
    <s v="High"/>
    <s v="Afternoon"/>
    <n v="3"/>
  </r>
  <r>
    <s v="23125daf-a578-4988-ab22-ace131bce08d"/>
    <s v="76c5dfd2-2975-464d-b0c7-5507242ba5ce"/>
    <n v="5576"/>
    <n v="1322"/>
    <n v="1436"/>
    <n v="90.93"/>
    <n v="63824"/>
    <n v="87424"/>
    <n v="5.36"/>
    <s v="Poll"/>
    <x v="98"/>
    <d v="1899-12-30T13:14:49"/>
    <n v="0.90930000000000011"/>
    <n v="5.3600000000000002E-2"/>
    <n v="8334"/>
    <n v="9.5328513909224005E-2"/>
    <s v="High CTR"/>
    <s v="High"/>
    <s v="Afternoon"/>
    <n v="3"/>
  </r>
  <r>
    <s v="23125daf-a578-4988-ab22-ace131bce08d"/>
    <s v="76c5dfd2-2975-464d-b0c7-5507242ba5ce"/>
    <n v="5576"/>
    <n v="1322"/>
    <n v="1436"/>
    <n v="90.93"/>
    <n v="63824"/>
    <n v="87424"/>
    <n v="5.36"/>
    <s v="Poll"/>
    <x v="99"/>
    <d v="1899-12-30T13:14:49"/>
    <n v="0.90930000000000011"/>
    <n v="5.3600000000000002E-2"/>
    <n v="8334"/>
    <n v="9.5328513909224005E-2"/>
    <s v="High CTR"/>
    <s v="High"/>
    <s v="Afternoon"/>
    <n v="3"/>
  </r>
  <r>
    <s v="23125daf-a578-4988-ab22-ace131bce08d"/>
    <s v="76c5dfd2-2975-464d-b0c7-5507242ba5ce"/>
    <n v="5576"/>
    <n v="1322"/>
    <n v="1436"/>
    <n v="90.93"/>
    <n v="63824"/>
    <n v="87424"/>
    <n v="5.36"/>
    <s v="Poll"/>
    <x v="100"/>
    <d v="1899-12-30T13:14:49"/>
    <n v="0.90930000000000011"/>
    <n v="5.3600000000000002E-2"/>
    <n v="8334"/>
    <n v="9.5328513909224005E-2"/>
    <s v="High CTR"/>
    <s v="High"/>
    <s v="Afternoon"/>
    <n v="3"/>
  </r>
  <r>
    <s v="1f8f50fd-ee51-497e-894e-9095f7a7ab21"/>
    <s v="72d8ad89-c3e0-4c3f-8758-547a77ab1d08"/>
    <n v="9542"/>
    <n v="1083"/>
    <n v="1131"/>
    <n v="95.88"/>
    <n v="70402"/>
    <n v="10385"/>
    <n v="6.18"/>
    <s v="Video"/>
    <x v="101"/>
    <d v="1899-12-30T02:16:59"/>
    <n v="0.95879999999999999"/>
    <n v="6.1799999999999994E-2"/>
    <n v="11756"/>
    <n v="1"/>
    <s v="High CTR"/>
    <s v="High"/>
    <s v="Morning"/>
    <n v="3"/>
  </r>
  <r>
    <s v="1f8f50fd-ee51-497e-894e-9095f7a7ab21"/>
    <s v="72d8ad89-c3e0-4c3f-8758-547a77ab1d08"/>
    <n v="9542"/>
    <n v="1083"/>
    <n v="1131"/>
    <n v="95.88"/>
    <n v="70402"/>
    <n v="10385"/>
    <n v="6.18"/>
    <s v="Video"/>
    <x v="102"/>
    <d v="1899-12-30T02:16:59"/>
    <n v="0.95879999999999999"/>
    <n v="6.1799999999999994E-2"/>
    <n v="11756"/>
    <n v="1"/>
    <s v="High CTR"/>
    <s v="High"/>
    <s v="Morning"/>
    <n v="3"/>
  </r>
  <r>
    <s v="1f8f50fd-ee51-497e-894e-9095f7a7ab21"/>
    <s v="72d8ad89-c3e0-4c3f-8758-547a77ab1d08"/>
    <n v="9542"/>
    <n v="1083"/>
    <n v="1131"/>
    <n v="95.88"/>
    <n v="70402"/>
    <n v="10385"/>
    <n v="6.18"/>
    <s v="Video"/>
    <x v="103"/>
    <d v="1899-12-30T02:16:59"/>
    <n v="0.95879999999999999"/>
    <n v="6.1799999999999994E-2"/>
    <n v="11756"/>
    <n v="1"/>
    <s v="High CTR"/>
    <s v="High"/>
    <s v="Morning"/>
    <n v="3"/>
  </r>
  <r>
    <s v="1939c6f0-b709-4aab-b322-5d9ae4ea9f89"/>
    <s v="dcee8780-ff66-45fc-ab2b-bdd4d46dc283"/>
    <n v="9843"/>
    <n v="3935"/>
    <n v="1342"/>
    <n v="28.37"/>
    <n v="92288"/>
    <n v="66228"/>
    <n v="6.24"/>
    <s v="Video"/>
    <x v="104"/>
    <d v="1899-12-30T20:47:39"/>
    <n v="0.28370000000000001"/>
    <n v="6.2400000000000004E-2"/>
    <n v="15120"/>
    <n v="0.22830222866461317"/>
    <s v="High CTR"/>
    <s v="High"/>
    <s v="Evening"/>
    <n v="3"/>
  </r>
  <r>
    <s v="1939c6f0-b709-4aab-b322-5d9ae4ea9f89"/>
    <s v="dcee8780-ff66-45fc-ab2b-bdd4d46dc283"/>
    <n v="9843"/>
    <n v="3935"/>
    <n v="1342"/>
    <n v="28.37"/>
    <n v="92288"/>
    <n v="66228"/>
    <n v="6.24"/>
    <s v="Video"/>
    <x v="105"/>
    <d v="1899-12-30T20:47:39"/>
    <n v="0.28370000000000001"/>
    <n v="6.2400000000000004E-2"/>
    <n v="15120"/>
    <n v="0.22830222866461317"/>
    <s v="High CTR"/>
    <s v="High"/>
    <s v="Evening"/>
    <n v="3"/>
  </r>
  <r>
    <s v="1939c6f0-b709-4aab-b322-5d9ae4ea9f89"/>
    <s v="dcee8780-ff66-45fc-ab2b-bdd4d46dc283"/>
    <n v="9843"/>
    <n v="3935"/>
    <n v="1342"/>
    <n v="28.37"/>
    <n v="92288"/>
    <n v="66228"/>
    <n v="6.24"/>
    <s v="Video"/>
    <x v="106"/>
    <d v="1899-12-30T20:47:39"/>
    <n v="0.28370000000000001"/>
    <n v="6.2400000000000004E-2"/>
    <n v="15120"/>
    <n v="0.22830222866461317"/>
    <s v="High CTR"/>
    <s v="High"/>
    <s v="Evening"/>
    <n v="3"/>
  </r>
  <r>
    <s v="c876ffdf-8ad4-4cda-bd6d-dddc1eef8d20"/>
    <s v="8a5c4fd4-206a-43ef-840c-e9ccebfe8f7a"/>
    <n v="5827"/>
    <n v="4352"/>
    <n v="345"/>
    <n v="87.86"/>
    <n v="21855"/>
    <n v="39668"/>
    <n v="3.88"/>
    <s v="Poll"/>
    <x v="107"/>
    <d v="1899-12-30T19:19:38"/>
    <n v="0.87860000000000005"/>
    <n v="3.8800000000000001E-2"/>
    <n v="10524"/>
    <n v="0.26530200665523845"/>
    <s v="High CTR"/>
    <s v="High"/>
    <s v="Evening"/>
    <n v="3"/>
  </r>
  <r>
    <s v="c876ffdf-8ad4-4cda-bd6d-dddc1eef8d20"/>
    <s v="8a5c4fd4-206a-43ef-840c-e9ccebfe8f7a"/>
    <n v="5827"/>
    <n v="4352"/>
    <n v="345"/>
    <n v="87.86"/>
    <n v="21855"/>
    <n v="39668"/>
    <n v="3.88"/>
    <s v="Poll"/>
    <x v="108"/>
    <d v="1899-12-30T19:19:38"/>
    <n v="0.87860000000000005"/>
    <n v="3.8800000000000001E-2"/>
    <n v="10524"/>
    <n v="0.26530200665523845"/>
    <s v="High CTR"/>
    <s v="High"/>
    <s v="Evening"/>
    <n v="3"/>
  </r>
  <r>
    <s v="c876ffdf-8ad4-4cda-bd6d-dddc1eef8d20"/>
    <s v="8a5c4fd4-206a-43ef-840c-e9ccebfe8f7a"/>
    <n v="5827"/>
    <n v="4352"/>
    <n v="345"/>
    <n v="87.86"/>
    <n v="21855"/>
    <n v="39668"/>
    <n v="3.88"/>
    <s v="Poll"/>
    <x v="109"/>
    <d v="1899-12-30T19:19:38"/>
    <n v="0.87860000000000005"/>
    <n v="3.8800000000000001E-2"/>
    <n v="10524"/>
    <n v="0.26530200665523845"/>
    <s v="High CTR"/>
    <s v="High"/>
    <s v="Evening"/>
    <n v="3"/>
  </r>
  <r>
    <s v="e9afb38c-1caa-49bf-9b07-20b43df8f7c3"/>
    <s v="a6ca820b-2f5e-4299-a1c0-19e3c8f16b9e"/>
    <n v="54"/>
    <n v="3111"/>
    <n v="1602"/>
    <n v="3.13"/>
    <n v="39331"/>
    <n v="66793"/>
    <n v="2.33"/>
    <s v="Video"/>
    <x v="110"/>
    <d v="1899-12-30T07:14:09"/>
    <n v="3.1300000000000001E-2"/>
    <n v="2.3300000000000001E-2"/>
    <n v="4767"/>
    <n v="7.1369754315571993E-2"/>
    <s v="High CTR"/>
    <s v="High"/>
    <s v="Morning"/>
    <n v="3"/>
  </r>
  <r>
    <s v="e9afb38c-1caa-49bf-9b07-20b43df8f7c3"/>
    <s v="a6ca820b-2f5e-4299-a1c0-19e3c8f16b9e"/>
    <n v="54"/>
    <n v="3111"/>
    <n v="1602"/>
    <n v="3.13"/>
    <n v="39331"/>
    <n v="66793"/>
    <n v="2.33"/>
    <s v="Video"/>
    <x v="111"/>
    <d v="1899-12-30T07:14:09"/>
    <n v="3.1300000000000001E-2"/>
    <n v="2.3300000000000001E-2"/>
    <n v="4767"/>
    <n v="7.1369754315571993E-2"/>
    <s v="High CTR"/>
    <s v="High"/>
    <s v="Morning"/>
    <n v="3"/>
  </r>
  <r>
    <s v="e9afb38c-1caa-49bf-9b07-20b43df8f7c3"/>
    <s v="a6ca820b-2f5e-4299-a1c0-19e3c8f16b9e"/>
    <n v="54"/>
    <n v="3111"/>
    <n v="1602"/>
    <n v="3.13"/>
    <n v="39331"/>
    <n v="66793"/>
    <n v="2.33"/>
    <s v="Video"/>
    <x v="112"/>
    <d v="1899-12-30T07:14:09"/>
    <n v="3.1300000000000001E-2"/>
    <n v="2.3300000000000001E-2"/>
    <n v="4767"/>
    <n v="7.1369754315571993E-2"/>
    <s v="High CTR"/>
    <s v="High"/>
    <s v="Morning"/>
    <n v="3"/>
  </r>
  <r>
    <s v="54b9eff5-ab27-4919-bb5d-b1c05619b955"/>
    <s v="71b22d6d-dfa9-4070-9b28-79443631346f"/>
    <n v="2699"/>
    <n v="4042"/>
    <n v="164"/>
    <n v="86.59"/>
    <n v="20685"/>
    <n v="48356"/>
    <n v="2.2999999999999998"/>
    <s v="Video"/>
    <x v="113"/>
    <d v="1899-12-30T02:24:04"/>
    <n v="0.8659"/>
    <n v="2.3E-2"/>
    <n v="6905"/>
    <n v="0.14279510298618578"/>
    <s v="High CTR"/>
    <s v="High"/>
    <s v="Morning"/>
    <n v="3"/>
  </r>
  <r>
    <s v="54b9eff5-ab27-4919-bb5d-b1c05619b955"/>
    <s v="71b22d6d-dfa9-4070-9b28-79443631346f"/>
    <n v="2699"/>
    <n v="4042"/>
    <n v="164"/>
    <n v="86.59"/>
    <n v="20685"/>
    <n v="48356"/>
    <n v="2.2999999999999998"/>
    <s v="Video"/>
    <x v="114"/>
    <d v="1899-12-30T02:24:04"/>
    <n v="0.8659"/>
    <n v="2.3E-2"/>
    <n v="6905"/>
    <n v="0.14279510298618578"/>
    <s v="High CTR"/>
    <s v="High"/>
    <s v="Morning"/>
    <n v="3"/>
  </r>
  <r>
    <s v="54b9eff5-ab27-4919-bb5d-b1c05619b955"/>
    <s v="71b22d6d-dfa9-4070-9b28-79443631346f"/>
    <n v="2699"/>
    <n v="4042"/>
    <n v="164"/>
    <n v="86.59"/>
    <n v="20685"/>
    <n v="48356"/>
    <n v="2.2999999999999998"/>
    <s v="Video"/>
    <x v="115"/>
    <d v="1899-12-30T02:24:04"/>
    <n v="0.8659"/>
    <n v="2.3E-2"/>
    <n v="6905"/>
    <n v="0.14279510298618578"/>
    <s v="High CTR"/>
    <s v="High"/>
    <s v="Morning"/>
    <n v="3"/>
  </r>
  <r>
    <s v="fc14eeeb-bb3f-4b09-81df-d7ed08ef9fa4"/>
    <s v="1ee89fce-07c3-451b-b6d2-c8bcaf160758"/>
    <n v="9681"/>
    <n v="1024"/>
    <n v="1263"/>
    <n v="0.67"/>
    <n v="34364"/>
    <n v="89392"/>
    <n v="4.46"/>
    <s v="Poll"/>
    <x v="116"/>
    <d v="1899-12-30T13:52:49"/>
    <n v="6.7000000000000002E-3"/>
    <n v="4.4600000000000001E-2"/>
    <n v="11968"/>
    <n v="0.13388222659745838"/>
    <s v="High CTR"/>
    <s v="High"/>
    <s v="Afternoon"/>
    <n v="3"/>
  </r>
  <r>
    <s v="fc14eeeb-bb3f-4b09-81df-d7ed08ef9fa4"/>
    <s v="1ee89fce-07c3-451b-b6d2-c8bcaf160758"/>
    <n v="9681"/>
    <n v="1024"/>
    <n v="1263"/>
    <n v="0.67"/>
    <n v="34364"/>
    <n v="89392"/>
    <n v="4.46"/>
    <s v="Poll"/>
    <x v="117"/>
    <d v="1899-12-30T13:52:49"/>
    <n v="6.7000000000000002E-3"/>
    <n v="4.4600000000000001E-2"/>
    <n v="11968"/>
    <n v="0.13388222659745838"/>
    <s v="High CTR"/>
    <s v="High"/>
    <s v="Afternoon"/>
    <n v="3"/>
  </r>
  <r>
    <s v="fc14eeeb-bb3f-4b09-81df-d7ed08ef9fa4"/>
    <s v="1ee89fce-07c3-451b-b6d2-c8bcaf160758"/>
    <n v="9681"/>
    <n v="1024"/>
    <n v="1263"/>
    <n v="0.67"/>
    <n v="34364"/>
    <n v="89392"/>
    <n v="4.46"/>
    <s v="Poll"/>
    <x v="99"/>
    <d v="1899-12-30T13:52:49"/>
    <n v="6.7000000000000002E-3"/>
    <n v="4.4600000000000001E-2"/>
    <n v="11968"/>
    <n v="0.13388222659745838"/>
    <s v="High CTR"/>
    <s v="High"/>
    <s v="Afternoon"/>
    <n v="3"/>
  </r>
  <r>
    <s v="12066dd0-a28d-4a6e-a5f5-668eb864a510"/>
    <s v="a87ebb2a-d335-4e6e-940d-04d9b13543ff"/>
    <n v="9202"/>
    <n v="4008"/>
    <n v="260"/>
    <n v="15.64"/>
    <n v="93696"/>
    <n v="21761"/>
    <n v="3.5"/>
    <s v="Text"/>
    <x v="118"/>
    <d v="1899-12-30T10:56:40"/>
    <n v="0.15640000000000001"/>
    <n v="3.5000000000000003E-2"/>
    <n v="13470"/>
    <n v="0.61899728872754012"/>
    <s v="High CTR"/>
    <s v="High"/>
    <s v="Morning"/>
    <n v="3"/>
  </r>
  <r>
    <s v="12066dd0-a28d-4a6e-a5f5-668eb864a510"/>
    <s v="a87ebb2a-d335-4e6e-940d-04d9b13543ff"/>
    <n v="9202"/>
    <n v="4008"/>
    <n v="260"/>
    <n v="15.64"/>
    <n v="93696"/>
    <n v="21761"/>
    <n v="3.5"/>
    <s v="Text"/>
    <x v="119"/>
    <d v="1899-12-30T10:56:40"/>
    <n v="0.15640000000000001"/>
    <n v="3.5000000000000003E-2"/>
    <n v="13470"/>
    <n v="0.61899728872754012"/>
    <s v="High CTR"/>
    <s v="High"/>
    <s v="Morning"/>
    <n v="3"/>
  </r>
  <r>
    <s v="12066dd0-a28d-4a6e-a5f5-668eb864a510"/>
    <s v="a87ebb2a-d335-4e6e-940d-04d9b13543ff"/>
    <n v="9202"/>
    <n v="4008"/>
    <n v="260"/>
    <n v="15.64"/>
    <n v="93696"/>
    <n v="21761"/>
    <n v="3.5"/>
    <s v="Text"/>
    <x v="120"/>
    <d v="1899-12-30T10:56:40"/>
    <n v="0.15640000000000001"/>
    <n v="3.5000000000000003E-2"/>
    <n v="13470"/>
    <n v="0.61899728872754012"/>
    <s v="High CTR"/>
    <s v="High"/>
    <s v="Morning"/>
    <n v="3"/>
  </r>
  <r>
    <s v="cb4a8d90-4fe7-49cb-8778-29efb70632af"/>
    <s v="b5f76aa8-5164-4990-bd6b-76f796ebf252"/>
    <n v="5043"/>
    <n v="3879"/>
    <n v="1895"/>
    <n v="18.100000000000001"/>
    <n v="51702"/>
    <n v="80939"/>
    <n v="7.53"/>
    <s v="Image"/>
    <x v="121"/>
    <d v="1899-12-30T14:10:14"/>
    <n v="0.18100000000000002"/>
    <n v="7.5300000000000006E-2"/>
    <n v="10817"/>
    <n v="0.1336438552490147"/>
    <s v="High CTR"/>
    <s v="High"/>
    <s v="Afternoon"/>
    <n v="3"/>
  </r>
  <r>
    <s v="cb4a8d90-4fe7-49cb-8778-29efb70632af"/>
    <s v="b5f76aa8-5164-4990-bd6b-76f796ebf252"/>
    <n v="5043"/>
    <n v="3879"/>
    <n v="1895"/>
    <n v="18.100000000000001"/>
    <n v="51702"/>
    <n v="80939"/>
    <n v="7.53"/>
    <s v="Image"/>
    <x v="122"/>
    <d v="1899-12-30T14:10:14"/>
    <n v="0.18100000000000002"/>
    <n v="7.5300000000000006E-2"/>
    <n v="10817"/>
    <n v="0.1336438552490147"/>
    <s v="High CTR"/>
    <s v="High"/>
    <s v="Afternoon"/>
    <n v="3"/>
  </r>
  <r>
    <s v="cb4a8d90-4fe7-49cb-8778-29efb70632af"/>
    <s v="b5f76aa8-5164-4990-bd6b-76f796ebf252"/>
    <n v="5043"/>
    <n v="3879"/>
    <n v="1895"/>
    <n v="18.100000000000001"/>
    <n v="51702"/>
    <n v="80939"/>
    <n v="7.53"/>
    <s v="Image"/>
    <x v="123"/>
    <d v="1899-12-30T14:10:14"/>
    <n v="0.18100000000000002"/>
    <n v="7.5300000000000006E-2"/>
    <n v="10817"/>
    <n v="0.1336438552490147"/>
    <s v="High CTR"/>
    <s v="High"/>
    <s v="Afternoon"/>
    <n v="3"/>
  </r>
  <r>
    <s v="aa7d712c-f078-4bf8-ab62-91a75fe4f859"/>
    <s v="e9a5d4c5-199c-4fc4-b2e3-a784ac614608"/>
    <n v="6071"/>
    <n v="2432"/>
    <n v="796"/>
    <n v="70.34"/>
    <n v="18190"/>
    <n v="26719"/>
    <n v="4.8499999999999996"/>
    <s v="Video"/>
    <x v="124"/>
    <d v="1899-12-30T09:16:54"/>
    <n v="0.70340000000000003"/>
    <n v="4.8499999999999995E-2"/>
    <n v="9299"/>
    <n v="0.34802949212171114"/>
    <s v="High CTR"/>
    <s v="High"/>
    <s v="Morning"/>
    <n v="3"/>
  </r>
  <r>
    <s v="aa7d712c-f078-4bf8-ab62-91a75fe4f859"/>
    <s v="e9a5d4c5-199c-4fc4-b2e3-a784ac614608"/>
    <n v="6071"/>
    <n v="2432"/>
    <n v="796"/>
    <n v="70.34"/>
    <n v="18190"/>
    <n v="26719"/>
    <n v="4.8499999999999996"/>
    <s v="Video"/>
    <x v="125"/>
    <d v="1899-12-30T09:16:54"/>
    <n v="0.70340000000000003"/>
    <n v="4.8499999999999995E-2"/>
    <n v="9299"/>
    <n v="0.34802949212171114"/>
    <s v="High CTR"/>
    <s v="High"/>
    <s v="Morning"/>
    <n v="3"/>
  </r>
  <r>
    <s v="aa7d712c-f078-4bf8-ab62-91a75fe4f859"/>
    <s v="e9a5d4c5-199c-4fc4-b2e3-a784ac614608"/>
    <n v="6071"/>
    <n v="2432"/>
    <n v="796"/>
    <n v="70.34"/>
    <n v="18190"/>
    <n v="26719"/>
    <n v="4.8499999999999996"/>
    <s v="Video"/>
    <x v="126"/>
    <d v="1899-12-30T09:16:54"/>
    <n v="0.70340000000000003"/>
    <n v="4.8499999999999995E-2"/>
    <n v="9299"/>
    <n v="0.34802949212171114"/>
    <s v="High CTR"/>
    <s v="High"/>
    <s v="Morning"/>
    <n v="3"/>
  </r>
  <r>
    <s v="e4f54dd9-ad6b-414b-9b1e-628f96b14b84"/>
    <s v="4ec23ef1-3a1d-4ce7-9b0e-0018a180b2d3"/>
    <n v="9182"/>
    <n v="508"/>
    <n v="1681"/>
    <n v="19.579999999999998"/>
    <n v="47232"/>
    <n v="17005"/>
    <n v="5.39"/>
    <s v="Text"/>
    <x v="127"/>
    <d v="1899-12-30T21:06:50"/>
    <n v="0.19579999999999997"/>
    <n v="5.3899999999999997E-2"/>
    <n v="11371"/>
    <n v="0.66868568068215228"/>
    <s v="High CTR"/>
    <s v="High"/>
    <s v="Night"/>
    <n v="3"/>
  </r>
  <r>
    <s v="e4f54dd9-ad6b-414b-9b1e-628f96b14b84"/>
    <s v="4ec23ef1-3a1d-4ce7-9b0e-0018a180b2d3"/>
    <n v="9182"/>
    <n v="508"/>
    <n v="1681"/>
    <n v="19.579999999999998"/>
    <n v="47232"/>
    <n v="17005"/>
    <n v="5.39"/>
    <s v="Text"/>
    <x v="128"/>
    <d v="1899-12-30T21:06:50"/>
    <n v="0.19579999999999997"/>
    <n v="5.3899999999999997E-2"/>
    <n v="11371"/>
    <n v="0.66868568068215228"/>
    <s v="High CTR"/>
    <s v="High"/>
    <s v="Night"/>
    <n v="3"/>
  </r>
  <r>
    <s v="e4f54dd9-ad6b-414b-9b1e-628f96b14b84"/>
    <s v="4ec23ef1-3a1d-4ce7-9b0e-0018a180b2d3"/>
    <n v="9182"/>
    <n v="508"/>
    <n v="1681"/>
    <n v="19.579999999999998"/>
    <n v="47232"/>
    <n v="17005"/>
    <n v="5.39"/>
    <s v="Text"/>
    <x v="129"/>
    <d v="1899-12-30T21:06:50"/>
    <n v="0.19579999999999997"/>
    <n v="5.3899999999999997E-2"/>
    <n v="11371"/>
    <n v="0.66868568068215228"/>
    <s v="High CTR"/>
    <s v="High"/>
    <s v="Night"/>
    <n v="3"/>
  </r>
  <r>
    <s v="d453af2c-6cb3-49f6-8682-9e2ba19cfc16"/>
    <s v="8395992f-18fc-435a-b526-f490d3a3d789"/>
    <n v="2272"/>
    <n v="3862"/>
    <n v="828"/>
    <n v="79.010000000000005"/>
    <n v="15374"/>
    <n v="31058"/>
    <n v="8.5500000000000007"/>
    <s v="Image"/>
    <x v="130"/>
    <d v="1899-12-30T15:54:10"/>
    <n v="0.79010000000000002"/>
    <n v="8.5500000000000007E-2"/>
    <n v="6962"/>
    <n v="0.22416124669972309"/>
    <s v="High CTR"/>
    <s v="High"/>
    <s v="Afternoon"/>
    <n v="3"/>
  </r>
  <r>
    <s v="d453af2c-6cb3-49f6-8682-9e2ba19cfc16"/>
    <s v="8395992f-18fc-435a-b526-f490d3a3d789"/>
    <n v="2272"/>
    <n v="3862"/>
    <n v="828"/>
    <n v="79.010000000000005"/>
    <n v="15374"/>
    <n v="31058"/>
    <n v="8.5500000000000007"/>
    <s v="Image"/>
    <x v="131"/>
    <d v="1899-12-30T15:54:10"/>
    <n v="0.79010000000000002"/>
    <n v="8.5500000000000007E-2"/>
    <n v="6962"/>
    <n v="0.22416124669972309"/>
    <s v="High CTR"/>
    <s v="High"/>
    <s v="Afternoon"/>
    <n v="3"/>
  </r>
  <r>
    <s v="d453af2c-6cb3-49f6-8682-9e2ba19cfc16"/>
    <s v="8395992f-18fc-435a-b526-f490d3a3d789"/>
    <n v="2272"/>
    <n v="3862"/>
    <n v="828"/>
    <n v="79.010000000000005"/>
    <n v="15374"/>
    <n v="31058"/>
    <n v="8.5500000000000007"/>
    <s v="Image"/>
    <x v="132"/>
    <d v="1899-12-30T15:54:10"/>
    <n v="0.79010000000000002"/>
    <n v="8.5500000000000007E-2"/>
    <n v="6962"/>
    <n v="0.22416124669972309"/>
    <s v="High CTR"/>
    <s v="High"/>
    <s v="Afternoon"/>
    <n v="3"/>
  </r>
  <r>
    <s v="bfe1d201-e244-41bf-8532-1b9c1e84f445"/>
    <s v="2d063dc6-4318-4eff-b9c3-ee1fed40322f"/>
    <n v="4082"/>
    <n v="4792"/>
    <n v="1502"/>
    <n v="81.569999999999993"/>
    <n v="23524"/>
    <n v="75191"/>
    <n v="4.21"/>
    <s v="Poll"/>
    <x v="133"/>
    <d v="1899-12-30T22:37:28"/>
    <n v="0.81569999999999998"/>
    <n v="4.2099999999999999E-2"/>
    <n v="10376"/>
    <n v="0.1379952387918767"/>
    <s v="High CTR"/>
    <s v="High"/>
    <s v="Night"/>
    <n v="3"/>
  </r>
  <r>
    <s v="bfe1d201-e244-41bf-8532-1b9c1e84f445"/>
    <s v="2d063dc6-4318-4eff-b9c3-ee1fed40322f"/>
    <n v="4082"/>
    <n v="4792"/>
    <n v="1502"/>
    <n v="81.569999999999993"/>
    <n v="23524"/>
    <n v="75191"/>
    <n v="4.21"/>
    <s v="Poll"/>
    <x v="134"/>
    <d v="1899-12-30T22:37:28"/>
    <n v="0.81569999999999998"/>
    <n v="4.2099999999999999E-2"/>
    <n v="10376"/>
    <n v="0.1379952387918767"/>
    <s v="High CTR"/>
    <s v="High"/>
    <s v="Night"/>
    <n v="3"/>
  </r>
  <r>
    <s v="bfe1d201-e244-41bf-8532-1b9c1e84f445"/>
    <s v="2d063dc6-4318-4eff-b9c3-ee1fed40322f"/>
    <n v="4082"/>
    <n v="4792"/>
    <n v="1502"/>
    <n v="81.569999999999993"/>
    <n v="23524"/>
    <n v="75191"/>
    <n v="4.21"/>
    <s v="Poll"/>
    <x v="135"/>
    <d v="1899-12-30T22:37:28"/>
    <n v="0.81569999999999998"/>
    <n v="4.2099999999999999E-2"/>
    <n v="10376"/>
    <n v="0.1379952387918767"/>
    <s v="High CTR"/>
    <s v="High"/>
    <s v="Night"/>
    <n v="3"/>
  </r>
  <r>
    <s v="9f3ed2b8-233a-4772-b9d8-b79e02263ad6"/>
    <s v="8e054735-b15e-41fc-8e7d-9c81a9208302"/>
    <n v="8817"/>
    <n v="4149"/>
    <n v="1717"/>
    <n v="58.01"/>
    <n v="8463"/>
    <n v="74991"/>
    <n v="5.77"/>
    <s v="Text"/>
    <x v="136"/>
    <d v="1899-12-30T05:47:24"/>
    <n v="0.58009999999999995"/>
    <n v="5.7699999999999994E-2"/>
    <n v="14683"/>
    <n v="0.19579682895280767"/>
    <s v="High CTR"/>
    <s v="High"/>
    <s v="Morning"/>
    <n v="3"/>
  </r>
  <r>
    <s v="9f3ed2b8-233a-4772-b9d8-b79e02263ad6"/>
    <s v="8e054735-b15e-41fc-8e7d-9c81a9208302"/>
    <n v="8817"/>
    <n v="4149"/>
    <n v="1717"/>
    <n v="58.01"/>
    <n v="8463"/>
    <n v="74991"/>
    <n v="5.77"/>
    <s v="Text"/>
    <x v="137"/>
    <d v="1899-12-30T05:47:24"/>
    <n v="0.58009999999999995"/>
    <n v="5.7699999999999994E-2"/>
    <n v="14683"/>
    <n v="0.19579682895280767"/>
    <s v="High CTR"/>
    <s v="High"/>
    <s v="Morning"/>
    <n v="3"/>
  </r>
  <r>
    <s v="9f3ed2b8-233a-4772-b9d8-b79e02263ad6"/>
    <s v="8e054735-b15e-41fc-8e7d-9c81a9208302"/>
    <n v="8817"/>
    <n v="4149"/>
    <n v="1717"/>
    <n v="58.01"/>
    <n v="8463"/>
    <n v="74991"/>
    <n v="5.77"/>
    <s v="Text"/>
    <x v="138"/>
    <d v="1899-12-30T05:47:24"/>
    <n v="0.58009999999999995"/>
    <n v="5.7699999999999994E-2"/>
    <n v="14683"/>
    <n v="0.19579682895280767"/>
    <s v="High CTR"/>
    <s v="High"/>
    <s v="Morning"/>
    <n v="3"/>
  </r>
  <r>
    <s v="5ea747d9-50ed-4fd0-9faf-c2bf73610331"/>
    <s v="c6ec003f-c76c-471d-8a3d-ed6c4447eeae"/>
    <n v="8155"/>
    <n v="3475"/>
    <n v="976"/>
    <n v="28.24"/>
    <n v="92686"/>
    <n v="46354"/>
    <n v="0.04"/>
    <s v="Image"/>
    <x v="139"/>
    <d v="1899-12-30T04:53:29"/>
    <n v="0.28239999999999998"/>
    <n v="4.0000000000000002E-4"/>
    <n v="12606"/>
    <n v="0.27195064072140485"/>
    <s v="Low CTR"/>
    <s v="High"/>
    <s v="Morning"/>
    <n v="3"/>
  </r>
  <r>
    <s v="5ea747d9-50ed-4fd0-9faf-c2bf73610331"/>
    <s v="c6ec003f-c76c-471d-8a3d-ed6c4447eeae"/>
    <n v="8155"/>
    <n v="3475"/>
    <n v="976"/>
    <n v="28.24"/>
    <n v="92686"/>
    <n v="46354"/>
    <n v="0.04"/>
    <s v="Image"/>
    <x v="140"/>
    <d v="1899-12-30T04:53:29"/>
    <n v="0.28239999999999998"/>
    <n v="4.0000000000000002E-4"/>
    <n v="12606"/>
    <n v="0.27195064072140485"/>
    <s v="Low CTR"/>
    <s v="High"/>
    <s v="Morning"/>
    <n v="3"/>
  </r>
  <r>
    <s v="5ea747d9-50ed-4fd0-9faf-c2bf73610331"/>
    <s v="c6ec003f-c76c-471d-8a3d-ed6c4447eeae"/>
    <n v="8155"/>
    <n v="3475"/>
    <n v="976"/>
    <n v="28.24"/>
    <n v="92686"/>
    <n v="46354"/>
    <n v="0.04"/>
    <s v="Image"/>
    <x v="141"/>
    <d v="1899-12-30T04:53:29"/>
    <n v="0.28239999999999998"/>
    <n v="4.0000000000000002E-4"/>
    <n v="12606"/>
    <n v="0.27195064072140485"/>
    <s v="Low CTR"/>
    <s v="High"/>
    <s v="Morning"/>
    <n v="3"/>
  </r>
  <r>
    <s v="ecf98644-e5a4-4663-bb97-257aa4b41e41"/>
    <s v="29715503-b8ff-4875-9bc0-d67cbea30290"/>
    <n v="442"/>
    <n v="4595"/>
    <n v="438"/>
    <n v="45.99"/>
    <n v="92672"/>
    <n v="41708"/>
    <n v="1.47"/>
    <s v="Text"/>
    <x v="7"/>
    <d v="1899-12-30T04:57:26"/>
    <n v="0.45990000000000003"/>
    <n v="1.47E-2"/>
    <n v="5475"/>
    <n v="0.13126978037786516"/>
    <s v="High CTR"/>
    <s v="High"/>
    <s v="Morning"/>
    <n v="3"/>
  </r>
  <r>
    <s v="ecf98644-e5a4-4663-bb97-257aa4b41e41"/>
    <s v="29715503-b8ff-4875-9bc0-d67cbea30290"/>
    <n v="442"/>
    <n v="4595"/>
    <n v="438"/>
    <n v="45.99"/>
    <n v="92672"/>
    <n v="41708"/>
    <n v="1.47"/>
    <s v="Text"/>
    <x v="142"/>
    <d v="1899-12-30T04:57:26"/>
    <n v="0.45990000000000003"/>
    <n v="1.47E-2"/>
    <n v="5475"/>
    <n v="0.13126978037786516"/>
    <s v="High CTR"/>
    <s v="High"/>
    <s v="Morning"/>
    <n v="3"/>
  </r>
  <r>
    <s v="ecf98644-e5a4-4663-bb97-257aa4b41e41"/>
    <s v="29715503-b8ff-4875-9bc0-d67cbea30290"/>
    <n v="442"/>
    <n v="4595"/>
    <n v="438"/>
    <n v="45.99"/>
    <n v="92672"/>
    <n v="41708"/>
    <n v="1.47"/>
    <s v="Text"/>
    <x v="143"/>
    <d v="1899-12-30T04:57:26"/>
    <n v="0.45990000000000003"/>
    <n v="1.47E-2"/>
    <n v="5475"/>
    <n v="0.13126978037786516"/>
    <s v="High CTR"/>
    <s v="High"/>
    <s v="Morning"/>
    <n v="3"/>
  </r>
  <r>
    <s v="d032b736-625f-445e-afa7-8628f7872c05"/>
    <s v="63c1e824-f85b-443e-9e80-1297f5dd77b2"/>
    <n v="4686"/>
    <n v="3253"/>
    <n v="1210"/>
    <n v="86.55"/>
    <n v="8706"/>
    <n v="82522"/>
    <n v="3.31"/>
    <s v="Poll"/>
    <x v="144"/>
    <d v="1899-12-30T04:43:40"/>
    <n v="0.86549999999999994"/>
    <n v="3.3099999999999997E-2"/>
    <n v="9149"/>
    <n v="0.11086740505562154"/>
    <s v="High CTR"/>
    <s v="High"/>
    <s v="Morning"/>
    <n v="3"/>
  </r>
  <r>
    <s v="d032b736-625f-445e-afa7-8628f7872c05"/>
    <s v="63c1e824-f85b-443e-9e80-1297f5dd77b2"/>
    <n v="4686"/>
    <n v="3253"/>
    <n v="1210"/>
    <n v="86.55"/>
    <n v="8706"/>
    <n v="82522"/>
    <n v="3.31"/>
    <s v="Poll"/>
    <x v="145"/>
    <d v="1899-12-30T04:43:40"/>
    <n v="0.86549999999999994"/>
    <n v="3.3099999999999997E-2"/>
    <n v="9149"/>
    <n v="0.11086740505562154"/>
    <s v="High CTR"/>
    <s v="High"/>
    <s v="Morning"/>
    <n v="3"/>
  </r>
  <r>
    <s v="d032b736-625f-445e-afa7-8628f7872c05"/>
    <s v="63c1e824-f85b-443e-9e80-1297f5dd77b2"/>
    <n v="4686"/>
    <n v="3253"/>
    <n v="1210"/>
    <n v="86.55"/>
    <n v="8706"/>
    <n v="82522"/>
    <n v="3.31"/>
    <s v="Poll"/>
    <x v="146"/>
    <d v="1899-12-30T04:43:40"/>
    <n v="0.86549999999999994"/>
    <n v="3.3099999999999997E-2"/>
    <n v="9149"/>
    <n v="0.11086740505562154"/>
    <s v="High CTR"/>
    <s v="High"/>
    <s v="Morning"/>
    <n v="3"/>
  </r>
  <r>
    <s v="e518fe80-23f6-4648-9f1b-da2d060f70fe"/>
    <s v="8f79b184-b535-4436-8e1a-9b89d5f3fe83"/>
    <n v="3940"/>
    <n v="1710"/>
    <n v="1805"/>
    <n v="85.12"/>
    <n v="34681"/>
    <n v="43696"/>
    <n v="2.65"/>
    <s v="Video"/>
    <x v="147"/>
    <d v="1899-12-30T11:38:20"/>
    <n v="0.85120000000000007"/>
    <n v="2.6499999999999999E-2"/>
    <n v="7455"/>
    <n v="0.17061058220432077"/>
    <s v="High CTR"/>
    <s v="High"/>
    <s v="Morning"/>
    <n v="3"/>
  </r>
  <r>
    <s v="e518fe80-23f6-4648-9f1b-da2d060f70fe"/>
    <s v="8f79b184-b535-4436-8e1a-9b89d5f3fe83"/>
    <n v="3940"/>
    <n v="1710"/>
    <n v="1805"/>
    <n v="85.12"/>
    <n v="34681"/>
    <n v="43696"/>
    <n v="2.65"/>
    <s v="Video"/>
    <x v="68"/>
    <d v="1899-12-30T11:38:20"/>
    <n v="0.85120000000000007"/>
    <n v="2.6499999999999999E-2"/>
    <n v="7455"/>
    <n v="0.17061058220432077"/>
    <s v="High CTR"/>
    <s v="High"/>
    <s v="Morning"/>
    <n v="3"/>
  </r>
  <r>
    <s v="e518fe80-23f6-4648-9f1b-da2d060f70fe"/>
    <s v="8f79b184-b535-4436-8e1a-9b89d5f3fe83"/>
    <n v="3940"/>
    <n v="1710"/>
    <n v="1805"/>
    <n v="85.12"/>
    <n v="34681"/>
    <n v="43696"/>
    <n v="2.65"/>
    <s v="Video"/>
    <x v="148"/>
    <d v="1899-12-30T11:38:20"/>
    <n v="0.85120000000000007"/>
    <n v="2.6499999999999999E-2"/>
    <n v="7455"/>
    <n v="0.17061058220432077"/>
    <s v="High CTR"/>
    <s v="High"/>
    <s v="Morning"/>
    <n v="3"/>
  </r>
  <r>
    <s v="82a683ac-a5dc-4401-b63d-dda64e413930"/>
    <s v="257c24ea-0ee3-404a-9b62-4d94efdb77d4"/>
    <n v="8032"/>
    <n v="3244"/>
    <n v="931"/>
    <n v="93.34"/>
    <n v="72236"/>
    <n v="45739"/>
    <n v="6.94"/>
    <s v="Video"/>
    <x v="149"/>
    <d v="1899-12-30T17:15:36"/>
    <n v="0.93340000000000001"/>
    <n v="6.9400000000000003E-2"/>
    <n v="12207"/>
    <n v="0.26688384092350076"/>
    <s v="High CTR"/>
    <s v="High"/>
    <s v="Evening"/>
    <n v="3"/>
  </r>
  <r>
    <s v="82a683ac-a5dc-4401-b63d-dda64e413930"/>
    <s v="257c24ea-0ee3-404a-9b62-4d94efdb77d4"/>
    <n v="8032"/>
    <n v="3244"/>
    <n v="931"/>
    <n v="93.34"/>
    <n v="72236"/>
    <n v="45739"/>
    <n v="6.94"/>
    <s v="Video"/>
    <x v="150"/>
    <d v="1899-12-30T17:15:36"/>
    <n v="0.93340000000000001"/>
    <n v="6.9400000000000003E-2"/>
    <n v="12207"/>
    <n v="0.26688384092350076"/>
    <s v="High CTR"/>
    <s v="High"/>
    <s v="Evening"/>
    <n v="3"/>
  </r>
  <r>
    <s v="82a683ac-a5dc-4401-b63d-dda64e413930"/>
    <s v="257c24ea-0ee3-404a-9b62-4d94efdb77d4"/>
    <n v="8032"/>
    <n v="3244"/>
    <n v="931"/>
    <n v="93.34"/>
    <n v="72236"/>
    <n v="45739"/>
    <n v="6.94"/>
    <s v="Video"/>
    <x v="151"/>
    <d v="1899-12-30T17:15:36"/>
    <n v="0.93340000000000001"/>
    <n v="6.9400000000000003E-2"/>
    <n v="12207"/>
    <n v="0.26688384092350076"/>
    <s v="High CTR"/>
    <s v="High"/>
    <s v="Evening"/>
    <n v="3"/>
  </r>
  <r>
    <s v="77fe9db2-73eb-4171-9471-f7a17b6aeb5e"/>
    <s v="b3937fc0-a7e5-400c-9d6d-402e70c98baa"/>
    <n v="6864"/>
    <n v="3244"/>
    <n v="273"/>
    <n v="43.37"/>
    <n v="60915"/>
    <n v="8474"/>
    <n v="2.69"/>
    <s v="Image"/>
    <x v="152"/>
    <d v="1899-12-30T22:31:34"/>
    <n v="0.43369999999999997"/>
    <n v="2.69E-2"/>
    <n v="10381"/>
    <n v="1"/>
    <s v="High CTR"/>
    <s v="High"/>
    <s v="Night"/>
    <n v="3"/>
  </r>
  <r>
    <s v="77fe9db2-73eb-4171-9471-f7a17b6aeb5e"/>
    <s v="b3937fc0-a7e5-400c-9d6d-402e70c98baa"/>
    <n v="6864"/>
    <n v="3244"/>
    <n v="273"/>
    <n v="43.37"/>
    <n v="60915"/>
    <n v="8474"/>
    <n v="2.69"/>
    <s v="Image"/>
    <x v="153"/>
    <d v="1899-12-30T22:31:34"/>
    <n v="0.43369999999999997"/>
    <n v="2.69E-2"/>
    <n v="10381"/>
    <n v="1"/>
    <s v="High CTR"/>
    <s v="High"/>
    <s v="Night"/>
    <n v="3"/>
  </r>
  <r>
    <s v="77fe9db2-73eb-4171-9471-f7a17b6aeb5e"/>
    <s v="b3937fc0-a7e5-400c-9d6d-402e70c98baa"/>
    <n v="6864"/>
    <n v="3244"/>
    <n v="273"/>
    <n v="43.37"/>
    <n v="60915"/>
    <n v="8474"/>
    <n v="2.69"/>
    <s v="Image"/>
    <x v="154"/>
    <d v="1899-12-30T22:31:34"/>
    <n v="0.43369999999999997"/>
    <n v="2.69E-2"/>
    <n v="10381"/>
    <n v="1"/>
    <s v="High CTR"/>
    <s v="High"/>
    <s v="Night"/>
    <n v="3"/>
  </r>
  <r>
    <s v="eee38604-5e95-4421-9912-a4a852666979"/>
    <s v="f63274cd-7dbc-4ddc-a301-11690dec711f"/>
    <n v="6910"/>
    <n v="1183"/>
    <n v="412"/>
    <n v="76.010000000000005"/>
    <n v="39520"/>
    <n v="10185"/>
    <n v="7.92"/>
    <s v="Video"/>
    <x v="155"/>
    <d v="1899-12-30T12:06:48"/>
    <n v="0.7601"/>
    <n v="7.9199999999999993E-2"/>
    <n v="8505"/>
    <n v="0.83505154639175261"/>
    <s v="High CTR"/>
    <s v="High"/>
    <s v="Afternoon"/>
    <n v="3"/>
  </r>
  <r>
    <s v="eee38604-5e95-4421-9912-a4a852666979"/>
    <s v="f63274cd-7dbc-4ddc-a301-11690dec711f"/>
    <n v="6910"/>
    <n v="1183"/>
    <n v="412"/>
    <n v="76.010000000000005"/>
    <n v="39520"/>
    <n v="10185"/>
    <n v="7.92"/>
    <s v="Video"/>
    <x v="156"/>
    <d v="1899-12-30T12:06:48"/>
    <n v="0.7601"/>
    <n v="7.9199999999999993E-2"/>
    <n v="8505"/>
    <n v="0.83505154639175261"/>
    <s v="High CTR"/>
    <s v="High"/>
    <s v="Afternoon"/>
    <n v="3"/>
  </r>
  <r>
    <s v="eee38604-5e95-4421-9912-a4a852666979"/>
    <s v="f63274cd-7dbc-4ddc-a301-11690dec711f"/>
    <n v="6910"/>
    <n v="1183"/>
    <n v="412"/>
    <n v="76.010000000000005"/>
    <n v="39520"/>
    <n v="10185"/>
    <n v="7.92"/>
    <s v="Video"/>
    <x v="144"/>
    <d v="1899-12-30T12:06:48"/>
    <n v="0.7601"/>
    <n v="7.9199999999999993E-2"/>
    <n v="8505"/>
    <n v="0.83505154639175261"/>
    <s v="High CTR"/>
    <s v="High"/>
    <s v="Afternoon"/>
    <n v="3"/>
  </r>
  <r>
    <s v="13b85f38-ee4c-4ed5-9434-6eb20fdcd8a5"/>
    <s v="78141ac2-c01f-4213-9f7f-990305846dc1"/>
    <n v="2467"/>
    <n v="3431"/>
    <n v="543"/>
    <n v="65.56"/>
    <n v="23172"/>
    <n v="60291"/>
    <n v="3.28"/>
    <s v="Text"/>
    <x v="157"/>
    <d v="1899-12-30T05:15:25"/>
    <n v="0.65560000000000007"/>
    <n v="3.2799999999999996E-2"/>
    <n v="6441"/>
    <n v="0.1068318654525551"/>
    <s v="High CTR"/>
    <s v="High"/>
    <s v="Morning"/>
    <n v="3"/>
  </r>
  <r>
    <s v="13b85f38-ee4c-4ed5-9434-6eb20fdcd8a5"/>
    <s v="78141ac2-c01f-4213-9f7f-990305846dc1"/>
    <n v="2467"/>
    <n v="3431"/>
    <n v="543"/>
    <n v="65.56"/>
    <n v="23172"/>
    <n v="60291"/>
    <n v="3.28"/>
    <s v="Text"/>
    <x v="158"/>
    <d v="1899-12-30T05:15:25"/>
    <n v="0.65560000000000007"/>
    <n v="3.2799999999999996E-2"/>
    <n v="6441"/>
    <n v="0.1068318654525551"/>
    <s v="High CTR"/>
    <s v="High"/>
    <s v="Morning"/>
    <n v="3"/>
  </r>
  <r>
    <s v="13b85f38-ee4c-4ed5-9434-6eb20fdcd8a5"/>
    <s v="78141ac2-c01f-4213-9f7f-990305846dc1"/>
    <n v="2467"/>
    <n v="3431"/>
    <n v="543"/>
    <n v="65.56"/>
    <n v="23172"/>
    <n v="60291"/>
    <n v="3.28"/>
    <s v="Text"/>
    <x v="159"/>
    <d v="1899-12-30T05:15:25"/>
    <n v="0.65560000000000007"/>
    <n v="3.2799999999999996E-2"/>
    <n v="6441"/>
    <n v="0.1068318654525551"/>
    <s v="High CTR"/>
    <s v="High"/>
    <s v="Morning"/>
    <n v="3"/>
  </r>
  <r>
    <s v="852ad19b-4e12-4580-b352-2e84c37e128d"/>
    <s v="d44d66f5-4975-4824-bcd1-7170bf5f757e"/>
    <n v="7340"/>
    <n v="3833"/>
    <n v="1540"/>
    <n v="57.3"/>
    <n v="89664"/>
    <n v="4521"/>
    <n v="3.01"/>
    <s v="Poll"/>
    <x v="160"/>
    <d v="1899-12-30T22:30:53"/>
    <n v="0.57299999999999995"/>
    <n v="3.0099999999999998E-2"/>
    <n v="12713"/>
    <n v="1"/>
    <s v="High CTR"/>
    <s v="High"/>
    <s v="Night"/>
    <n v="3"/>
  </r>
  <r>
    <s v="852ad19b-4e12-4580-b352-2e84c37e128d"/>
    <s v="d44d66f5-4975-4824-bcd1-7170bf5f757e"/>
    <n v="7340"/>
    <n v="3833"/>
    <n v="1540"/>
    <n v="57.3"/>
    <n v="89664"/>
    <n v="4521"/>
    <n v="3.01"/>
    <s v="Poll"/>
    <x v="161"/>
    <d v="1899-12-30T22:30:53"/>
    <n v="0.57299999999999995"/>
    <n v="3.0099999999999998E-2"/>
    <n v="12713"/>
    <n v="1"/>
    <s v="High CTR"/>
    <s v="High"/>
    <s v="Night"/>
    <n v="3"/>
  </r>
  <r>
    <s v="852ad19b-4e12-4580-b352-2e84c37e128d"/>
    <s v="d44d66f5-4975-4824-bcd1-7170bf5f757e"/>
    <n v="7340"/>
    <n v="3833"/>
    <n v="1540"/>
    <n v="57.3"/>
    <n v="89664"/>
    <n v="4521"/>
    <n v="3.01"/>
    <s v="Poll"/>
    <x v="162"/>
    <d v="1899-12-30T22:30:53"/>
    <n v="0.57299999999999995"/>
    <n v="3.0099999999999998E-2"/>
    <n v="12713"/>
    <n v="1"/>
    <s v="High CTR"/>
    <s v="High"/>
    <s v="Night"/>
    <n v="3"/>
  </r>
  <r>
    <s v="82860a7c-d74c-4b61-b944-fa451306e0e3"/>
    <s v="00780f45-d81f-457e-b5a6-ec4e830f9184"/>
    <n v="4233"/>
    <n v="4710"/>
    <n v="1712"/>
    <n v="69.64"/>
    <n v="72129"/>
    <n v="32810"/>
    <n v="1.59"/>
    <s v="Poll"/>
    <x v="65"/>
    <d v="1899-12-30T08:12:16"/>
    <n v="0.69640000000000002"/>
    <n v="1.5900000000000001E-2"/>
    <n v="10655"/>
    <n v="0.32474855227064919"/>
    <s v="High CTR"/>
    <s v="High"/>
    <s v="Morning"/>
    <n v="3"/>
  </r>
  <r>
    <s v="82860a7c-d74c-4b61-b944-fa451306e0e3"/>
    <s v="00780f45-d81f-457e-b5a6-ec4e830f9184"/>
    <n v="4233"/>
    <n v="4710"/>
    <n v="1712"/>
    <n v="69.64"/>
    <n v="72129"/>
    <n v="32810"/>
    <n v="1.59"/>
    <s v="Poll"/>
    <x v="163"/>
    <d v="1899-12-30T08:12:16"/>
    <n v="0.69640000000000002"/>
    <n v="1.5900000000000001E-2"/>
    <n v="10655"/>
    <n v="0.32474855227064919"/>
    <s v="High CTR"/>
    <s v="High"/>
    <s v="Morning"/>
    <n v="3"/>
  </r>
  <r>
    <s v="82860a7c-d74c-4b61-b944-fa451306e0e3"/>
    <s v="00780f45-d81f-457e-b5a6-ec4e830f9184"/>
    <n v="4233"/>
    <n v="4710"/>
    <n v="1712"/>
    <n v="69.64"/>
    <n v="72129"/>
    <n v="32810"/>
    <n v="1.59"/>
    <s v="Poll"/>
    <x v="164"/>
    <d v="1899-12-30T08:12:16"/>
    <n v="0.69640000000000002"/>
    <n v="1.5900000000000001E-2"/>
    <n v="10655"/>
    <n v="0.32474855227064919"/>
    <s v="High CTR"/>
    <s v="High"/>
    <s v="Morning"/>
    <n v="3"/>
  </r>
  <r>
    <s v="249b47bb-9608-4008-88d9-dd7690449078"/>
    <s v="ce325e65-6717-443c-bf04-c02ff1fd1661"/>
    <n v="634"/>
    <n v="4731"/>
    <n v="594"/>
    <n v="91.68"/>
    <n v="32937"/>
    <n v="36252"/>
    <n v="3.93"/>
    <s v="Text"/>
    <x v="165"/>
    <d v="1899-12-30T04:46:16"/>
    <n v="0.91680000000000006"/>
    <n v="3.9300000000000002E-2"/>
    <n v="5959"/>
    <n v="0.16437713781308619"/>
    <s v="High CTR"/>
    <s v="High"/>
    <s v="Morning"/>
    <n v="3"/>
  </r>
  <r>
    <s v="249b47bb-9608-4008-88d9-dd7690449078"/>
    <s v="ce325e65-6717-443c-bf04-c02ff1fd1661"/>
    <n v="634"/>
    <n v="4731"/>
    <n v="594"/>
    <n v="91.68"/>
    <n v="32937"/>
    <n v="36252"/>
    <n v="3.93"/>
    <s v="Text"/>
    <x v="166"/>
    <d v="1899-12-30T04:46:16"/>
    <n v="0.91680000000000006"/>
    <n v="3.9300000000000002E-2"/>
    <n v="5959"/>
    <n v="0.16437713781308619"/>
    <s v="High CTR"/>
    <s v="High"/>
    <s v="Morning"/>
    <n v="3"/>
  </r>
  <r>
    <s v="249b47bb-9608-4008-88d9-dd7690449078"/>
    <s v="ce325e65-6717-443c-bf04-c02ff1fd1661"/>
    <n v="634"/>
    <n v="4731"/>
    <n v="594"/>
    <n v="91.68"/>
    <n v="32937"/>
    <n v="36252"/>
    <n v="3.93"/>
    <s v="Text"/>
    <x v="167"/>
    <d v="1899-12-30T04:46:16"/>
    <n v="0.91680000000000006"/>
    <n v="3.9300000000000002E-2"/>
    <n v="5959"/>
    <n v="0.16437713781308619"/>
    <s v="High CTR"/>
    <s v="High"/>
    <s v="Morning"/>
    <n v="3"/>
  </r>
  <r>
    <s v="e36d1838-ed66-47e1-aad7-bc9980fa2b4d"/>
    <s v="9573b968-ecaa-437a-b1cc-4b7df70e3aa9"/>
    <n v="9147"/>
    <n v="2487"/>
    <n v="682"/>
    <n v="8.3800000000000008"/>
    <n v="81440"/>
    <n v="38733"/>
    <n v="5.0599999999999996"/>
    <s v="Image"/>
    <x v="168"/>
    <d v="1899-12-30T11:26:40"/>
    <n v="8.3800000000000013E-2"/>
    <n v="5.0599999999999999E-2"/>
    <n v="12316"/>
    <n v="0.31797175535073452"/>
    <s v="High CTR"/>
    <s v="High"/>
    <s v="Morning"/>
    <n v="3"/>
  </r>
  <r>
    <s v="e36d1838-ed66-47e1-aad7-bc9980fa2b4d"/>
    <s v="9573b968-ecaa-437a-b1cc-4b7df70e3aa9"/>
    <n v="9147"/>
    <n v="2487"/>
    <n v="682"/>
    <n v="8.3800000000000008"/>
    <n v="81440"/>
    <n v="38733"/>
    <n v="5.0599999999999996"/>
    <s v="Image"/>
    <x v="169"/>
    <d v="1899-12-30T11:26:40"/>
    <n v="8.3800000000000013E-2"/>
    <n v="5.0599999999999999E-2"/>
    <n v="12316"/>
    <n v="0.31797175535073452"/>
    <s v="High CTR"/>
    <s v="High"/>
    <s v="Morning"/>
    <n v="3"/>
  </r>
  <r>
    <s v="e36d1838-ed66-47e1-aad7-bc9980fa2b4d"/>
    <s v="9573b968-ecaa-437a-b1cc-4b7df70e3aa9"/>
    <n v="9147"/>
    <n v="2487"/>
    <n v="682"/>
    <n v="8.3800000000000008"/>
    <n v="81440"/>
    <n v="38733"/>
    <n v="5.0599999999999996"/>
    <s v="Image"/>
    <x v="41"/>
    <d v="1899-12-30T11:26:40"/>
    <n v="8.3800000000000013E-2"/>
    <n v="5.0599999999999999E-2"/>
    <n v="12316"/>
    <n v="0.31797175535073452"/>
    <s v="High CTR"/>
    <s v="High"/>
    <s v="Morning"/>
    <n v="3"/>
  </r>
  <r>
    <s v="c0638ddb-56ab-4e5b-b252-58a748da2bfd"/>
    <s v="78b621a3-39bb-4cd2-8be0-2c4edcc1f44e"/>
    <n v="1539"/>
    <n v="1142"/>
    <n v="1348"/>
    <n v="56.35"/>
    <n v="71384"/>
    <n v="70613"/>
    <n v="2.82"/>
    <s v="Poll"/>
    <x v="170"/>
    <d v="1899-12-30T12:56:57"/>
    <n v="0.5635"/>
    <n v="2.8199999999999999E-2"/>
    <n v="4029"/>
    <n v="5.7057482333281409E-2"/>
    <s v="High CTR"/>
    <s v="High"/>
    <s v="Afternoon"/>
    <n v="3"/>
  </r>
  <r>
    <s v="c0638ddb-56ab-4e5b-b252-58a748da2bfd"/>
    <s v="78b621a3-39bb-4cd2-8be0-2c4edcc1f44e"/>
    <n v="1539"/>
    <n v="1142"/>
    <n v="1348"/>
    <n v="56.35"/>
    <n v="71384"/>
    <n v="70613"/>
    <n v="2.82"/>
    <s v="Poll"/>
    <x v="171"/>
    <d v="1899-12-30T12:56:57"/>
    <n v="0.5635"/>
    <n v="2.8199999999999999E-2"/>
    <n v="4029"/>
    <n v="5.7057482333281409E-2"/>
    <s v="High CTR"/>
    <s v="High"/>
    <s v="Afternoon"/>
    <n v="3"/>
  </r>
  <r>
    <s v="c0638ddb-56ab-4e5b-b252-58a748da2bfd"/>
    <s v="78b621a3-39bb-4cd2-8be0-2c4edcc1f44e"/>
    <n v="1539"/>
    <n v="1142"/>
    <n v="1348"/>
    <n v="56.35"/>
    <n v="71384"/>
    <n v="70613"/>
    <n v="2.82"/>
    <s v="Poll"/>
    <x v="172"/>
    <d v="1899-12-30T12:56:57"/>
    <n v="0.5635"/>
    <n v="2.8199999999999999E-2"/>
    <n v="4029"/>
    <n v="5.7057482333281409E-2"/>
    <s v="High CTR"/>
    <s v="High"/>
    <s v="Afternoon"/>
    <n v="3"/>
  </r>
  <r>
    <s v="1c2396d0-86c6-4937-8953-69b1ac96f89e"/>
    <s v="46d2fc1c-ee7d-4556-a03f-34cfb156aaf0"/>
    <n v="6402"/>
    <n v="3168"/>
    <n v="390"/>
    <n v="38.01"/>
    <n v="40172"/>
    <n v="81320"/>
    <n v="8.4600000000000009"/>
    <s v="Image"/>
    <x v="142"/>
    <d v="1899-12-30T05:01:35"/>
    <n v="0.38009999999999999"/>
    <n v="8.4600000000000009E-2"/>
    <n v="9960"/>
    <n v="0.12247909493359567"/>
    <s v="High CTR"/>
    <s v="High"/>
    <s v="Morning"/>
    <n v="3"/>
  </r>
  <r>
    <s v="1c2396d0-86c6-4937-8953-69b1ac96f89e"/>
    <s v="46d2fc1c-ee7d-4556-a03f-34cfb156aaf0"/>
    <n v="6402"/>
    <n v="3168"/>
    <n v="390"/>
    <n v="38.01"/>
    <n v="40172"/>
    <n v="81320"/>
    <n v="8.4600000000000009"/>
    <s v="Image"/>
    <x v="173"/>
    <d v="1899-12-30T05:01:35"/>
    <n v="0.38009999999999999"/>
    <n v="8.4600000000000009E-2"/>
    <n v="9960"/>
    <n v="0.12247909493359567"/>
    <s v="High CTR"/>
    <s v="High"/>
    <s v="Morning"/>
    <n v="3"/>
  </r>
  <r>
    <s v="1c2396d0-86c6-4937-8953-69b1ac96f89e"/>
    <s v="46d2fc1c-ee7d-4556-a03f-34cfb156aaf0"/>
    <n v="6402"/>
    <n v="3168"/>
    <n v="390"/>
    <n v="38.01"/>
    <n v="40172"/>
    <n v="81320"/>
    <n v="8.4600000000000009"/>
    <s v="Image"/>
    <x v="174"/>
    <d v="1899-12-30T05:01:35"/>
    <n v="0.38009999999999999"/>
    <n v="8.4600000000000009E-2"/>
    <n v="9960"/>
    <n v="0.12247909493359567"/>
    <s v="High CTR"/>
    <s v="High"/>
    <s v="Morning"/>
    <n v="3"/>
  </r>
  <r>
    <s v="5b22ebc2-d4bd-42c3-8ba2-c2dd6ca9a504"/>
    <s v="03135995-0600-4324-a8a5-a8858fa18a50"/>
    <n v="1177"/>
    <n v="2086"/>
    <n v="1174"/>
    <n v="28.82"/>
    <n v="79052"/>
    <n v="53208"/>
    <n v="8.11"/>
    <s v="Video"/>
    <x v="175"/>
    <d v="1899-12-30T18:07:32"/>
    <n v="0.28820000000000001"/>
    <n v="8.1099999999999992E-2"/>
    <n v="4437"/>
    <n v="8.3389715832205683E-2"/>
    <s v="High CTR"/>
    <s v="High"/>
    <s v="Evening"/>
    <n v="3"/>
  </r>
  <r>
    <s v="5b22ebc2-d4bd-42c3-8ba2-c2dd6ca9a504"/>
    <s v="03135995-0600-4324-a8a5-a8858fa18a50"/>
    <n v="1177"/>
    <n v="2086"/>
    <n v="1174"/>
    <n v="28.82"/>
    <n v="79052"/>
    <n v="53208"/>
    <n v="8.11"/>
    <s v="Video"/>
    <x v="176"/>
    <d v="1899-12-30T18:07:32"/>
    <n v="0.28820000000000001"/>
    <n v="8.1099999999999992E-2"/>
    <n v="4437"/>
    <n v="8.3389715832205683E-2"/>
    <s v="High CTR"/>
    <s v="High"/>
    <s v="Evening"/>
    <n v="3"/>
  </r>
  <r>
    <s v="5b22ebc2-d4bd-42c3-8ba2-c2dd6ca9a504"/>
    <s v="03135995-0600-4324-a8a5-a8858fa18a50"/>
    <n v="1177"/>
    <n v="2086"/>
    <n v="1174"/>
    <n v="28.82"/>
    <n v="79052"/>
    <n v="53208"/>
    <n v="8.11"/>
    <s v="Video"/>
    <x v="177"/>
    <d v="1899-12-30T18:07:32"/>
    <n v="0.28820000000000001"/>
    <n v="8.1099999999999992E-2"/>
    <n v="4437"/>
    <n v="8.3389715832205683E-2"/>
    <s v="High CTR"/>
    <s v="High"/>
    <s v="Evening"/>
    <n v="3"/>
  </r>
  <r>
    <s v="83681b56-9ce8-489c-8aa9-2d3a1777386b"/>
    <s v="4ea471ea-4874-42f3-bf18-29a9a12fd1ac"/>
    <n v="4125"/>
    <n v="1929"/>
    <n v="1163"/>
    <n v="39.28"/>
    <n v="25416"/>
    <n v="93965"/>
    <n v="4.57"/>
    <s v="Video"/>
    <x v="178"/>
    <d v="1899-12-30T01:42:33"/>
    <n v="0.39280000000000004"/>
    <n v="4.5700000000000005E-2"/>
    <n v="7217"/>
    <n v="7.6805193423083062E-2"/>
    <s v="High CTR"/>
    <s v="High"/>
    <s v="Morning"/>
    <n v="3"/>
  </r>
  <r>
    <s v="83681b56-9ce8-489c-8aa9-2d3a1777386b"/>
    <s v="4ea471ea-4874-42f3-bf18-29a9a12fd1ac"/>
    <n v="4125"/>
    <n v="1929"/>
    <n v="1163"/>
    <n v="39.28"/>
    <n v="25416"/>
    <n v="93965"/>
    <n v="4.57"/>
    <s v="Video"/>
    <x v="179"/>
    <d v="1899-12-30T01:42:33"/>
    <n v="0.39280000000000004"/>
    <n v="4.5700000000000005E-2"/>
    <n v="7217"/>
    <n v="7.6805193423083062E-2"/>
    <s v="High CTR"/>
    <s v="High"/>
    <s v="Morning"/>
    <n v="3"/>
  </r>
  <r>
    <s v="83681b56-9ce8-489c-8aa9-2d3a1777386b"/>
    <s v="4ea471ea-4874-42f3-bf18-29a9a12fd1ac"/>
    <n v="4125"/>
    <n v="1929"/>
    <n v="1163"/>
    <n v="39.28"/>
    <n v="25416"/>
    <n v="93965"/>
    <n v="4.57"/>
    <s v="Video"/>
    <x v="180"/>
    <d v="1899-12-30T01:42:33"/>
    <n v="0.39280000000000004"/>
    <n v="4.5700000000000005E-2"/>
    <n v="7217"/>
    <n v="7.6805193423083062E-2"/>
    <s v="High CTR"/>
    <s v="High"/>
    <s v="Morning"/>
    <n v="3"/>
  </r>
  <r>
    <s v="71fa4a06-69c6-4dee-91cf-c090ab9ba41b"/>
    <s v="b8006c84-da63-4548-ae86-4dbd6ce179e4"/>
    <n v="5820"/>
    <n v="4013"/>
    <n v="538"/>
    <n v="83.64"/>
    <n v="66201"/>
    <n v="86547"/>
    <n v="5.41"/>
    <s v="Image"/>
    <x v="84"/>
    <d v="1899-12-30T16:34:33"/>
    <n v="0.83640000000000003"/>
    <n v="5.4100000000000002E-2"/>
    <n v="10371"/>
    <n v="0.1198308433567888"/>
    <s v="High CTR"/>
    <s v="High"/>
    <s v="Afternoon"/>
    <n v="3"/>
  </r>
  <r>
    <s v="71fa4a06-69c6-4dee-91cf-c090ab9ba41b"/>
    <s v="b8006c84-da63-4548-ae86-4dbd6ce179e4"/>
    <n v="5820"/>
    <n v="4013"/>
    <n v="538"/>
    <n v="83.64"/>
    <n v="66201"/>
    <n v="86547"/>
    <n v="5.41"/>
    <s v="Image"/>
    <x v="181"/>
    <d v="1899-12-30T16:34:33"/>
    <n v="0.83640000000000003"/>
    <n v="5.4100000000000002E-2"/>
    <n v="10371"/>
    <n v="0.1198308433567888"/>
    <s v="High CTR"/>
    <s v="High"/>
    <s v="Afternoon"/>
    <n v="3"/>
  </r>
  <r>
    <s v="71fa4a06-69c6-4dee-91cf-c090ab9ba41b"/>
    <s v="b8006c84-da63-4548-ae86-4dbd6ce179e4"/>
    <n v="5820"/>
    <n v="4013"/>
    <n v="538"/>
    <n v="83.64"/>
    <n v="66201"/>
    <n v="86547"/>
    <n v="5.41"/>
    <s v="Image"/>
    <x v="168"/>
    <d v="1899-12-30T16:34:33"/>
    <n v="0.83640000000000003"/>
    <n v="5.4100000000000002E-2"/>
    <n v="10371"/>
    <n v="0.1198308433567888"/>
    <s v="High CTR"/>
    <s v="High"/>
    <s v="Afternoon"/>
    <n v="3"/>
  </r>
  <r>
    <s v="866fdf7a-0fcc-4a37-bba1-72e277dfc4eb"/>
    <s v="2e469a87-4975-49b8-b20b-600c4d0b182b"/>
    <n v="9329"/>
    <n v="2816"/>
    <n v="829"/>
    <n v="33.369999999999997"/>
    <n v="39740"/>
    <n v="76850"/>
    <n v="4.66"/>
    <s v="Image"/>
    <x v="182"/>
    <d v="1899-12-30T16:23:46"/>
    <n v="0.3337"/>
    <n v="4.6600000000000003E-2"/>
    <n v="12974"/>
    <n v="0.16882238126219909"/>
    <s v="High CTR"/>
    <s v="High"/>
    <s v="Afternoon"/>
    <n v="3"/>
  </r>
  <r>
    <s v="866fdf7a-0fcc-4a37-bba1-72e277dfc4eb"/>
    <s v="2e469a87-4975-49b8-b20b-600c4d0b182b"/>
    <n v="9329"/>
    <n v="2816"/>
    <n v="829"/>
    <n v="33.369999999999997"/>
    <n v="39740"/>
    <n v="76850"/>
    <n v="4.66"/>
    <s v="Image"/>
    <x v="183"/>
    <d v="1899-12-30T16:23:46"/>
    <n v="0.3337"/>
    <n v="4.6600000000000003E-2"/>
    <n v="12974"/>
    <n v="0.16882238126219909"/>
    <s v="High CTR"/>
    <s v="High"/>
    <s v="Afternoon"/>
    <n v="3"/>
  </r>
  <r>
    <s v="866fdf7a-0fcc-4a37-bba1-72e277dfc4eb"/>
    <s v="2e469a87-4975-49b8-b20b-600c4d0b182b"/>
    <n v="9329"/>
    <n v="2816"/>
    <n v="829"/>
    <n v="33.369999999999997"/>
    <n v="39740"/>
    <n v="76850"/>
    <n v="4.66"/>
    <s v="Image"/>
    <x v="184"/>
    <d v="1899-12-30T16:23:46"/>
    <n v="0.3337"/>
    <n v="4.6600000000000003E-2"/>
    <n v="12974"/>
    <n v="0.16882238126219909"/>
    <s v="High CTR"/>
    <s v="High"/>
    <s v="Afternoon"/>
    <n v="3"/>
  </r>
  <r>
    <s v="96418f4a-cd38-4449-9e85-33867859ce96"/>
    <s v="bac0f4f7-e53c-49a3-be2c-9516e9bc0512"/>
    <n v="5237"/>
    <n v="1959"/>
    <n v="1002"/>
    <n v="84.09"/>
    <n v="30521"/>
    <n v="79392"/>
    <n v="1.18"/>
    <s v="Image"/>
    <x v="185"/>
    <d v="1899-12-30T02:44:24"/>
    <n v="0.84089999999999998"/>
    <n v="1.18E-2"/>
    <n v="8198"/>
    <n v="0.10325977428456268"/>
    <s v="High CTR"/>
    <s v="High"/>
    <s v="Morning"/>
    <n v="3"/>
  </r>
  <r>
    <s v="96418f4a-cd38-4449-9e85-33867859ce96"/>
    <s v="bac0f4f7-e53c-49a3-be2c-9516e9bc0512"/>
    <n v="5237"/>
    <n v="1959"/>
    <n v="1002"/>
    <n v="84.09"/>
    <n v="30521"/>
    <n v="79392"/>
    <n v="1.18"/>
    <s v="Image"/>
    <x v="186"/>
    <d v="1899-12-30T02:44:24"/>
    <n v="0.84089999999999998"/>
    <n v="1.18E-2"/>
    <n v="8198"/>
    <n v="0.10325977428456268"/>
    <s v="High CTR"/>
    <s v="High"/>
    <s v="Morning"/>
    <n v="3"/>
  </r>
  <r>
    <s v="96418f4a-cd38-4449-9e85-33867859ce96"/>
    <s v="bac0f4f7-e53c-49a3-be2c-9516e9bc0512"/>
    <n v="5237"/>
    <n v="1959"/>
    <n v="1002"/>
    <n v="84.09"/>
    <n v="30521"/>
    <n v="79392"/>
    <n v="1.18"/>
    <s v="Image"/>
    <x v="187"/>
    <d v="1899-12-30T02:44:24"/>
    <n v="0.84089999999999998"/>
    <n v="1.18E-2"/>
    <n v="8198"/>
    <n v="0.10325977428456268"/>
    <s v="High CTR"/>
    <s v="High"/>
    <s v="Morning"/>
    <n v="3"/>
  </r>
  <r>
    <s v="91e5c811-e505-453f-9cc9-8f384283bd7f"/>
    <s v="e338db75-bcf4-4220-be7b-3f5cdb1cc2b5"/>
    <n v="8547"/>
    <n v="1210"/>
    <n v="1608"/>
    <n v="98.82"/>
    <n v="22409"/>
    <n v="38463"/>
    <n v="5.0199999999999996"/>
    <s v="Text"/>
    <x v="188"/>
    <d v="1899-12-30T21:47:40"/>
    <n v="0.98819999999999997"/>
    <n v="5.0199999999999995E-2"/>
    <n v="11365"/>
    <n v="0.29547877180667137"/>
    <s v="High CTR"/>
    <s v="High"/>
    <s v="Night"/>
    <n v="3"/>
  </r>
  <r>
    <s v="91e5c811-e505-453f-9cc9-8f384283bd7f"/>
    <s v="e338db75-bcf4-4220-be7b-3f5cdb1cc2b5"/>
    <n v="8547"/>
    <n v="1210"/>
    <n v="1608"/>
    <n v="98.82"/>
    <n v="22409"/>
    <n v="38463"/>
    <n v="5.0199999999999996"/>
    <s v="Text"/>
    <x v="189"/>
    <d v="1899-12-30T21:47:40"/>
    <n v="0.98819999999999997"/>
    <n v="5.0199999999999995E-2"/>
    <n v="11365"/>
    <n v="0.29547877180667137"/>
    <s v="High CTR"/>
    <s v="High"/>
    <s v="Night"/>
    <n v="3"/>
  </r>
  <r>
    <s v="91e5c811-e505-453f-9cc9-8f384283bd7f"/>
    <s v="e338db75-bcf4-4220-be7b-3f5cdb1cc2b5"/>
    <n v="8547"/>
    <n v="1210"/>
    <n v="1608"/>
    <n v="98.82"/>
    <n v="22409"/>
    <n v="38463"/>
    <n v="5.0199999999999996"/>
    <s v="Text"/>
    <x v="190"/>
    <d v="1899-12-30T21:47:40"/>
    <n v="0.98819999999999997"/>
    <n v="5.0199999999999995E-2"/>
    <n v="11365"/>
    <n v="0.29547877180667137"/>
    <s v="High CTR"/>
    <s v="High"/>
    <s v="Night"/>
    <n v="3"/>
  </r>
  <r>
    <s v="aeccf81f-b9a3-4a78-9261-e9a42c11f511"/>
    <s v="d6e01c3f-6fc5-4121-a48a-303f5c8bd8f1"/>
    <n v="1558"/>
    <n v="1770"/>
    <n v="257"/>
    <n v="46.78"/>
    <n v="99233"/>
    <n v="68892"/>
    <n v="9.34"/>
    <s v="Video"/>
    <x v="191"/>
    <d v="1899-12-30T04:29:38"/>
    <n v="0.46779999999999999"/>
    <n v="9.3399999999999997E-2"/>
    <n v="3585"/>
    <n v="5.2037972478662251E-2"/>
    <s v="High CTR"/>
    <s v="High"/>
    <s v="Morning"/>
    <n v="3"/>
  </r>
  <r>
    <s v="aeccf81f-b9a3-4a78-9261-e9a42c11f511"/>
    <s v="d6e01c3f-6fc5-4121-a48a-303f5c8bd8f1"/>
    <n v="1558"/>
    <n v="1770"/>
    <n v="257"/>
    <n v="46.78"/>
    <n v="99233"/>
    <n v="68892"/>
    <n v="9.34"/>
    <s v="Video"/>
    <x v="192"/>
    <d v="1899-12-30T04:29:38"/>
    <n v="0.46779999999999999"/>
    <n v="9.3399999999999997E-2"/>
    <n v="3585"/>
    <n v="5.2037972478662251E-2"/>
    <s v="High CTR"/>
    <s v="High"/>
    <s v="Morning"/>
    <n v="3"/>
  </r>
  <r>
    <s v="aeccf81f-b9a3-4a78-9261-e9a42c11f511"/>
    <s v="d6e01c3f-6fc5-4121-a48a-303f5c8bd8f1"/>
    <n v="1558"/>
    <n v="1770"/>
    <n v="257"/>
    <n v="46.78"/>
    <n v="99233"/>
    <n v="68892"/>
    <n v="9.34"/>
    <s v="Video"/>
    <x v="193"/>
    <d v="1899-12-30T04:29:38"/>
    <n v="0.46779999999999999"/>
    <n v="9.3399999999999997E-2"/>
    <n v="3585"/>
    <n v="5.2037972478662251E-2"/>
    <s v="High CTR"/>
    <s v="High"/>
    <s v="Morning"/>
    <n v="3"/>
  </r>
  <r>
    <s v="56bdcf3a-5589-4c0a-a7a1-d59fdc478922"/>
    <s v="440b7ad5-3bc8-4bff-864c-fe190438e84a"/>
    <n v="7107"/>
    <n v="1726"/>
    <n v="617"/>
    <n v="34.4"/>
    <n v="82278"/>
    <n v="99906"/>
    <n v="3.45"/>
    <s v="Image"/>
    <x v="17"/>
    <d v="1899-12-30T16:15:46"/>
    <n v="0.34399999999999997"/>
    <n v="3.4500000000000003E-2"/>
    <n v="9450"/>
    <n v="9.4588913578764033E-2"/>
    <s v="High CTR"/>
    <s v="High"/>
    <s v="Afternoon"/>
    <n v="3"/>
  </r>
  <r>
    <s v="56bdcf3a-5589-4c0a-a7a1-d59fdc478922"/>
    <s v="440b7ad5-3bc8-4bff-864c-fe190438e84a"/>
    <n v="7107"/>
    <n v="1726"/>
    <n v="617"/>
    <n v="34.4"/>
    <n v="82278"/>
    <n v="99906"/>
    <n v="3.45"/>
    <s v="Image"/>
    <x v="194"/>
    <d v="1899-12-30T16:15:46"/>
    <n v="0.34399999999999997"/>
    <n v="3.4500000000000003E-2"/>
    <n v="9450"/>
    <n v="9.4588913578764033E-2"/>
    <s v="High CTR"/>
    <s v="High"/>
    <s v="Afternoon"/>
    <n v="3"/>
  </r>
  <r>
    <s v="56bdcf3a-5589-4c0a-a7a1-d59fdc478922"/>
    <s v="440b7ad5-3bc8-4bff-864c-fe190438e84a"/>
    <n v="7107"/>
    <n v="1726"/>
    <n v="617"/>
    <n v="34.4"/>
    <n v="82278"/>
    <n v="99906"/>
    <n v="3.45"/>
    <s v="Image"/>
    <x v="195"/>
    <d v="1899-12-30T16:15:46"/>
    <n v="0.34399999999999997"/>
    <n v="3.4500000000000003E-2"/>
    <n v="9450"/>
    <n v="9.4588913578764033E-2"/>
    <s v="High CTR"/>
    <s v="High"/>
    <s v="Afternoon"/>
    <n v="3"/>
  </r>
  <r>
    <s v="29fc9f45-341d-4f58-9d87-96b263ae9945"/>
    <s v="84bf202c-d53f-4f8c-8ad9-7e506f336dd2"/>
    <n v="7076"/>
    <n v="3721"/>
    <n v="775"/>
    <n v="26.12"/>
    <n v="3316"/>
    <n v="79256"/>
    <n v="9.11"/>
    <s v="Poll"/>
    <x v="188"/>
    <d v="1899-12-30T05:39:10"/>
    <n v="0.26119999999999999"/>
    <n v="9.11E-2"/>
    <n v="11572"/>
    <n v="0.14600787322095488"/>
    <s v="High CTR"/>
    <s v="High"/>
    <s v="Morning"/>
    <n v="3"/>
  </r>
  <r>
    <s v="29fc9f45-341d-4f58-9d87-96b263ae9945"/>
    <s v="84bf202c-d53f-4f8c-8ad9-7e506f336dd2"/>
    <n v="7076"/>
    <n v="3721"/>
    <n v="775"/>
    <n v="26.12"/>
    <n v="3316"/>
    <n v="79256"/>
    <n v="9.11"/>
    <s v="Poll"/>
    <x v="196"/>
    <d v="1899-12-30T05:39:10"/>
    <n v="0.26119999999999999"/>
    <n v="9.11E-2"/>
    <n v="11572"/>
    <n v="0.14600787322095488"/>
    <s v="High CTR"/>
    <s v="High"/>
    <s v="Morning"/>
    <n v="3"/>
  </r>
  <r>
    <s v="29fc9f45-341d-4f58-9d87-96b263ae9945"/>
    <s v="84bf202c-d53f-4f8c-8ad9-7e506f336dd2"/>
    <n v="7076"/>
    <n v="3721"/>
    <n v="775"/>
    <n v="26.12"/>
    <n v="3316"/>
    <n v="79256"/>
    <n v="9.11"/>
    <s v="Poll"/>
    <x v="18"/>
    <d v="1899-12-30T05:39:10"/>
    <n v="0.26119999999999999"/>
    <n v="9.11E-2"/>
    <n v="11572"/>
    <n v="0.14600787322095488"/>
    <s v="High CTR"/>
    <s v="High"/>
    <s v="Morning"/>
    <n v="3"/>
  </r>
  <r>
    <s v="f4a52772-e6fa-4f1b-a41d-d5f6970adba5"/>
    <s v="51616fa0-5c18-4168-8a73-20244e788980"/>
    <n v="8667"/>
    <n v="4659"/>
    <n v="222"/>
    <n v="29.22"/>
    <n v="73362"/>
    <n v="87835"/>
    <n v="7.53"/>
    <s v="Text"/>
    <x v="197"/>
    <d v="1899-12-30T15:17:17"/>
    <n v="0.29220000000000002"/>
    <n v="7.5300000000000006E-2"/>
    <n v="13548"/>
    <n v="0.15424375249046507"/>
    <s v="High CTR"/>
    <s v="High"/>
    <s v="Afternoon"/>
    <n v="3"/>
  </r>
  <r>
    <s v="f4a52772-e6fa-4f1b-a41d-d5f6970adba5"/>
    <s v="51616fa0-5c18-4168-8a73-20244e788980"/>
    <n v="8667"/>
    <n v="4659"/>
    <n v="222"/>
    <n v="29.22"/>
    <n v="73362"/>
    <n v="87835"/>
    <n v="7.53"/>
    <s v="Text"/>
    <x v="54"/>
    <d v="1899-12-30T15:17:17"/>
    <n v="0.29220000000000002"/>
    <n v="7.5300000000000006E-2"/>
    <n v="13548"/>
    <n v="0.15424375249046507"/>
    <s v="High CTR"/>
    <s v="High"/>
    <s v="Afternoon"/>
    <n v="3"/>
  </r>
  <r>
    <s v="f4a52772-e6fa-4f1b-a41d-d5f6970adba5"/>
    <s v="51616fa0-5c18-4168-8a73-20244e788980"/>
    <n v="8667"/>
    <n v="4659"/>
    <n v="222"/>
    <n v="29.22"/>
    <n v="73362"/>
    <n v="87835"/>
    <n v="7.53"/>
    <s v="Text"/>
    <x v="198"/>
    <d v="1899-12-30T15:17:17"/>
    <n v="0.29220000000000002"/>
    <n v="7.5300000000000006E-2"/>
    <n v="13548"/>
    <n v="0.15424375249046507"/>
    <s v="High CTR"/>
    <s v="High"/>
    <s v="Afternoon"/>
    <n v="3"/>
  </r>
  <r>
    <s v="29371e78-a5fc-4485-9fc5-6169abadf659"/>
    <s v="89f831e6-51a2-45ef-a5b8-e452d2dc74a4"/>
    <n v="5517"/>
    <n v="3317"/>
    <n v="1629"/>
    <n v="81.040000000000006"/>
    <n v="35082"/>
    <n v="71686"/>
    <n v="6.3"/>
    <s v="Poll"/>
    <x v="199"/>
    <d v="1899-12-30T07:44:30"/>
    <n v="0.81040000000000001"/>
    <n v="6.3E-2"/>
    <n v="10463"/>
    <n v="0.14595597466729907"/>
    <s v="High CTR"/>
    <s v="High"/>
    <s v="Morning"/>
    <n v="3"/>
  </r>
  <r>
    <s v="29371e78-a5fc-4485-9fc5-6169abadf659"/>
    <s v="89f831e6-51a2-45ef-a5b8-e452d2dc74a4"/>
    <n v="5517"/>
    <n v="3317"/>
    <n v="1629"/>
    <n v="81.040000000000006"/>
    <n v="35082"/>
    <n v="71686"/>
    <n v="6.3"/>
    <s v="Poll"/>
    <x v="200"/>
    <d v="1899-12-30T07:44:30"/>
    <n v="0.81040000000000001"/>
    <n v="6.3E-2"/>
    <n v="10463"/>
    <n v="0.14595597466729907"/>
    <s v="High CTR"/>
    <s v="High"/>
    <s v="Morning"/>
    <n v="3"/>
  </r>
  <r>
    <s v="29371e78-a5fc-4485-9fc5-6169abadf659"/>
    <s v="89f831e6-51a2-45ef-a5b8-e452d2dc74a4"/>
    <n v="5517"/>
    <n v="3317"/>
    <n v="1629"/>
    <n v="81.040000000000006"/>
    <n v="35082"/>
    <n v="71686"/>
    <n v="6.3"/>
    <s v="Poll"/>
    <x v="201"/>
    <d v="1899-12-30T07:44:30"/>
    <n v="0.81040000000000001"/>
    <n v="6.3E-2"/>
    <n v="10463"/>
    <n v="0.14595597466729907"/>
    <s v="High CTR"/>
    <s v="High"/>
    <s v="Morning"/>
    <n v="3"/>
  </r>
  <r>
    <s v="457cfd4e-a8d6-42fb-a11b-865d9c927194"/>
    <s v="8d7bf248-176f-4cc9-bfc2-9140f66352af"/>
    <n v="602"/>
    <n v="3325"/>
    <n v="1378"/>
    <n v="97.5"/>
    <n v="2480"/>
    <n v="36321"/>
    <n v="8.34"/>
    <s v="Image"/>
    <x v="202"/>
    <d v="1899-12-30T18:05:48"/>
    <n v="0.97499999999999998"/>
    <n v="8.3400000000000002E-2"/>
    <n v="5305"/>
    <n v="0.14605875388893477"/>
    <s v="High CTR"/>
    <s v="High"/>
    <s v="Evening"/>
    <n v="3"/>
  </r>
  <r>
    <s v="457cfd4e-a8d6-42fb-a11b-865d9c927194"/>
    <s v="8d7bf248-176f-4cc9-bfc2-9140f66352af"/>
    <n v="602"/>
    <n v="3325"/>
    <n v="1378"/>
    <n v="97.5"/>
    <n v="2480"/>
    <n v="36321"/>
    <n v="8.34"/>
    <s v="Image"/>
    <x v="35"/>
    <d v="1899-12-30T18:05:48"/>
    <n v="0.97499999999999998"/>
    <n v="8.3400000000000002E-2"/>
    <n v="5305"/>
    <n v="0.14605875388893477"/>
    <s v="High CTR"/>
    <s v="High"/>
    <s v="Evening"/>
    <n v="3"/>
  </r>
  <r>
    <s v="457cfd4e-a8d6-42fb-a11b-865d9c927194"/>
    <s v="8d7bf248-176f-4cc9-bfc2-9140f66352af"/>
    <n v="602"/>
    <n v="3325"/>
    <n v="1378"/>
    <n v="97.5"/>
    <n v="2480"/>
    <n v="36321"/>
    <n v="8.34"/>
    <s v="Image"/>
    <x v="203"/>
    <d v="1899-12-30T18:05:48"/>
    <n v="0.97499999999999998"/>
    <n v="8.3400000000000002E-2"/>
    <n v="5305"/>
    <n v="0.14605875388893477"/>
    <s v="High CTR"/>
    <s v="High"/>
    <s v="Evening"/>
    <n v="3"/>
  </r>
  <r>
    <s v="91687029-404f-48cd-bb4d-3229e5f385d7"/>
    <s v="79374c61-8472-4980-b610-21d68ed73450"/>
    <n v="9150"/>
    <n v="923"/>
    <n v="1938"/>
    <n v="15.72"/>
    <n v="8652"/>
    <n v="49195"/>
    <n v="3.78"/>
    <s v="Video"/>
    <x v="204"/>
    <d v="1899-12-30T20:27:53"/>
    <n v="0.15720000000000001"/>
    <n v="3.78E-2"/>
    <n v="12011"/>
    <n v="0.24415082833621302"/>
    <s v="High CTR"/>
    <s v="High"/>
    <s v="Evening"/>
    <n v="3"/>
  </r>
  <r>
    <s v="91687029-404f-48cd-bb4d-3229e5f385d7"/>
    <s v="79374c61-8472-4980-b610-21d68ed73450"/>
    <n v="9150"/>
    <n v="923"/>
    <n v="1938"/>
    <n v="15.72"/>
    <n v="8652"/>
    <n v="49195"/>
    <n v="3.78"/>
    <s v="Video"/>
    <x v="205"/>
    <d v="1899-12-30T20:27:53"/>
    <n v="0.15720000000000001"/>
    <n v="3.78E-2"/>
    <n v="12011"/>
    <n v="0.24415082833621302"/>
    <s v="High CTR"/>
    <s v="High"/>
    <s v="Evening"/>
    <n v="3"/>
  </r>
  <r>
    <s v="91687029-404f-48cd-bb4d-3229e5f385d7"/>
    <s v="79374c61-8472-4980-b610-21d68ed73450"/>
    <n v="9150"/>
    <n v="923"/>
    <n v="1938"/>
    <n v="15.72"/>
    <n v="8652"/>
    <n v="49195"/>
    <n v="3.78"/>
    <s v="Video"/>
    <x v="54"/>
    <d v="1899-12-30T20:27:53"/>
    <n v="0.15720000000000001"/>
    <n v="3.78E-2"/>
    <n v="12011"/>
    <n v="0.24415082833621302"/>
    <s v="High CTR"/>
    <s v="High"/>
    <s v="Evening"/>
    <n v="3"/>
  </r>
  <r>
    <s v="3cac435c-6b07-45c7-9916-b1c62c301100"/>
    <s v="43f01069-0407-410d-8d41-c2cd192beba0"/>
    <n v="3461"/>
    <n v="2000"/>
    <n v="1629"/>
    <n v="40.06"/>
    <n v="92139"/>
    <n v="49340"/>
    <n v="8.91"/>
    <s v="Video"/>
    <x v="206"/>
    <d v="1899-12-30T18:23:08"/>
    <n v="0.40060000000000001"/>
    <n v="8.9099999999999999E-2"/>
    <n v="7090"/>
    <n v="0.14369679773003649"/>
    <s v="High CTR"/>
    <s v="High"/>
    <s v="Evening"/>
    <n v="3"/>
  </r>
  <r>
    <s v="3cac435c-6b07-45c7-9916-b1c62c301100"/>
    <s v="43f01069-0407-410d-8d41-c2cd192beba0"/>
    <n v="3461"/>
    <n v="2000"/>
    <n v="1629"/>
    <n v="40.06"/>
    <n v="92139"/>
    <n v="49340"/>
    <n v="8.91"/>
    <s v="Video"/>
    <x v="207"/>
    <d v="1899-12-30T18:23:08"/>
    <n v="0.40060000000000001"/>
    <n v="8.9099999999999999E-2"/>
    <n v="7090"/>
    <n v="0.14369679773003649"/>
    <s v="High CTR"/>
    <s v="High"/>
    <s v="Evening"/>
    <n v="3"/>
  </r>
  <r>
    <s v="3cac435c-6b07-45c7-9916-b1c62c301100"/>
    <s v="43f01069-0407-410d-8d41-c2cd192beba0"/>
    <n v="3461"/>
    <n v="2000"/>
    <n v="1629"/>
    <n v="40.06"/>
    <n v="92139"/>
    <n v="49340"/>
    <n v="8.91"/>
    <s v="Video"/>
    <x v="208"/>
    <d v="1899-12-30T18:23:08"/>
    <n v="0.40060000000000001"/>
    <n v="8.9099999999999999E-2"/>
    <n v="7090"/>
    <n v="0.14369679773003649"/>
    <s v="High CTR"/>
    <s v="High"/>
    <s v="Evening"/>
    <n v="3"/>
  </r>
  <r>
    <s v="8e485377-b7c3-450f-9517-66c4baf5a4a1"/>
    <s v="145e6d84-c2d1-4e96-b117-4b1312606c43"/>
    <n v="5268"/>
    <n v="3213"/>
    <n v="82"/>
    <n v="68.69"/>
    <n v="47249"/>
    <n v="83097"/>
    <n v="5.13"/>
    <s v="Poll"/>
    <x v="209"/>
    <d v="1899-12-30T13:01:25"/>
    <n v="0.68689999999999996"/>
    <n v="5.1299999999999998E-2"/>
    <n v="8563"/>
    <n v="0.10304824482231609"/>
    <s v="High CTR"/>
    <s v="High"/>
    <s v="Afternoon"/>
    <n v="3"/>
  </r>
  <r>
    <s v="8e485377-b7c3-450f-9517-66c4baf5a4a1"/>
    <s v="145e6d84-c2d1-4e96-b117-4b1312606c43"/>
    <n v="5268"/>
    <n v="3213"/>
    <n v="82"/>
    <n v="68.69"/>
    <n v="47249"/>
    <n v="83097"/>
    <n v="5.13"/>
    <s v="Poll"/>
    <x v="210"/>
    <d v="1899-12-30T13:01:25"/>
    <n v="0.68689999999999996"/>
    <n v="5.1299999999999998E-2"/>
    <n v="8563"/>
    <n v="0.10304824482231609"/>
    <s v="High CTR"/>
    <s v="High"/>
    <s v="Afternoon"/>
    <n v="3"/>
  </r>
  <r>
    <s v="8e485377-b7c3-450f-9517-66c4baf5a4a1"/>
    <s v="145e6d84-c2d1-4e96-b117-4b1312606c43"/>
    <n v="5268"/>
    <n v="3213"/>
    <n v="82"/>
    <n v="68.69"/>
    <n v="47249"/>
    <n v="83097"/>
    <n v="5.13"/>
    <s v="Poll"/>
    <x v="211"/>
    <d v="1899-12-30T13:01:25"/>
    <n v="0.68689999999999996"/>
    <n v="5.1299999999999998E-2"/>
    <n v="8563"/>
    <n v="0.10304824482231609"/>
    <s v="High CTR"/>
    <s v="High"/>
    <s v="Afternoon"/>
    <n v="3"/>
  </r>
  <r>
    <s v="fcf21392-8844-4306-bd49-ac64447751b7"/>
    <s v="c39b9ee0-fe83-4db0-acb4-81ac6eb2957c"/>
    <n v="7568"/>
    <n v="702"/>
    <n v="1902"/>
    <n v="39.590000000000003"/>
    <n v="49045"/>
    <n v="43783"/>
    <n v="6.7"/>
    <s v="Image"/>
    <x v="212"/>
    <d v="1899-12-30T11:06:04"/>
    <n v="0.39590000000000003"/>
    <n v="6.7000000000000004E-2"/>
    <n v="10172"/>
    <n v="0.23232761574126945"/>
    <s v="High CTR"/>
    <s v="High"/>
    <s v="Morning"/>
    <n v="3"/>
  </r>
  <r>
    <s v="fcf21392-8844-4306-bd49-ac64447751b7"/>
    <s v="c39b9ee0-fe83-4db0-acb4-81ac6eb2957c"/>
    <n v="7568"/>
    <n v="702"/>
    <n v="1902"/>
    <n v="39.590000000000003"/>
    <n v="49045"/>
    <n v="43783"/>
    <n v="6.7"/>
    <s v="Image"/>
    <x v="175"/>
    <d v="1899-12-30T11:06:04"/>
    <n v="0.39590000000000003"/>
    <n v="6.7000000000000004E-2"/>
    <n v="10172"/>
    <n v="0.23232761574126945"/>
    <s v="High CTR"/>
    <s v="High"/>
    <s v="Morning"/>
    <n v="3"/>
  </r>
  <r>
    <s v="fcf21392-8844-4306-bd49-ac64447751b7"/>
    <s v="c39b9ee0-fe83-4db0-acb4-81ac6eb2957c"/>
    <n v="7568"/>
    <n v="702"/>
    <n v="1902"/>
    <n v="39.590000000000003"/>
    <n v="49045"/>
    <n v="43783"/>
    <n v="6.7"/>
    <s v="Image"/>
    <x v="213"/>
    <d v="1899-12-30T11:06:04"/>
    <n v="0.39590000000000003"/>
    <n v="6.7000000000000004E-2"/>
    <n v="10172"/>
    <n v="0.23232761574126945"/>
    <s v="High CTR"/>
    <s v="High"/>
    <s v="Morning"/>
    <n v="3"/>
  </r>
  <r>
    <s v="bf76b058-fedb-43a1-a74a-490ff6f56701"/>
    <s v="e04523ec-1d2c-4cba-95c1-00ebf430a7a8"/>
    <n v="9439"/>
    <n v="70"/>
    <n v="1991"/>
    <n v="26"/>
    <n v="62277"/>
    <n v="82850"/>
    <n v="1.34"/>
    <s v="Video"/>
    <x v="214"/>
    <d v="1899-12-30T09:25:16"/>
    <n v="0.26"/>
    <n v="1.34E-2"/>
    <n v="11500"/>
    <n v="0.1388050694025347"/>
    <s v="High CTR"/>
    <s v="High"/>
    <s v="Morning"/>
    <n v="3"/>
  </r>
  <r>
    <s v="bf76b058-fedb-43a1-a74a-490ff6f56701"/>
    <s v="e04523ec-1d2c-4cba-95c1-00ebf430a7a8"/>
    <n v="9439"/>
    <n v="70"/>
    <n v="1991"/>
    <n v="26"/>
    <n v="62277"/>
    <n v="82850"/>
    <n v="1.34"/>
    <s v="Video"/>
    <x v="215"/>
    <d v="1899-12-30T09:25:16"/>
    <n v="0.26"/>
    <n v="1.34E-2"/>
    <n v="11500"/>
    <n v="0.1388050694025347"/>
    <s v="High CTR"/>
    <s v="High"/>
    <s v="Morning"/>
    <n v="3"/>
  </r>
  <r>
    <s v="bf76b058-fedb-43a1-a74a-490ff6f56701"/>
    <s v="e04523ec-1d2c-4cba-95c1-00ebf430a7a8"/>
    <n v="9439"/>
    <n v="70"/>
    <n v="1991"/>
    <n v="26"/>
    <n v="62277"/>
    <n v="82850"/>
    <n v="1.34"/>
    <s v="Video"/>
    <x v="192"/>
    <d v="1899-12-30T09:25:16"/>
    <n v="0.26"/>
    <n v="1.34E-2"/>
    <n v="11500"/>
    <n v="0.1388050694025347"/>
    <s v="High CTR"/>
    <s v="High"/>
    <s v="Morning"/>
    <n v="3"/>
  </r>
  <r>
    <s v="856c3e00-3bbf-4e00-b15d-a3b18d40c620"/>
    <s v="08d76522-d43c-4ad4-af6a-c5e2d9e795be"/>
    <n v="3583"/>
    <n v="2614"/>
    <n v="204"/>
    <n v="94.59"/>
    <n v="90859"/>
    <n v="67298"/>
    <n v="8.7100000000000009"/>
    <s v="Video"/>
    <x v="216"/>
    <d v="1899-12-30T12:07:18"/>
    <n v="0.94590000000000007"/>
    <n v="8.7100000000000011E-2"/>
    <n v="6401"/>
    <n v="9.51142678831466E-2"/>
    <s v="High CTR"/>
    <s v="High"/>
    <s v="Afternoon"/>
    <n v="3"/>
  </r>
  <r>
    <s v="856c3e00-3bbf-4e00-b15d-a3b18d40c620"/>
    <s v="08d76522-d43c-4ad4-af6a-c5e2d9e795be"/>
    <n v="3583"/>
    <n v="2614"/>
    <n v="204"/>
    <n v="94.59"/>
    <n v="90859"/>
    <n v="67298"/>
    <n v="8.7100000000000009"/>
    <s v="Video"/>
    <x v="44"/>
    <d v="1899-12-30T12:07:18"/>
    <n v="0.94590000000000007"/>
    <n v="8.7100000000000011E-2"/>
    <n v="6401"/>
    <n v="9.51142678831466E-2"/>
    <s v="High CTR"/>
    <s v="High"/>
    <s v="Afternoon"/>
    <n v="3"/>
  </r>
  <r>
    <s v="856c3e00-3bbf-4e00-b15d-a3b18d40c620"/>
    <s v="08d76522-d43c-4ad4-af6a-c5e2d9e795be"/>
    <n v="3583"/>
    <n v="2614"/>
    <n v="204"/>
    <n v="94.59"/>
    <n v="90859"/>
    <n v="67298"/>
    <n v="8.7100000000000009"/>
    <s v="Video"/>
    <x v="217"/>
    <d v="1899-12-30T12:07:18"/>
    <n v="0.94590000000000007"/>
    <n v="8.7100000000000011E-2"/>
    <n v="6401"/>
    <n v="9.51142678831466E-2"/>
    <s v="High CTR"/>
    <s v="High"/>
    <s v="Afternoon"/>
    <n v="3"/>
  </r>
  <r>
    <s v="c8a539f0-00db-4396-957e-a656e0267397"/>
    <s v="5041c752-b3c3-43f0-8c57-6cca38682319"/>
    <n v="2821"/>
    <n v="2985"/>
    <n v="286"/>
    <n v="70.62"/>
    <n v="32368"/>
    <n v="12941"/>
    <n v="4.54"/>
    <s v="Poll"/>
    <x v="218"/>
    <d v="1899-12-30T14:40:19"/>
    <n v="0.70620000000000005"/>
    <n v="4.5400000000000003E-2"/>
    <n v="6092"/>
    <n v="0.47075187388918938"/>
    <s v="High CTR"/>
    <s v="High"/>
    <s v="Afternoon"/>
    <n v="3"/>
  </r>
  <r>
    <s v="c8a539f0-00db-4396-957e-a656e0267397"/>
    <s v="5041c752-b3c3-43f0-8c57-6cca38682319"/>
    <n v="2821"/>
    <n v="2985"/>
    <n v="286"/>
    <n v="70.62"/>
    <n v="32368"/>
    <n v="12941"/>
    <n v="4.54"/>
    <s v="Poll"/>
    <x v="175"/>
    <d v="1899-12-30T14:40:19"/>
    <n v="0.70620000000000005"/>
    <n v="4.5400000000000003E-2"/>
    <n v="6092"/>
    <n v="0.47075187388918938"/>
    <s v="High CTR"/>
    <s v="High"/>
    <s v="Afternoon"/>
    <n v="3"/>
  </r>
  <r>
    <s v="c8a539f0-00db-4396-957e-a656e0267397"/>
    <s v="5041c752-b3c3-43f0-8c57-6cca38682319"/>
    <n v="2821"/>
    <n v="2985"/>
    <n v="286"/>
    <n v="70.62"/>
    <n v="32368"/>
    <n v="12941"/>
    <n v="4.54"/>
    <s v="Poll"/>
    <x v="219"/>
    <d v="1899-12-30T14:40:19"/>
    <n v="0.70620000000000005"/>
    <n v="4.5400000000000003E-2"/>
    <n v="6092"/>
    <n v="0.47075187388918938"/>
    <s v="High CTR"/>
    <s v="High"/>
    <s v="Afternoon"/>
    <n v="3"/>
  </r>
  <r>
    <s v="b67613b6-de0a-4ced-8675-ed18bab4715d"/>
    <s v="8dad1535-ca34-4d06-bead-1d71d2c7712d"/>
    <n v="3048"/>
    <n v="264"/>
    <n v="1071"/>
    <n v="24.42"/>
    <n v="52404"/>
    <n v="4977"/>
    <n v="7.7"/>
    <s v="Image"/>
    <x v="220"/>
    <d v="1899-12-30T03:16:07"/>
    <n v="0.24420000000000003"/>
    <n v="7.6999999999999999E-2"/>
    <n v="4383"/>
    <n v="0.88065099457504525"/>
    <s v="High CTR"/>
    <s v="High"/>
    <s v="Morning"/>
    <n v="3"/>
  </r>
  <r>
    <s v="b67613b6-de0a-4ced-8675-ed18bab4715d"/>
    <s v="8dad1535-ca34-4d06-bead-1d71d2c7712d"/>
    <n v="3048"/>
    <n v="264"/>
    <n v="1071"/>
    <n v="24.42"/>
    <n v="52404"/>
    <n v="4977"/>
    <n v="7.7"/>
    <s v="Image"/>
    <x v="221"/>
    <d v="1899-12-30T03:16:07"/>
    <n v="0.24420000000000003"/>
    <n v="7.6999999999999999E-2"/>
    <n v="4383"/>
    <n v="0.88065099457504525"/>
    <s v="High CTR"/>
    <s v="High"/>
    <s v="Morning"/>
    <n v="3"/>
  </r>
  <r>
    <s v="b67613b6-de0a-4ced-8675-ed18bab4715d"/>
    <s v="8dad1535-ca34-4d06-bead-1d71d2c7712d"/>
    <n v="3048"/>
    <n v="264"/>
    <n v="1071"/>
    <n v="24.42"/>
    <n v="52404"/>
    <n v="4977"/>
    <n v="7.7"/>
    <s v="Image"/>
    <x v="73"/>
    <d v="1899-12-30T03:16:07"/>
    <n v="0.24420000000000003"/>
    <n v="7.6999999999999999E-2"/>
    <n v="4383"/>
    <n v="0.88065099457504525"/>
    <s v="High CTR"/>
    <s v="High"/>
    <s v="Morning"/>
    <n v="3"/>
  </r>
  <r>
    <s v="953729d0-4f79-484f-a551-aa4722403cdf"/>
    <s v="f1d71b6b-9515-48bf-a980-df28b7bf484d"/>
    <n v="4727"/>
    <n v="1101"/>
    <n v="955"/>
    <n v="20.07"/>
    <n v="93207"/>
    <n v="720"/>
    <n v="9.51"/>
    <s v="Image"/>
    <x v="222"/>
    <d v="1899-12-30T16:47:13"/>
    <n v="0.20069999999999999"/>
    <n v="9.5100000000000004E-2"/>
    <n v="6783"/>
    <n v="1"/>
    <s v="High CTR"/>
    <s v="High"/>
    <s v="Afternoon"/>
    <n v="3"/>
  </r>
  <r>
    <s v="953729d0-4f79-484f-a551-aa4722403cdf"/>
    <s v="f1d71b6b-9515-48bf-a980-df28b7bf484d"/>
    <n v="4727"/>
    <n v="1101"/>
    <n v="955"/>
    <n v="20.07"/>
    <n v="93207"/>
    <n v="720"/>
    <n v="9.51"/>
    <s v="Image"/>
    <x v="223"/>
    <d v="1899-12-30T16:47:13"/>
    <n v="0.20069999999999999"/>
    <n v="9.5100000000000004E-2"/>
    <n v="6783"/>
    <n v="1"/>
    <s v="High CTR"/>
    <s v="High"/>
    <s v="Afternoon"/>
    <n v="3"/>
  </r>
  <r>
    <s v="953729d0-4f79-484f-a551-aa4722403cdf"/>
    <s v="f1d71b6b-9515-48bf-a980-df28b7bf484d"/>
    <n v="4727"/>
    <n v="1101"/>
    <n v="955"/>
    <n v="20.07"/>
    <n v="93207"/>
    <n v="720"/>
    <n v="9.51"/>
    <s v="Image"/>
    <x v="224"/>
    <d v="1899-12-30T16:47:13"/>
    <n v="0.20069999999999999"/>
    <n v="9.5100000000000004E-2"/>
    <n v="6783"/>
    <n v="1"/>
    <s v="High CTR"/>
    <s v="High"/>
    <s v="Afternoon"/>
    <n v="3"/>
  </r>
  <r>
    <s v="655633b6-7a47-4386-9a4a-e666876a6980"/>
    <s v="12b960b2-3ad9-478a-97b7-2db5dcc2e4ea"/>
    <n v="1789"/>
    <n v="2811"/>
    <n v="189"/>
    <n v="47.45"/>
    <n v="98331"/>
    <n v="26899"/>
    <n v="7.31"/>
    <s v="Video"/>
    <x v="5"/>
    <d v="1899-12-30T07:36:02"/>
    <n v="0.47450000000000003"/>
    <n v="7.3099999999999998E-2"/>
    <n v="4789"/>
    <n v="0.17803635822893044"/>
    <s v="High CTR"/>
    <s v="High"/>
    <s v="Morning"/>
    <n v="3"/>
  </r>
  <r>
    <s v="655633b6-7a47-4386-9a4a-e666876a6980"/>
    <s v="12b960b2-3ad9-478a-97b7-2db5dcc2e4ea"/>
    <n v="1789"/>
    <n v="2811"/>
    <n v="189"/>
    <n v="47.45"/>
    <n v="98331"/>
    <n v="26899"/>
    <n v="7.31"/>
    <s v="Video"/>
    <x v="225"/>
    <d v="1899-12-30T07:36:02"/>
    <n v="0.47450000000000003"/>
    <n v="7.3099999999999998E-2"/>
    <n v="4789"/>
    <n v="0.17803635822893044"/>
    <s v="High CTR"/>
    <s v="High"/>
    <s v="Morning"/>
    <n v="3"/>
  </r>
  <r>
    <s v="655633b6-7a47-4386-9a4a-e666876a6980"/>
    <s v="12b960b2-3ad9-478a-97b7-2db5dcc2e4ea"/>
    <n v="1789"/>
    <n v="2811"/>
    <n v="189"/>
    <n v="47.45"/>
    <n v="98331"/>
    <n v="26899"/>
    <n v="7.31"/>
    <s v="Video"/>
    <x v="226"/>
    <d v="1899-12-30T07:36:02"/>
    <n v="0.47450000000000003"/>
    <n v="7.3099999999999998E-2"/>
    <n v="4789"/>
    <n v="0.17803635822893044"/>
    <s v="High CTR"/>
    <s v="High"/>
    <s v="Morning"/>
    <n v="3"/>
  </r>
  <r>
    <s v="c648ec85-c832-4faf-b228-530d160172a5"/>
    <s v="92c44f92-9b6c-4f84-8572-08f1721578b3"/>
    <n v="9044"/>
    <n v="2270"/>
    <n v="1186"/>
    <n v="58.57"/>
    <n v="47548"/>
    <n v="26322"/>
    <n v="8.1300000000000008"/>
    <s v="Text"/>
    <x v="227"/>
    <d v="1899-12-30T16:58:48"/>
    <n v="0.5857"/>
    <n v="8.1300000000000011E-2"/>
    <n v="12500"/>
    <n v="0.47488792644935796"/>
    <s v="High CTR"/>
    <s v="High"/>
    <s v="Afternoon"/>
    <n v="3"/>
  </r>
  <r>
    <s v="c648ec85-c832-4faf-b228-530d160172a5"/>
    <s v="92c44f92-9b6c-4f84-8572-08f1721578b3"/>
    <n v="9044"/>
    <n v="2270"/>
    <n v="1186"/>
    <n v="58.57"/>
    <n v="47548"/>
    <n v="26322"/>
    <n v="8.1300000000000008"/>
    <s v="Text"/>
    <x v="220"/>
    <d v="1899-12-30T16:58:48"/>
    <n v="0.5857"/>
    <n v="8.1300000000000011E-2"/>
    <n v="12500"/>
    <n v="0.47488792644935796"/>
    <s v="High CTR"/>
    <s v="High"/>
    <s v="Afternoon"/>
    <n v="3"/>
  </r>
  <r>
    <s v="c648ec85-c832-4faf-b228-530d160172a5"/>
    <s v="92c44f92-9b6c-4f84-8572-08f1721578b3"/>
    <n v="9044"/>
    <n v="2270"/>
    <n v="1186"/>
    <n v="58.57"/>
    <n v="47548"/>
    <n v="26322"/>
    <n v="8.1300000000000008"/>
    <s v="Text"/>
    <x v="228"/>
    <d v="1899-12-30T16:58:48"/>
    <n v="0.5857"/>
    <n v="8.1300000000000011E-2"/>
    <n v="12500"/>
    <n v="0.47488792644935796"/>
    <s v="High CTR"/>
    <s v="High"/>
    <s v="Afternoon"/>
    <n v="3"/>
  </r>
  <r>
    <s v="a36a7a8b-cdeb-40d6-baa3-f94a782bfce0"/>
    <s v="1d201428-79cf-4eab-8b48-972b3b1d1bc1"/>
    <n v="1687"/>
    <n v="4560"/>
    <n v="1797"/>
    <n v="34.58"/>
    <n v="97067"/>
    <n v="92674"/>
    <n v="8.14"/>
    <s v="Video"/>
    <x v="66"/>
    <d v="1899-12-30T20:52:49"/>
    <n v="0.3458"/>
    <n v="8.14E-2"/>
    <n v="8044"/>
    <n v="8.6798886419060362E-2"/>
    <s v="High CTR"/>
    <s v="High"/>
    <s v="Evening"/>
    <n v="3"/>
  </r>
  <r>
    <s v="a36a7a8b-cdeb-40d6-baa3-f94a782bfce0"/>
    <s v="1d201428-79cf-4eab-8b48-972b3b1d1bc1"/>
    <n v="1687"/>
    <n v="4560"/>
    <n v="1797"/>
    <n v="34.58"/>
    <n v="97067"/>
    <n v="92674"/>
    <n v="8.14"/>
    <s v="Video"/>
    <x v="95"/>
    <d v="1899-12-30T20:52:49"/>
    <n v="0.3458"/>
    <n v="8.14E-2"/>
    <n v="8044"/>
    <n v="8.6798886419060362E-2"/>
    <s v="High CTR"/>
    <s v="High"/>
    <s v="Evening"/>
    <n v="3"/>
  </r>
  <r>
    <s v="a36a7a8b-cdeb-40d6-baa3-f94a782bfce0"/>
    <s v="1d201428-79cf-4eab-8b48-972b3b1d1bc1"/>
    <n v="1687"/>
    <n v="4560"/>
    <n v="1797"/>
    <n v="34.58"/>
    <n v="97067"/>
    <n v="92674"/>
    <n v="8.14"/>
    <s v="Video"/>
    <x v="195"/>
    <d v="1899-12-30T20:52:49"/>
    <n v="0.3458"/>
    <n v="8.14E-2"/>
    <n v="8044"/>
    <n v="8.6798886419060362E-2"/>
    <s v="High CTR"/>
    <s v="High"/>
    <s v="Evening"/>
    <n v="3"/>
  </r>
  <r>
    <s v="61c015ae-a84c-470e-9445-b4461b3b6020"/>
    <s v="23e37e68-5d8f-4945-9eb9-fc412394c472"/>
    <n v="6654"/>
    <n v="4904"/>
    <n v="1902"/>
    <n v="2.78"/>
    <n v="95454"/>
    <n v="83486"/>
    <n v="2.31"/>
    <s v="Poll"/>
    <x v="229"/>
    <d v="1899-12-30T16:17:53"/>
    <n v="2.7799999999999998E-2"/>
    <n v="2.3099999999999999E-2"/>
    <n v="13460"/>
    <n v="0.1612246364659943"/>
    <s v="High CTR"/>
    <s v="High"/>
    <s v="Afternoon"/>
    <n v="3"/>
  </r>
  <r>
    <s v="61c015ae-a84c-470e-9445-b4461b3b6020"/>
    <s v="23e37e68-5d8f-4945-9eb9-fc412394c472"/>
    <n v="6654"/>
    <n v="4904"/>
    <n v="1902"/>
    <n v="2.78"/>
    <n v="95454"/>
    <n v="83486"/>
    <n v="2.31"/>
    <s v="Poll"/>
    <x v="230"/>
    <d v="1899-12-30T16:17:53"/>
    <n v="2.7799999999999998E-2"/>
    <n v="2.3099999999999999E-2"/>
    <n v="13460"/>
    <n v="0.1612246364659943"/>
    <s v="High CTR"/>
    <s v="High"/>
    <s v="Afternoon"/>
    <n v="3"/>
  </r>
  <r>
    <s v="61c015ae-a84c-470e-9445-b4461b3b6020"/>
    <s v="23e37e68-5d8f-4945-9eb9-fc412394c472"/>
    <n v="6654"/>
    <n v="4904"/>
    <n v="1902"/>
    <n v="2.78"/>
    <n v="95454"/>
    <n v="83486"/>
    <n v="2.31"/>
    <s v="Poll"/>
    <x v="231"/>
    <d v="1899-12-30T16:17:53"/>
    <n v="2.7799999999999998E-2"/>
    <n v="2.3099999999999999E-2"/>
    <n v="13460"/>
    <n v="0.1612246364659943"/>
    <s v="High CTR"/>
    <s v="High"/>
    <s v="Afternoon"/>
    <n v="3"/>
  </r>
  <r>
    <s v="416ef4f4-ce54-4013-b852-5b12db5faffc"/>
    <s v="f7f05149-4f33-461f-9609-17af32c8c8d1"/>
    <n v="5037"/>
    <n v="1062"/>
    <n v="1503"/>
    <n v="42.56"/>
    <n v="60545"/>
    <n v="56487"/>
    <n v="4.71"/>
    <s v="Text"/>
    <x v="175"/>
    <d v="1899-12-30T04:18:53"/>
    <n v="0.42560000000000003"/>
    <n v="4.7100000000000003E-2"/>
    <n v="7602"/>
    <n v="0.13457963779276647"/>
    <s v="High CTR"/>
    <s v="High"/>
    <s v="Morning"/>
    <n v="3"/>
  </r>
  <r>
    <s v="416ef4f4-ce54-4013-b852-5b12db5faffc"/>
    <s v="f7f05149-4f33-461f-9609-17af32c8c8d1"/>
    <n v="5037"/>
    <n v="1062"/>
    <n v="1503"/>
    <n v="42.56"/>
    <n v="60545"/>
    <n v="56487"/>
    <n v="4.71"/>
    <s v="Text"/>
    <x v="232"/>
    <d v="1899-12-30T04:18:53"/>
    <n v="0.42560000000000003"/>
    <n v="4.7100000000000003E-2"/>
    <n v="7602"/>
    <n v="0.13457963779276647"/>
    <s v="High CTR"/>
    <s v="High"/>
    <s v="Morning"/>
    <n v="3"/>
  </r>
  <r>
    <s v="416ef4f4-ce54-4013-b852-5b12db5faffc"/>
    <s v="f7f05149-4f33-461f-9609-17af32c8c8d1"/>
    <n v="5037"/>
    <n v="1062"/>
    <n v="1503"/>
    <n v="42.56"/>
    <n v="60545"/>
    <n v="56487"/>
    <n v="4.71"/>
    <s v="Text"/>
    <x v="204"/>
    <d v="1899-12-30T04:18:53"/>
    <n v="0.42560000000000003"/>
    <n v="4.7100000000000003E-2"/>
    <n v="7602"/>
    <n v="0.13457963779276647"/>
    <s v="High CTR"/>
    <s v="High"/>
    <s v="Morning"/>
    <n v="3"/>
  </r>
  <r>
    <s v="ecb38852-cc09-4ea4-9866-64ee1171d3d4"/>
    <s v="7eb994f0-1300-4f95-bc6f-9129eda47ed5"/>
    <n v="7103"/>
    <n v="2117"/>
    <n v="722"/>
    <n v="46.58"/>
    <n v="67168"/>
    <n v="129"/>
    <n v="5.33"/>
    <s v="Image"/>
    <x v="233"/>
    <d v="1899-12-30T00:20:52"/>
    <n v="0.46579999999999999"/>
    <n v="5.33E-2"/>
    <n v="9942"/>
    <n v="1"/>
    <s v="High CTR"/>
    <s v="High"/>
    <s v="Morning"/>
    <n v="3"/>
  </r>
  <r>
    <s v="ecb38852-cc09-4ea4-9866-64ee1171d3d4"/>
    <s v="7eb994f0-1300-4f95-bc6f-9129eda47ed5"/>
    <n v="7103"/>
    <n v="2117"/>
    <n v="722"/>
    <n v="46.58"/>
    <n v="67168"/>
    <n v="129"/>
    <n v="5.33"/>
    <s v="Image"/>
    <x v="234"/>
    <d v="1899-12-30T00:20:52"/>
    <n v="0.46579999999999999"/>
    <n v="5.33E-2"/>
    <n v="9942"/>
    <n v="1"/>
    <s v="High CTR"/>
    <s v="High"/>
    <s v="Morning"/>
    <n v="3"/>
  </r>
  <r>
    <s v="ecb38852-cc09-4ea4-9866-64ee1171d3d4"/>
    <s v="7eb994f0-1300-4f95-bc6f-9129eda47ed5"/>
    <n v="7103"/>
    <n v="2117"/>
    <n v="722"/>
    <n v="46.58"/>
    <n v="67168"/>
    <n v="129"/>
    <n v="5.33"/>
    <s v="Image"/>
    <x v="235"/>
    <d v="1899-12-30T00:20:52"/>
    <n v="0.46579999999999999"/>
    <n v="5.33E-2"/>
    <n v="9942"/>
    <n v="1"/>
    <s v="High CTR"/>
    <s v="High"/>
    <s v="Morning"/>
    <n v="3"/>
  </r>
  <r>
    <s v="8ced8d15-db37-49ef-9e96-3e114e868225"/>
    <s v="f702da53-5949-474f-8580-3b720e940634"/>
    <n v="6656"/>
    <n v="4230"/>
    <n v="1568"/>
    <n v="3.49"/>
    <n v="58449"/>
    <n v="22641"/>
    <n v="7.45"/>
    <s v="Poll"/>
    <x v="45"/>
    <d v="1899-12-30T07:56:33"/>
    <n v="3.49E-2"/>
    <n v="7.4499999999999997E-2"/>
    <n v="12454"/>
    <n v="0.55006404310763657"/>
    <s v="High CTR"/>
    <s v="High"/>
    <s v="Morning"/>
    <n v="3"/>
  </r>
  <r>
    <s v="8ced8d15-db37-49ef-9e96-3e114e868225"/>
    <s v="f702da53-5949-474f-8580-3b720e940634"/>
    <n v="6656"/>
    <n v="4230"/>
    <n v="1568"/>
    <n v="3.49"/>
    <n v="58449"/>
    <n v="22641"/>
    <n v="7.45"/>
    <s v="Poll"/>
    <x v="236"/>
    <d v="1899-12-30T07:56:33"/>
    <n v="3.49E-2"/>
    <n v="7.4499999999999997E-2"/>
    <n v="12454"/>
    <n v="0.55006404310763657"/>
    <s v="High CTR"/>
    <s v="High"/>
    <s v="Morning"/>
    <n v="3"/>
  </r>
  <r>
    <s v="8ced8d15-db37-49ef-9e96-3e114e868225"/>
    <s v="f702da53-5949-474f-8580-3b720e940634"/>
    <n v="6656"/>
    <n v="4230"/>
    <n v="1568"/>
    <n v="3.49"/>
    <n v="58449"/>
    <n v="22641"/>
    <n v="7.45"/>
    <s v="Poll"/>
    <x v="216"/>
    <d v="1899-12-30T07:56:33"/>
    <n v="3.49E-2"/>
    <n v="7.4499999999999997E-2"/>
    <n v="12454"/>
    <n v="0.55006404310763657"/>
    <s v="High CTR"/>
    <s v="High"/>
    <s v="Morning"/>
    <n v="3"/>
  </r>
  <r>
    <s v="ecdb0915-f774-409e-9869-f5b90572d15e"/>
    <s v="1203225a-e80f-4202-9837-a68f1ee939fc"/>
    <n v="7774"/>
    <n v="3054"/>
    <n v="1911"/>
    <n v="58.15"/>
    <n v="30927"/>
    <n v="10061"/>
    <n v="5.8"/>
    <s v="Poll"/>
    <x v="237"/>
    <d v="1899-12-30T16:38:40"/>
    <n v="0.58150000000000002"/>
    <n v="5.7999999999999996E-2"/>
    <n v="12739"/>
    <n v="1"/>
    <s v="High CTR"/>
    <s v="High"/>
    <s v="Afternoon"/>
    <n v="3"/>
  </r>
  <r>
    <s v="ecdb0915-f774-409e-9869-f5b90572d15e"/>
    <s v="1203225a-e80f-4202-9837-a68f1ee939fc"/>
    <n v="7774"/>
    <n v="3054"/>
    <n v="1911"/>
    <n v="58.15"/>
    <n v="30927"/>
    <n v="10061"/>
    <n v="5.8"/>
    <s v="Poll"/>
    <x v="238"/>
    <d v="1899-12-30T16:38:40"/>
    <n v="0.58150000000000002"/>
    <n v="5.7999999999999996E-2"/>
    <n v="12739"/>
    <n v="1"/>
    <s v="High CTR"/>
    <s v="High"/>
    <s v="Afternoon"/>
    <n v="3"/>
  </r>
  <r>
    <s v="ecdb0915-f774-409e-9869-f5b90572d15e"/>
    <s v="1203225a-e80f-4202-9837-a68f1ee939fc"/>
    <n v="7774"/>
    <n v="3054"/>
    <n v="1911"/>
    <n v="58.15"/>
    <n v="30927"/>
    <n v="10061"/>
    <n v="5.8"/>
    <s v="Poll"/>
    <x v="239"/>
    <d v="1899-12-30T16:38:40"/>
    <n v="0.58150000000000002"/>
    <n v="5.7999999999999996E-2"/>
    <n v="12739"/>
    <n v="1"/>
    <s v="High CTR"/>
    <s v="High"/>
    <s v="Afternoon"/>
    <n v="3"/>
  </r>
  <r>
    <s v="b648c3a9-6438-4259-ba9d-44ceb07be777"/>
    <s v="e1b9d4bb-846b-462e-a7e9-6594986bf18a"/>
    <n v="2598"/>
    <n v="2256"/>
    <n v="173"/>
    <n v="72.27"/>
    <n v="22647"/>
    <n v="73157"/>
    <n v="3.9"/>
    <s v="Poll"/>
    <x v="240"/>
    <d v="1899-12-30T11:33:37"/>
    <n v="0.72270000000000001"/>
    <n v="3.9E-2"/>
    <n v="5027"/>
    <n v="6.8715228891288602E-2"/>
    <s v="High CTR"/>
    <s v="High"/>
    <s v="Morning"/>
    <n v="3"/>
  </r>
  <r>
    <s v="b648c3a9-6438-4259-ba9d-44ceb07be777"/>
    <s v="e1b9d4bb-846b-462e-a7e9-6594986bf18a"/>
    <n v="2598"/>
    <n v="2256"/>
    <n v="173"/>
    <n v="72.27"/>
    <n v="22647"/>
    <n v="73157"/>
    <n v="3.9"/>
    <s v="Poll"/>
    <x v="241"/>
    <d v="1899-12-30T11:33:37"/>
    <n v="0.72270000000000001"/>
    <n v="3.9E-2"/>
    <n v="5027"/>
    <n v="6.8715228891288602E-2"/>
    <s v="High CTR"/>
    <s v="High"/>
    <s v="Morning"/>
    <n v="3"/>
  </r>
  <r>
    <s v="b648c3a9-6438-4259-ba9d-44ceb07be777"/>
    <s v="e1b9d4bb-846b-462e-a7e9-6594986bf18a"/>
    <n v="2598"/>
    <n v="2256"/>
    <n v="173"/>
    <n v="72.27"/>
    <n v="22647"/>
    <n v="73157"/>
    <n v="3.9"/>
    <s v="Poll"/>
    <x v="242"/>
    <d v="1899-12-30T11:33:37"/>
    <n v="0.72270000000000001"/>
    <n v="3.9E-2"/>
    <n v="5027"/>
    <n v="6.8715228891288602E-2"/>
    <s v="High CTR"/>
    <s v="High"/>
    <s v="Morning"/>
    <n v="3"/>
  </r>
  <r>
    <s v="698def13-d870-47a6-9a64-294524cfcc90"/>
    <s v="f8eef7e9-522e-4b9c-9d1e-a2eaa8f99c19"/>
    <n v="6470"/>
    <n v="1291"/>
    <n v="504"/>
    <n v="28.59"/>
    <n v="77700"/>
    <n v="78884"/>
    <n v="8.2100000000000009"/>
    <s v="Poll"/>
    <x v="243"/>
    <d v="1899-12-30T08:06:16"/>
    <n v="0.28589999999999999"/>
    <n v="8.2100000000000006E-2"/>
    <n v="8265"/>
    <n v="0.1047740986765377"/>
    <s v="High CTR"/>
    <s v="High"/>
    <s v="Morning"/>
    <n v="3"/>
  </r>
  <r>
    <s v="698def13-d870-47a6-9a64-294524cfcc90"/>
    <s v="f8eef7e9-522e-4b9c-9d1e-a2eaa8f99c19"/>
    <n v="6470"/>
    <n v="1291"/>
    <n v="504"/>
    <n v="28.59"/>
    <n v="77700"/>
    <n v="78884"/>
    <n v="8.2100000000000009"/>
    <s v="Poll"/>
    <x v="244"/>
    <d v="1899-12-30T08:06:16"/>
    <n v="0.28589999999999999"/>
    <n v="8.2100000000000006E-2"/>
    <n v="8265"/>
    <n v="0.1047740986765377"/>
    <s v="High CTR"/>
    <s v="High"/>
    <s v="Morning"/>
    <n v="3"/>
  </r>
  <r>
    <s v="698def13-d870-47a6-9a64-294524cfcc90"/>
    <s v="f8eef7e9-522e-4b9c-9d1e-a2eaa8f99c19"/>
    <n v="6470"/>
    <n v="1291"/>
    <n v="504"/>
    <n v="28.59"/>
    <n v="77700"/>
    <n v="78884"/>
    <n v="8.2100000000000009"/>
    <s v="Poll"/>
    <x v="120"/>
    <d v="1899-12-30T08:06:16"/>
    <n v="0.28589999999999999"/>
    <n v="8.2100000000000006E-2"/>
    <n v="8265"/>
    <n v="0.1047740986765377"/>
    <s v="High CTR"/>
    <s v="High"/>
    <s v="Morning"/>
    <n v="3"/>
  </r>
  <r>
    <s v="f6302d87-84c7-449d-b2a2-de53bd728852"/>
    <s v="c1aec5ba-87f7-4a46-962d-88fd4060b623"/>
    <n v="4435"/>
    <n v="2890"/>
    <n v="1787"/>
    <n v="20.11"/>
    <n v="15038"/>
    <n v="78322"/>
    <n v="1.01"/>
    <s v="Text"/>
    <x v="108"/>
    <d v="1899-12-30T10:18:23"/>
    <n v="0.2011"/>
    <n v="1.01E-2"/>
    <n v="9112"/>
    <n v="0.11634023645974312"/>
    <s v="High CTR"/>
    <s v="High"/>
    <s v="Morning"/>
    <n v="3"/>
  </r>
  <r>
    <s v="f6302d87-84c7-449d-b2a2-de53bd728852"/>
    <s v="c1aec5ba-87f7-4a46-962d-88fd4060b623"/>
    <n v="4435"/>
    <n v="2890"/>
    <n v="1787"/>
    <n v="20.11"/>
    <n v="15038"/>
    <n v="78322"/>
    <n v="1.01"/>
    <s v="Text"/>
    <x v="245"/>
    <d v="1899-12-30T10:18:23"/>
    <n v="0.2011"/>
    <n v="1.01E-2"/>
    <n v="9112"/>
    <n v="0.11634023645974312"/>
    <s v="High CTR"/>
    <s v="High"/>
    <s v="Morning"/>
    <n v="3"/>
  </r>
  <r>
    <s v="f6302d87-84c7-449d-b2a2-de53bd728852"/>
    <s v="c1aec5ba-87f7-4a46-962d-88fd4060b623"/>
    <n v="4435"/>
    <n v="2890"/>
    <n v="1787"/>
    <n v="20.11"/>
    <n v="15038"/>
    <n v="78322"/>
    <n v="1.01"/>
    <s v="Text"/>
    <x v="81"/>
    <d v="1899-12-30T10:18:23"/>
    <n v="0.2011"/>
    <n v="1.01E-2"/>
    <n v="9112"/>
    <n v="0.11634023645974312"/>
    <s v="High CTR"/>
    <s v="High"/>
    <s v="Morning"/>
    <n v="3"/>
  </r>
  <r>
    <s v="2cce5efd-7b6b-484f-86f9-0678a0a369b1"/>
    <s v="5ed82595-adce-4309-a959-9dfc8dc1b75e"/>
    <n v="3919"/>
    <n v="2352"/>
    <n v="386"/>
    <n v="19.28"/>
    <n v="95721"/>
    <n v="54682"/>
    <n v="8.9"/>
    <s v="Image"/>
    <x v="246"/>
    <d v="1899-12-30T08:22:05"/>
    <n v="0.1928"/>
    <n v="8.900000000000001E-2"/>
    <n v="6657"/>
    <n v="0.1217402435902125"/>
    <s v="High CTR"/>
    <s v="High"/>
    <s v="Morning"/>
    <n v="3"/>
  </r>
  <r>
    <s v="2cce5efd-7b6b-484f-86f9-0678a0a369b1"/>
    <s v="5ed82595-adce-4309-a959-9dfc8dc1b75e"/>
    <n v="3919"/>
    <n v="2352"/>
    <n v="386"/>
    <n v="19.28"/>
    <n v="95721"/>
    <n v="54682"/>
    <n v="8.9"/>
    <s v="Image"/>
    <x v="247"/>
    <d v="1899-12-30T08:22:05"/>
    <n v="0.1928"/>
    <n v="8.900000000000001E-2"/>
    <n v="6657"/>
    <n v="0.1217402435902125"/>
    <s v="High CTR"/>
    <s v="High"/>
    <s v="Morning"/>
    <n v="3"/>
  </r>
  <r>
    <s v="2cce5efd-7b6b-484f-86f9-0678a0a369b1"/>
    <s v="5ed82595-adce-4309-a959-9dfc8dc1b75e"/>
    <n v="3919"/>
    <n v="2352"/>
    <n v="386"/>
    <n v="19.28"/>
    <n v="95721"/>
    <n v="54682"/>
    <n v="8.9"/>
    <s v="Image"/>
    <x v="216"/>
    <d v="1899-12-30T08:22:05"/>
    <n v="0.1928"/>
    <n v="8.900000000000001E-2"/>
    <n v="6657"/>
    <n v="0.1217402435902125"/>
    <s v="High CTR"/>
    <s v="High"/>
    <s v="Morning"/>
    <n v="3"/>
  </r>
  <r>
    <s v="b2a9d64e-3744-42c5-8640-39fac4ea28ab"/>
    <s v="78e5472f-2739-4796-9119-a31c390644e6"/>
    <n v="4743"/>
    <n v="3938"/>
    <n v="644"/>
    <n v="39.96"/>
    <n v="8930"/>
    <n v="16454"/>
    <n v="5.89"/>
    <s v="Poll"/>
    <x v="248"/>
    <d v="1899-12-30T05:57:27"/>
    <n v="0.39960000000000001"/>
    <n v="5.8899999999999994E-2"/>
    <n v="9325"/>
    <n v="0.56673149386167498"/>
    <s v="High CTR"/>
    <s v="High"/>
    <s v="Morning"/>
    <n v="3"/>
  </r>
  <r>
    <s v="b2a9d64e-3744-42c5-8640-39fac4ea28ab"/>
    <s v="78e5472f-2739-4796-9119-a31c390644e6"/>
    <n v="4743"/>
    <n v="3938"/>
    <n v="644"/>
    <n v="39.96"/>
    <n v="8930"/>
    <n v="16454"/>
    <n v="5.89"/>
    <s v="Poll"/>
    <x v="249"/>
    <d v="1899-12-30T05:57:27"/>
    <n v="0.39960000000000001"/>
    <n v="5.8899999999999994E-2"/>
    <n v="9325"/>
    <n v="0.56673149386167498"/>
    <s v="High CTR"/>
    <s v="High"/>
    <s v="Morning"/>
    <n v="3"/>
  </r>
  <r>
    <s v="b2a9d64e-3744-42c5-8640-39fac4ea28ab"/>
    <s v="78e5472f-2739-4796-9119-a31c390644e6"/>
    <n v="4743"/>
    <n v="3938"/>
    <n v="644"/>
    <n v="39.96"/>
    <n v="8930"/>
    <n v="16454"/>
    <n v="5.89"/>
    <s v="Poll"/>
    <x v="250"/>
    <d v="1899-12-30T05:57:27"/>
    <n v="0.39960000000000001"/>
    <n v="5.8899999999999994E-2"/>
    <n v="9325"/>
    <n v="0.56673149386167498"/>
    <s v="High CTR"/>
    <s v="High"/>
    <s v="Morning"/>
    <n v="3"/>
  </r>
  <r>
    <s v="38a1464d-f755-45b1-993b-846e510d8931"/>
    <s v="691a11e8-d7c2-4f49-b57d-a67b5cfc4036"/>
    <n v="390"/>
    <n v="4436"/>
    <n v="873"/>
    <n v="47.94"/>
    <n v="94020"/>
    <n v="99250"/>
    <n v="5.34"/>
    <s v="Text"/>
    <x v="251"/>
    <d v="1899-12-30T00:27:15"/>
    <n v="0.47939999999999999"/>
    <n v="5.3399999999999996E-2"/>
    <n v="5699"/>
    <n v="5.7420654911838793E-2"/>
    <s v="High CTR"/>
    <s v="High"/>
    <s v="Morning"/>
    <n v="3"/>
  </r>
  <r>
    <s v="38a1464d-f755-45b1-993b-846e510d8931"/>
    <s v="691a11e8-d7c2-4f49-b57d-a67b5cfc4036"/>
    <n v="390"/>
    <n v="4436"/>
    <n v="873"/>
    <n v="47.94"/>
    <n v="94020"/>
    <n v="99250"/>
    <n v="5.34"/>
    <s v="Text"/>
    <x v="113"/>
    <d v="1899-12-30T00:27:15"/>
    <n v="0.47939999999999999"/>
    <n v="5.3399999999999996E-2"/>
    <n v="5699"/>
    <n v="5.7420654911838793E-2"/>
    <s v="High CTR"/>
    <s v="High"/>
    <s v="Morning"/>
    <n v="3"/>
  </r>
  <r>
    <s v="38a1464d-f755-45b1-993b-846e510d8931"/>
    <s v="691a11e8-d7c2-4f49-b57d-a67b5cfc4036"/>
    <n v="390"/>
    <n v="4436"/>
    <n v="873"/>
    <n v="47.94"/>
    <n v="94020"/>
    <n v="99250"/>
    <n v="5.34"/>
    <s v="Text"/>
    <x v="46"/>
    <d v="1899-12-30T00:27:15"/>
    <n v="0.47939999999999999"/>
    <n v="5.3399999999999996E-2"/>
    <n v="5699"/>
    <n v="5.7420654911838793E-2"/>
    <s v="High CTR"/>
    <s v="High"/>
    <s v="Morning"/>
    <n v="3"/>
  </r>
  <r>
    <s v="62d3c061-e127-4b47-a1ac-df384d2030f6"/>
    <s v="3e2b5e23-5e6a-4684-9ee5-b55ba68bd721"/>
    <n v="9232"/>
    <n v="3905"/>
    <n v="1196"/>
    <n v="78.66"/>
    <n v="35909"/>
    <n v="71586"/>
    <n v="5.67"/>
    <s v="Image"/>
    <x v="252"/>
    <d v="1899-12-30T17:39:33"/>
    <n v="0.78659999999999997"/>
    <n v="5.67E-2"/>
    <n v="14333"/>
    <n v="0.20022071354734167"/>
    <s v="High CTR"/>
    <s v="High"/>
    <s v="Evening"/>
    <n v="3"/>
  </r>
  <r>
    <s v="62d3c061-e127-4b47-a1ac-df384d2030f6"/>
    <s v="3e2b5e23-5e6a-4684-9ee5-b55ba68bd721"/>
    <n v="9232"/>
    <n v="3905"/>
    <n v="1196"/>
    <n v="78.66"/>
    <n v="35909"/>
    <n v="71586"/>
    <n v="5.67"/>
    <s v="Image"/>
    <x v="253"/>
    <d v="1899-12-30T17:39:33"/>
    <n v="0.78659999999999997"/>
    <n v="5.67E-2"/>
    <n v="14333"/>
    <n v="0.20022071354734167"/>
    <s v="High CTR"/>
    <s v="High"/>
    <s v="Evening"/>
    <n v="3"/>
  </r>
  <r>
    <s v="62d3c061-e127-4b47-a1ac-df384d2030f6"/>
    <s v="3e2b5e23-5e6a-4684-9ee5-b55ba68bd721"/>
    <n v="9232"/>
    <n v="3905"/>
    <n v="1196"/>
    <n v="78.66"/>
    <n v="35909"/>
    <n v="71586"/>
    <n v="5.67"/>
    <s v="Image"/>
    <x v="254"/>
    <d v="1899-12-30T17:39:33"/>
    <n v="0.78659999999999997"/>
    <n v="5.67E-2"/>
    <n v="14333"/>
    <n v="0.20022071354734167"/>
    <s v="High CTR"/>
    <s v="High"/>
    <s v="Evening"/>
    <n v="3"/>
  </r>
  <r>
    <s v="c54e1d43-eadd-4177-8b83-882d48d27bc5"/>
    <s v="8eed38de-1f5e-49da-8556-b9971000d4c9"/>
    <n v="2556"/>
    <n v="2071"/>
    <n v="1395"/>
    <n v="63.53"/>
    <n v="98007"/>
    <n v="76384"/>
    <n v="6.36"/>
    <s v="Text"/>
    <x v="255"/>
    <d v="1899-12-30T19:15:20"/>
    <n v="0.63529999999999998"/>
    <n v="6.3600000000000004E-2"/>
    <n v="6022"/>
    <n v="7.8838500209467949E-2"/>
    <s v="High CTR"/>
    <s v="High"/>
    <s v="Evening"/>
    <n v="3"/>
  </r>
  <r>
    <s v="c54e1d43-eadd-4177-8b83-882d48d27bc5"/>
    <s v="8eed38de-1f5e-49da-8556-b9971000d4c9"/>
    <n v="2556"/>
    <n v="2071"/>
    <n v="1395"/>
    <n v="63.53"/>
    <n v="98007"/>
    <n v="76384"/>
    <n v="6.36"/>
    <s v="Text"/>
    <x v="256"/>
    <d v="1899-12-30T19:15:20"/>
    <n v="0.63529999999999998"/>
    <n v="6.3600000000000004E-2"/>
    <n v="6022"/>
    <n v="7.8838500209467949E-2"/>
    <s v="High CTR"/>
    <s v="High"/>
    <s v="Evening"/>
    <n v="3"/>
  </r>
  <r>
    <s v="c54e1d43-eadd-4177-8b83-882d48d27bc5"/>
    <s v="8eed38de-1f5e-49da-8556-b9971000d4c9"/>
    <n v="2556"/>
    <n v="2071"/>
    <n v="1395"/>
    <n v="63.53"/>
    <n v="98007"/>
    <n v="76384"/>
    <n v="6.36"/>
    <s v="Text"/>
    <x v="157"/>
    <d v="1899-12-30T19:15:20"/>
    <n v="0.63529999999999998"/>
    <n v="6.3600000000000004E-2"/>
    <n v="6022"/>
    <n v="7.8838500209467949E-2"/>
    <s v="High CTR"/>
    <s v="High"/>
    <s v="Evening"/>
    <n v="3"/>
  </r>
  <r>
    <s v="01a18bf4-0866-43b4-a6ae-dfd4437ef05e"/>
    <s v="633a722d-64ca-4524-be3c-3d34c4b3195c"/>
    <n v="8260"/>
    <n v="4763"/>
    <n v="272"/>
    <n v="14.91"/>
    <n v="11526"/>
    <n v="43575"/>
    <n v="0.63"/>
    <s v="Video"/>
    <x v="257"/>
    <d v="1899-12-30T10:57:52"/>
    <n v="0.14910000000000001"/>
    <n v="6.3E-3"/>
    <n v="13295"/>
    <n v="0.30510613884107862"/>
    <s v="High CTR"/>
    <s v="High"/>
    <s v="Morning"/>
    <n v="3"/>
  </r>
  <r>
    <s v="01a18bf4-0866-43b4-a6ae-dfd4437ef05e"/>
    <s v="633a722d-64ca-4524-be3c-3d34c4b3195c"/>
    <n v="8260"/>
    <n v="4763"/>
    <n v="272"/>
    <n v="14.91"/>
    <n v="11526"/>
    <n v="43575"/>
    <n v="0.63"/>
    <s v="Video"/>
    <x v="258"/>
    <d v="1899-12-30T10:57:52"/>
    <n v="0.14910000000000001"/>
    <n v="6.3E-3"/>
    <n v="13295"/>
    <n v="0.30510613884107862"/>
    <s v="High CTR"/>
    <s v="High"/>
    <s v="Morning"/>
    <n v="3"/>
  </r>
  <r>
    <s v="01a18bf4-0866-43b4-a6ae-dfd4437ef05e"/>
    <s v="633a722d-64ca-4524-be3c-3d34c4b3195c"/>
    <n v="8260"/>
    <n v="4763"/>
    <n v="272"/>
    <n v="14.91"/>
    <n v="11526"/>
    <n v="43575"/>
    <n v="0.63"/>
    <s v="Video"/>
    <x v="259"/>
    <d v="1899-12-30T10:57:52"/>
    <n v="0.14910000000000001"/>
    <n v="6.3E-3"/>
    <n v="13295"/>
    <n v="0.30510613884107862"/>
    <s v="High CTR"/>
    <s v="High"/>
    <s v="Morning"/>
    <n v="3"/>
  </r>
  <r>
    <s v="7e8ee616-0790-4aa5-9722-29185edf0d2d"/>
    <s v="fdfdcd2a-42b4-46ee-8640-43a95ce8080d"/>
    <n v="2019"/>
    <n v="3901"/>
    <n v="1420"/>
    <n v="37.909999999999997"/>
    <n v="34639"/>
    <n v="82360"/>
    <n v="9.25"/>
    <s v="Poll"/>
    <x v="260"/>
    <d v="1899-12-30T09:25:42"/>
    <n v="0.37909999999999999"/>
    <n v="9.2499999999999999E-2"/>
    <n v="7340"/>
    <n v="8.9120932491500729E-2"/>
    <s v="High CTR"/>
    <s v="High"/>
    <s v="Morning"/>
    <n v="3"/>
  </r>
  <r>
    <s v="7e8ee616-0790-4aa5-9722-29185edf0d2d"/>
    <s v="fdfdcd2a-42b4-46ee-8640-43a95ce8080d"/>
    <n v="2019"/>
    <n v="3901"/>
    <n v="1420"/>
    <n v="37.909999999999997"/>
    <n v="34639"/>
    <n v="82360"/>
    <n v="9.25"/>
    <s v="Poll"/>
    <x v="87"/>
    <d v="1899-12-30T09:25:42"/>
    <n v="0.37909999999999999"/>
    <n v="9.2499999999999999E-2"/>
    <n v="7340"/>
    <n v="8.9120932491500729E-2"/>
    <s v="High CTR"/>
    <s v="High"/>
    <s v="Morning"/>
    <n v="3"/>
  </r>
  <r>
    <s v="7e8ee616-0790-4aa5-9722-29185edf0d2d"/>
    <s v="fdfdcd2a-42b4-46ee-8640-43a95ce8080d"/>
    <n v="2019"/>
    <n v="3901"/>
    <n v="1420"/>
    <n v="37.909999999999997"/>
    <n v="34639"/>
    <n v="82360"/>
    <n v="9.25"/>
    <s v="Poll"/>
    <x v="261"/>
    <d v="1899-12-30T09:25:42"/>
    <n v="0.37909999999999999"/>
    <n v="9.2499999999999999E-2"/>
    <n v="7340"/>
    <n v="8.9120932491500729E-2"/>
    <s v="High CTR"/>
    <s v="High"/>
    <s v="Morning"/>
    <n v="3"/>
  </r>
  <r>
    <s v="249928d1-d8db-4f03-8872-11b39957c46b"/>
    <s v="fd60e8a5-3d69-431d-abf2-dc61ae8e6bba"/>
    <n v="6936"/>
    <n v="1317"/>
    <n v="252"/>
    <n v="91.92"/>
    <n v="34801"/>
    <n v="30720"/>
    <n v="2.5499999999999998"/>
    <s v="Image"/>
    <x v="262"/>
    <d v="1899-12-30T10:30:44"/>
    <n v="0.91920000000000002"/>
    <n v="2.5499999999999998E-2"/>
    <n v="8505"/>
    <n v="0.27685546875"/>
    <s v="High CTR"/>
    <s v="High"/>
    <s v="Morning"/>
    <n v="3"/>
  </r>
  <r>
    <s v="249928d1-d8db-4f03-8872-11b39957c46b"/>
    <s v="fd60e8a5-3d69-431d-abf2-dc61ae8e6bba"/>
    <n v="6936"/>
    <n v="1317"/>
    <n v="252"/>
    <n v="91.92"/>
    <n v="34801"/>
    <n v="30720"/>
    <n v="2.5499999999999998"/>
    <s v="Image"/>
    <x v="52"/>
    <d v="1899-12-30T10:30:44"/>
    <n v="0.91920000000000002"/>
    <n v="2.5499999999999998E-2"/>
    <n v="8505"/>
    <n v="0.27685546875"/>
    <s v="High CTR"/>
    <s v="High"/>
    <s v="Morning"/>
    <n v="3"/>
  </r>
  <r>
    <s v="249928d1-d8db-4f03-8872-11b39957c46b"/>
    <s v="fd60e8a5-3d69-431d-abf2-dc61ae8e6bba"/>
    <n v="6936"/>
    <n v="1317"/>
    <n v="252"/>
    <n v="91.92"/>
    <n v="34801"/>
    <n v="30720"/>
    <n v="2.5499999999999998"/>
    <s v="Image"/>
    <x v="263"/>
    <d v="1899-12-30T10:30:44"/>
    <n v="0.91920000000000002"/>
    <n v="2.5499999999999998E-2"/>
    <n v="8505"/>
    <n v="0.27685546875"/>
    <s v="High CTR"/>
    <s v="High"/>
    <s v="Morning"/>
    <n v="3"/>
  </r>
  <r>
    <s v="9da2809a-0cf8-41ec-a355-fcfd32259138"/>
    <s v="de238f49-e43e-4ed9-a462-f5495e2492c0"/>
    <n v="552"/>
    <n v="2286"/>
    <n v="763"/>
    <n v="46.05"/>
    <n v="81628"/>
    <n v="75769"/>
    <n v="5.81"/>
    <s v="Text"/>
    <x v="264"/>
    <d v="1899-12-30T00:02:59"/>
    <n v="0.46049999999999996"/>
    <n v="5.8099999999999999E-2"/>
    <n v="3601"/>
    <n v="4.7526033074212409E-2"/>
    <s v="High CTR"/>
    <s v="High"/>
    <s v="Morning"/>
    <n v="3"/>
  </r>
  <r>
    <s v="9da2809a-0cf8-41ec-a355-fcfd32259138"/>
    <s v="de238f49-e43e-4ed9-a462-f5495e2492c0"/>
    <n v="552"/>
    <n v="2286"/>
    <n v="763"/>
    <n v="46.05"/>
    <n v="81628"/>
    <n v="75769"/>
    <n v="5.81"/>
    <s v="Text"/>
    <x v="265"/>
    <d v="1899-12-30T00:02:59"/>
    <n v="0.46049999999999996"/>
    <n v="5.8099999999999999E-2"/>
    <n v="3601"/>
    <n v="4.7526033074212409E-2"/>
    <s v="High CTR"/>
    <s v="High"/>
    <s v="Morning"/>
    <n v="3"/>
  </r>
  <r>
    <s v="9da2809a-0cf8-41ec-a355-fcfd32259138"/>
    <s v="de238f49-e43e-4ed9-a462-f5495e2492c0"/>
    <n v="552"/>
    <n v="2286"/>
    <n v="763"/>
    <n v="46.05"/>
    <n v="81628"/>
    <n v="75769"/>
    <n v="5.81"/>
    <s v="Text"/>
    <x v="266"/>
    <d v="1899-12-30T00:02:59"/>
    <n v="0.46049999999999996"/>
    <n v="5.8099999999999999E-2"/>
    <n v="3601"/>
    <n v="4.7526033074212409E-2"/>
    <s v="High CTR"/>
    <s v="High"/>
    <s v="Morning"/>
    <n v="3"/>
  </r>
  <r>
    <s v="ebdb2f1c-5ddf-4d6b-a827-00cb918bb623"/>
    <s v="3427dec3-ea53-41b1-90b2-2ee69b40096a"/>
    <n v="7826"/>
    <n v="1407"/>
    <n v="427"/>
    <n v="29.94"/>
    <n v="67495"/>
    <n v="98182"/>
    <n v="4.6399999999999997"/>
    <s v="Poll"/>
    <x v="48"/>
    <d v="1899-12-30T14:36:38"/>
    <n v="0.2994"/>
    <n v="4.6399999999999997E-2"/>
    <n v="9660"/>
    <n v="9.8388706687580207E-2"/>
    <s v="High CTR"/>
    <s v="High"/>
    <s v="Afternoon"/>
    <n v="3"/>
  </r>
  <r>
    <s v="ebdb2f1c-5ddf-4d6b-a827-00cb918bb623"/>
    <s v="3427dec3-ea53-41b1-90b2-2ee69b40096a"/>
    <n v="7826"/>
    <n v="1407"/>
    <n v="427"/>
    <n v="29.94"/>
    <n v="67495"/>
    <n v="98182"/>
    <n v="4.6399999999999997"/>
    <s v="Poll"/>
    <x v="267"/>
    <d v="1899-12-30T14:36:38"/>
    <n v="0.2994"/>
    <n v="4.6399999999999997E-2"/>
    <n v="9660"/>
    <n v="9.8388706687580207E-2"/>
    <s v="High CTR"/>
    <s v="High"/>
    <s v="Afternoon"/>
    <n v="3"/>
  </r>
  <r>
    <s v="ebdb2f1c-5ddf-4d6b-a827-00cb918bb623"/>
    <s v="3427dec3-ea53-41b1-90b2-2ee69b40096a"/>
    <n v="7826"/>
    <n v="1407"/>
    <n v="427"/>
    <n v="29.94"/>
    <n v="67495"/>
    <n v="98182"/>
    <n v="4.6399999999999997"/>
    <s v="Poll"/>
    <x v="268"/>
    <d v="1899-12-30T14:36:38"/>
    <n v="0.2994"/>
    <n v="4.6399999999999997E-2"/>
    <n v="9660"/>
    <n v="9.8388706687580207E-2"/>
    <s v="High CTR"/>
    <s v="High"/>
    <s v="Afternoon"/>
    <n v="3"/>
  </r>
  <r>
    <s v="cf651e2f-937b-4eee-bd5d-90eee97629ff"/>
    <s v="5de8f69f-b48a-4743-affd-d20e438f6487"/>
    <n v="9798"/>
    <n v="1586"/>
    <n v="371"/>
    <n v="70.7"/>
    <n v="11652"/>
    <n v="82422"/>
    <n v="0.85"/>
    <s v="Image"/>
    <x v="269"/>
    <d v="1899-12-30T12:36:36"/>
    <n v="0.70700000000000007"/>
    <n v="8.5000000000000006E-3"/>
    <n v="11755"/>
    <n v="0.14261968891800733"/>
    <s v="High CTR"/>
    <s v="High"/>
    <s v="Afternoon"/>
    <n v="3"/>
  </r>
  <r>
    <s v="cf651e2f-937b-4eee-bd5d-90eee97629ff"/>
    <s v="5de8f69f-b48a-4743-affd-d20e438f6487"/>
    <n v="9798"/>
    <n v="1586"/>
    <n v="371"/>
    <n v="70.7"/>
    <n v="11652"/>
    <n v="82422"/>
    <n v="0.85"/>
    <s v="Image"/>
    <x v="270"/>
    <d v="1899-12-30T12:36:36"/>
    <n v="0.70700000000000007"/>
    <n v="8.5000000000000006E-3"/>
    <n v="11755"/>
    <n v="0.14261968891800733"/>
    <s v="High CTR"/>
    <s v="High"/>
    <s v="Afternoon"/>
    <n v="3"/>
  </r>
  <r>
    <s v="cf651e2f-937b-4eee-bd5d-90eee97629ff"/>
    <s v="5de8f69f-b48a-4743-affd-d20e438f6487"/>
    <n v="9798"/>
    <n v="1586"/>
    <n v="371"/>
    <n v="70.7"/>
    <n v="11652"/>
    <n v="82422"/>
    <n v="0.85"/>
    <s v="Image"/>
    <x v="33"/>
    <d v="1899-12-30T12:36:36"/>
    <n v="0.70700000000000007"/>
    <n v="8.5000000000000006E-3"/>
    <n v="11755"/>
    <n v="0.14261968891800733"/>
    <s v="High CTR"/>
    <s v="High"/>
    <s v="Afternoon"/>
    <n v="3"/>
  </r>
  <r>
    <s v="e5b290fb-8fd5-4e41-9a53-9a19a9af6f64"/>
    <s v="091e3a68-1edc-4026-aa30-f5e4881be528"/>
    <n v="1355"/>
    <n v="647"/>
    <n v="439"/>
    <n v="69.41"/>
    <n v="70517"/>
    <n v="53575"/>
    <n v="8.75"/>
    <s v="Image"/>
    <x v="88"/>
    <d v="1899-12-30T11:12:10"/>
    <n v="0.69409999999999994"/>
    <n v="8.7499999999999994E-2"/>
    <n v="2441"/>
    <n v="4.5562295846943539E-2"/>
    <s v="High CTR"/>
    <s v="High"/>
    <s v="Morning"/>
    <n v="3"/>
  </r>
  <r>
    <s v="e5b290fb-8fd5-4e41-9a53-9a19a9af6f64"/>
    <s v="091e3a68-1edc-4026-aa30-f5e4881be528"/>
    <n v="1355"/>
    <n v="647"/>
    <n v="439"/>
    <n v="69.41"/>
    <n v="70517"/>
    <n v="53575"/>
    <n v="8.75"/>
    <s v="Image"/>
    <x v="271"/>
    <d v="1899-12-30T11:12:10"/>
    <n v="0.69409999999999994"/>
    <n v="8.7499999999999994E-2"/>
    <n v="2441"/>
    <n v="4.5562295846943539E-2"/>
    <s v="High CTR"/>
    <s v="High"/>
    <s v="Morning"/>
    <n v="3"/>
  </r>
  <r>
    <s v="e5b290fb-8fd5-4e41-9a53-9a19a9af6f64"/>
    <s v="091e3a68-1edc-4026-aa30-f5e4881be528"/>
    <n v="1355"/>
    <n v="647"/>
    <n v="439"/>
    <n v="69.41"/>
    <n v="70517"/>
    <n v="53575"/>
    <n v="8.75"/>
    <s v="Image"/>
    <x v="272"/>
    <d v="1899-12-30T11:12:10"/>
    <n v="0.69409999999999994"/>
    <n v="8.7499999999999994E-2"/>
    <n v="2441"/>
    <n v="4.5562295846943539E-2"/>
    <s v="High CTR"/>
    <s v="High"/>
    <s v="Morning"/>
    <n v="3"/>
  </r>
  <r>
    <s v="5835b517-dc8d-42de-af26-a7910f8446f7"/>
    <s v="006e27a1-f345-44bc-858a-0e5f2ba185d5"/>
    <n v="729"/>
    <n v="2752"/>
    <n v="619"/>
    <n v="78.13"/>
    <n v="26732"/>
    <n v="34691"/>
    <n v="9.9600000000000009"/>
    <s v="Poll"/>
    <x v="105"/>
    <d v="1899-12-30T17:51:41"/>
    <n v="0.78129999999999999"/>
    <n v="9.9600000000000008E-2"/>
    <n v="4100"/>
    <n v="0.11818627309676862"/>
    <s v="High CTR"/>
    <s v="High"/>
    <s v="Evening"/>
    <n v="3"/>
  </r>
  <r>
    <s v="5835b517-dc8d-42de-af26-a7910f8446f7"/>
    <s v="006e27a1-f345-44bc-858a-0e5f2ba185d5"/>
    <n v="729"/>
    <n v="2752"/>
    <n v="619"/>
    <n v="78.13"/>
    <n v="26732"/>
    <n v="34691"/>
    <n v="9.9600000000000009"/>
    <s v="Poll"/>
    <x v="273"/>
    <d v="1899-12-30T17:51:41"/>
    <n v="0.78129999999999999"/>
    <n v="9.9600000000000008E-2"/>
    <n v="4100"/>
    <n v="0.11818627309676862"/>
    <s v="High CTR"/>
    <s v="High"/>
    <s v="Evening"/>
    <n v="3"/>
  </r>
  <r>
    <s v="5835b517-dc8d-42de-af26-a7910f8446f7"/>
    <s v="006e27a1-f345-44bc-858a-0e5f2ba185d5"/>
    <n v="729"/>
    <n v="2752"/>
    <n v="619"/>
    <n v="78.13"/>
    <n v="26732"/>
    <n v="34691"/>
    <n v="9.9600000000000009"/>
    <s v="Poll"/>
    <x v="119"/>
    <d v="1899-12-30T17:51:41"/>
    <n v="0.78129999999999999"/>
    <n v="9.9600000000000008E-2"/>
    <n v="4100"/>
    <n v="0.11818627309676862"/>
    <s v="High CTR"/>
    <s v="High"/>
    <s v="Evening"/>
    <n v="3"/>
  </r>
  <r>
    <s v="4476d073-7f61-4fda-965b-7d27900021d7"/>
    <s v="30b965fe-b023-4900-9594-7ce8e070ab29"/>
    <n v="6350"/>
    <n v="3692"/>
    <n v="581"/>
    <n v="65.849999999999994"/>
    <n v="21250"/>
    <n v="2416"/>
    <n v="4.46"/>
    <s v="Text"/>
    <x v="274"/>
    <d v="1899-12-30T07:56:09"/>
    <n v="0.65849999999999997"/>
    <n v="4.4600000000000001E-2"/>
    <n v="10623"/>
    <n v="1"/>
    <s v="High CTR"/>
    <s v="High"/>
    <s v="Morning"/>
    <n v="3"/>
  </r>
  <r>
    <s v="4476d073-7f61-4fda-965b-7d27900021d7"/>
    <s v="30b965fe-b023-4900-9594-7ce8e070ab29"/>
    <n v="6350"/>
    <n v="3692"/>
    <n v="581"/>
    <n v="65.849999999999994"/>
    <n v="21250"/>
    <n v="2416"/>
    <n v="4.46"/>
    <s v="Text"/>
    <x v="275"/>
    <d v="1899-12-30T07:56:09"/>
    <n v="0.65849999999999997"/>
    <n v="4.4600000000000001E-2"/>
    <n v="10623"/>
    <n v="1"/>
    <s v="High CTR"/>
    <s v="High"/>
    <s v="Morning"/>
    <n v="3"/>
  </r>
  <r>
    <s v="4476d073-7f61-4fda-965b-7d27900021d7"/>
    <s v="30b965fe-b023-4900-9594-7ce8e070ab29"/>
    <n v="6350"/>
    <n v="3692"/>
    <n v="581"/>
    <n v="65.849999999999994"/>
    <n v="21250"/>
    <n v="2416"/>
    <n v="4.46"/>
    <s v="Text"/>
    <x v="276"/>
    <d v="1899-12-30T07:56:09"/>
    <n v="0.65849999999999997"/>
    <n v="4.4600000000000001E-2"/>
    <n v="10623"/>
    <n v="1"/>
    <s v="High CTR"/>
    <s v="High"/>
    <s v="Morning"/>
    <n v="3"/>
  </r>
  <r>
    <s v="af139ab6-ea5c-46a7-bdb3-b767a80b78e9"/>
    <s v="c2683442-91a3-44c4-85ae-b4382c02feca"/>
    <n v="776"/>
    <n v="4575"/>
    <n v="160"/>
    <n v="31.28"/>
    <n v="88608"/>
    <n v="51369"/>
    <n v="0.27"/>
    <s v="Text"/>
    <x v="277"/>
    <d v="1899-12-30T15:01:21"/>
    <n v="0.31280000000000002"/>
    <n v="2.7000000000000001E-3"/>
    <n v="5511"/>
    <n v="0.10728260234771944"/>
    <s v="High CTR"/>
    <s v="High"/>
    <s v="Afternoon"/>
    <n v="3"/>
  </r>
  <r>
    <s v="af139ab6-ea5c-46a7-bdb3-b767a80b78e9"/>
    <s v="c2683442-91a3-44c4-85ae-b4382c02feca"/>
    <n v="776"/>
    <n v="4575"/>
    <n v="160"/>
    <n v="31.28"/>
    <n v="88608"/>
    <n v="51369"/>
    <n v="0.27"/>
    <s v="Text"/>
    <x v="174"/>
    <d v="1899-12-30T15:01:21"/>
    <n v="0.31280000000000002"/>
    <n v="2.7000000000000001E-3"/>
    <n v="5511"/>
    <n v="0.10728260234771944"/>
    <s v="High CTR"/>
    <s v="High"/>
    <s v="Afternoon"/>
    <n v="3"/>
  </r>
  <r>
    <s v="af139ab6-ea5c-46a7-bdb3-b767a80b78e9"/>
    <s v="c2683442-91a3-44c4-85ae-b4382c02feca"/>
    <n v="776"/>
    <n v="4575"/>
    <n v="160"/>
    <n v="31.28"/>
    <n v="88608"/>
    <n v="51369"/>
    <n v="0.27"/>
    <s v="Text"/>
    <x v="65"/>
    <d v="1899-12-30T15:01:21"/>
    <n v="0.31280000000000002"/>
    <n v="2.7000000000000001E-3"/>
    <n v="5511"/>
    <n v="0.10728260234771944"/>
    <s v="High CTR"/>
    <s v="High"/>
    <s v="Afternoon"/>
    <n v="3"/>
  </r>
  <r>
    <s v="eaae9db5-d62f-4108-85eb-5751e3a8d209"/>
    <s v="4dee74a6-edb1-4480-b1a6-f395e2d86266"/>
    <n v="1033"/>
    <n v="3708"/>
    <n v="188"/>
    <n v="23.38"/>
    <n v="65915"/>
    <n v="41656"/>
    <n v="5.84"/>
    <s v="Image"/>
    <x v="278"/>
    <d v="1899-12-30T08:43:04"/>
    <n v="0.23379999999999998"/>
    <n v="5.8400000000000001E-2"/>
    <n v="4929"/>
    <n v="0.11832629153063184"/>
    <s v="High CTR"/>
    <s v="High"/>
    <s v="Morning"/>
    <n v="3"/>
  </r>
  <r>
    <s v="eaae9db5-d62f-4108-85eb-5751e3a8d209"/>
    <s v="4dee74a6-edb1-4480-b1a6-f395e2d86266"/>
    <n v="1033"/>
    <n v="3708"/>
    <n v="188"/>
    <n v="23.38"/>
    <n v="65915"/>
    <n v="41656"/>
    <n v="5.84"/>
    <s v="Image"/>
    <x v="279"/>
    <d v="1899-12-30T08:43:04"/>
    <n v="0.23379999999999998"/>
    <n v="5.8400000000000001E-2"/>
    <n v="4929"/>
    <n v="0.11832629153063184"/>
    <s v="High CTR"/>
    <s v="High"/>
    <s v="Morning"/>
    <n v="3"/>
  </r>
  <r>
    <s v="eaae9db5-d62f-4108-85eb-5751e3a8d209"/>
    <s v="4dee74a6-edb1-4480-b1a6-f395e2d86266"/>
    <n v="1033"/>
    <n v="3708"/>
    <n v="188"/>
    <n v="23.38"/>
    <n v="65915"/>
    <n v="41656"/>
    <n v="5.84"/>
    <s v="Image"/>
    <x v="280"/>
    <d v="1899-12-30T08:43:04"/>
    <n v="0.23379999999999998"/>
    <n v="5.8400000000000001E-2"/>
    <n v="4929"/>
    <n v="0.11832629153063184"/>
    <s v="High CTR"/>
    <s v="High"/>
    <s v="Morning"/>
    <n v="3"/>
  </r>
  <r>
    <s v="205eddea-33d3-43aa-8ed1-e4aa8cc84a69"/>
    <s v="dfa6a8f8-9ca0-4bf8-9418-b7d599b63911"/>
    <n v="5087"/>
    <n v="2117"/>
    <n v="203"/>
    <n v="84.39"/>
    <n v="68505"/>
    <n v="99558"/>
    <n v="0.94"/>
    <s v="Poll"/>
    <x v="281"/>
    <d v="1899-12-30T07:54:33"/>
    <n v="0.84389999999999998"/>
    <n v="9.3999999999999986E-3"/>
    <n v="7407"/>
    <n v="7.4398842885554151E-2"/>
    <s v="High CTR"/>
    <s v="High"/>
    <s v="Morning"/>
    <n v="3"/>
  </r>
  <r>
    <s v="205eddea-33d3-43aa-8ed1-e4aa8cc84a69"/>
    <s v="dfa6a8f8-9ca0-4bf8-9418-b7d599b63911"/>
    <n v="5087"/>
    <n v="2117"/>
    <n v="203"/>
    <n v="84.39"/>
    <n v="68505"/>
    <n v="99558"/>
    <n v="0.94"/>
    <s v="Poll"/>
    <x v="268"/>
    <d v="1899-12-30T07:54:33"/>
    <n v="0.84389999999999998"/>
    <n v="9.3999999999999986E-3"/>
    <n v="7407"/>
    <n v="7.4398842885554151E-2"/>
    <s v="High CTR"/>
    <s v="High"/>
    <s v="Morning"/>
    <n v="3"/>
  </r>
  <r>
    <s v="205eddea-33d3-43aa-8ed1-e4aa8cc84a69"/>
    <s v="dfa6a8f8-9ca0-4bf8-9418-b7d599b63911"/>
    <n v="5087"/>
    <n v="2117"/>
    <n v="203"/>
    <n v="84.39"/>
    <n v="68505"/>
    <n v="99558"/>
    <n v="0.94"/>
    <s v="Poll"/>
    <x v="282"/>
    <d v="1899-12-30T07:54:33"/>
    <n v="0.84389999999999998"/>
    <n v="9.3999999999999986E-3"/>
    <n v="7407"/>
    <n v="7.4398842885554151E-2"/>
    <s v="High CTR"/>
    <s v="High"/>
    <s v="Morning"/>
    <n v="3"/>
  </r>
  <r>
    <s v="e1021f37-7e77-487f-a61c-b2e8f823d6f4"/>
    <s v="aa80038e-051b-445f-a727-03c4d5d014f0"/>
    <n v="9246"/>
    <n v="1805"/>
    <n v="884"/>
    <n v="95.41"/>
    <n v="59259"/>
    <n v="30700"/>
    <n v="4.7300000000000004"/>
    <s v="Video"/>
    <x v="105"/>
    <d v="1899-12-30T19:56:46"/>
    <n v="0.95409999999999995"/>
    <n v="4.7300000000000002E-2"/>
    <n v="11935"/>
    <n v="0.38876221498371333"/>
    <s v="High CTR"/>
    <s v="High"/>
    <s v="Evening"/>
    <n v="3"/>
  </r>
  <r>
    <s v="e1021f37-7e77-487f-a61c-b2e8f823d6f4"/>
    <s v="aa80038e-051b-445f-a727-03c4d5d014f0"/>
    <n v="9246"/>
    <n v="1805"/>
    <n v="884"/>
    <n v="95.41"/>
    <n v="59259"/>
    <n v="30700"/>
    <n v="4.7300000000000004"/>
    <s v="Video"/>
    <x v="177"/>
    <d v="1899-12-30T19:56:46"/>
    <n v="0.95409999999999995"/>
    <n v="4.7300000000000002E-2"/>
    <n v="11935"/>
    <n v="0.38876221498371333"/>
    <s v="High CTR"/>
    <s v="High"/>
    <s v="Evening"/>
    <n v="3"/>
  </r>
  <r>
    <s v="e1021f37-7e77-487f-a61c-b2e8f823d6f4"/>
    <s v="aa80038e-051b-445f-a727-03c4d5d014f0"/>
    <n v="9246"/>
    <n v="1805"/>
    <n v="884"/>
    <n v="95.41"/>
    <n v="59259"/>
    <n v="30700"/>
    <n v="4.7300000000000004"/>
    <s v="Video"/>
    <x v="283"/>
    <d v="1899-12-30T19:56:46"/>
    <n v="0.95409999999999995"/>
    <n v="4.7300000000000002E-2"/>
    <n v="11935"/>
    <n v="0.38876221498371333"/>
    <s v="High CTR"/>
    <s v="High"/>
    <s v="Evening"/>
    <n v="3"/>
  </r>
  <r>
    <s v="a0bb4ecd-6a9f-4177-bd5d-0cd490650ade"/>
    <s v="294c74b1-1f91-43b6-8b94-912ccf633704"/>
    <n v="5992"/>
    <n v="883"/>
    <n v="220"/>
    <n v="75.5"/>
    <n v="35807"/>
    <n v="71829"/>
    <n v="7.09"/>
    <s v="Video"/>
    <x v="284"/>
    <d v="1899-12-30T14:09:30"/>
    <n v="0.755"/>
    <n v="7.0900000000000005E-2"/>
    <n v="7095"/>
    <n v="9.8776260284843168E-2"/>
    <s v="High CTR"/>
    <s v="High"/>
    <s v="Afternoon"/>
    <n v="3"/>
  </r>
  <r>
    <s v="a0bb4ecd-6a9f-4177-bd5d-0cd490650ade"/>
    <s v="294c74b1-1f91-43b6-8b94-912ccf633704"/>
    <n v="5992"/>
    <n v="883"/>
    <n v="220"/>
    <n v="75.5"/>
    <n v="35807"/>
    <n v="71829"/>
    <n v="7.09"/>
    <s v="Video"/>
    <x v="285"/>
    <d v="1899-12-30T14:09:30"/>
    <n v="0.755"/>
    <n v="7.0900000000000005E-2"/>
    <n v="7095"/>
    <n v="9.8776260284843168E-2"/>
    <s v="High CTR"/>
    <s v="High"/>
    <s v="Afternoon"/>
    <n v="3"/>
  </r>
  <r>
    <s v="a0bb4ecd-6a9f-4177-bd5d-0cd490650ade"/>
    <s v="294c74b1-1f91-43b6-8b94-912ccf633704"/>
    <n v="5992"/>
    <n v="883"/>
    <n v="220"/>
    <n v="75.5"/>
    <n v="35807"/>
    <n v="71829"/>
    <n v="7.09"/>
    <s v="Video"/>
    <x v="286"/>
    <d v="1899-12-30T14:09:30"/>
    <n v="0.755"/>
    <n v="7.0900000000000005E-2"/>
    <n v="7095"/>
    <n v="9.8776260284843168E-2"/>
    <s v="High CTR"/>
    <s v="High"/>
    <s v="Afternoon"/>
    <n v="3"/>
  </r>
  <r>
    <s v="d32bd3b0-1324-4bef-83a0-f01aa7276b06"/>
    <s v="14130df2-29ab-41e0-b65f-383d08773382"/>
    <n v="1179"/>
    <n v="1612"/>
    <n v="524"/>
    <n v="27.02"/>
    <n v="91703"/>
    <n v="27903"/>
    <n v="6.83"/>
    <s v="Text"/>
    <x v="287"/>
    <d v="1899-12-30T14:52:18"/>
    <n v="0.2702"/>
    <n v="6.83E-2"/>
    <n v="3315"/>
    <n v="0.11880442963122245"/>
    <s v="High CTR"/>
    <s v="High"/>
    <s v="Afternoon"/>
    <n v="3"/>
  </r>
  <r>
    <s v="d32bd3b0-1324-4bef-83a0-f01aa7276b06"/>
    <s v="14130df2-29ab-41e0-b65f-383d08773382"/>
    <n v="1179"/>
    <n v="1612"/>
    <n v="524"/>
    <n v="27.02"/>
    <n v="91703"/>
    <n v="27903"/>
    <n v="6.83"/>
    <s v="Text"/>
    <x v="288"/>
    <d v="1899-12-30T14:52:18"/>
    <n v="0.2702"/>
    <n v="6.83E-2"/>
    <n v="3315"/>
    <n v="0.11880442963122245"/>
    <s v="High CTR"/>
    <s v="High"/>
    <s v="Afternoon"/>
    <n v="3"/>
  </r>
  <r>
    <s v="d32bd3b0-1324-4bef-83a0-f01aa7276b06"/>
    <s v="14130df2-29ab-41e0-b65f-383d08773382"/>
    <n v="1179"/>
    <n v="1612"/>
    <n v="524"/>
    <n v="27.02"/>
    <n v="91703"/>
    <n v="27903"/>
    <n v="6.83"/>
    <s v="Text"/>
    <x v="289"/>
    <d v="1899-12-30T14:52:18"/>
    <n v="0.2702"/>
    <n v="6.83E-2"/>
    <n v="3315"/>
    <n v="0.11880442963122245"/>
    <s v="High CTR"/>
    <s v="High"/>
    <s v="Afternoon"/>
    <n v="3"/>
  </r>
  <r>
    <s v="7680894f-2754-40d9-a879-e778982d9a05"/>
    <s v="221ae7d9-e7cc-4005-831a-c28172005897"/>
    <n v="7149"/>
    <n v="1416"/>
    <n v="1315"/>
    <n v="15.76"/>
    <n v="64237"/>
    <n v="26491"/>
    <n v="2.82"/>
    <s v="Video"/>
    <x v="153"/>
    <d v="1899-12-30T11:38:01"/>
    <n v="0.15759999999999999"/>
    <n v="2.8199999999999999E-2"/>
    <n v="9880"/>
    <n v="0.37295685327092221"/>
    <s v="High CTR"/>
    <s v="High"/>
    <s v="Morning"/>
    <n v="3"/>
  </r>
  <r>
    <s v="7680894f-2754-40d9-a879-e778982d9a05"/>
    <s v="221ae7d9-e7cc-4005-831a-c28172005897"/>
    <n v="7149"/>
    <n v="1416"/>
    <n v="1315"/>
    <n v="15.76"/>
    <n v="64237"/>
    <n v="26491"/>
    <n v="2.82"/>
    <s v="Video"/>
    <x v="290"/>
    <d v="1899-12-30T11:38:01"/>
    <n v="0.15759999999999999"/>
    <n v="2.8199999999999999E-2"/>
    <n v="9880"/>
    <n v="0.37295685327092221"/>
    <s v="High CTR"/>
    <s v="High"/>
    <s v="Morning"/>
    <n v="3"/>
  </r>
  <r>
    <s v="7680894f-2754-40d9-a879-e778982d9a05"/>
    <s v="221ae7d9-e7cc-4005-831a-c28172005897"/>
    <n v="7149"/>
    <n v="1416"/>
    <n v="1315"/>
    <n v="15.76"/>
    <n v="64237"/>
    <n v="26491"/>
    <n v="2.82"/>
    <s v="Video"/>
    <x v="291"/>
    <d v="1899-12-30T11:38:01"/>
    <n v="0.15759999999999999"/>
    <n v="2.8199999999999999E-2"/>
    <n v="9880"/>
    <n v="0.37295685327092221"/>
    <s v="High CTR"/>
    <s v="High"/>
    <s v="Morning"/>
    <n v="3"/>
  </r>
  <r>
    <s v="0219c215-faa5-4272-be38-78a923b3c649"/>
    <s v="2c94a67d-f648-4cec-b2e1-3a1c6324cd4d"/>
    <n v="2392"/>
    <n v="3832"/>
    <n v="1315"/>
    <n v="84.48"/>
    <n v="91743"/>
    <n v="60195"/>
    <n v="1.08"/>
    <s v="Video"/>
    <x v="292"/>
    <d v="1899-12-30T12:52:19"/>
    <n v="0.8448"/>
    <n v="1.0800000000000001E-2"/>
    <n v="7539"/>
    <n v="0.125242960378769"/>
    <s v="High CTR"/>
    <s v="High"/>
    <s v="Afternoon"/>
    <n v="3"/>
  </r>
  <r>
    <s v="0219c215-faa5-4272-be38-78a923b3c649"/>
    <s v="2c94a67d-f648-4cec-b2e1-3a1c6324cd4d"/>
    <n v="2392"/>
    <n v="3832"/>
    <n v="1315"/>
    <n v="84.48"/>
    <n v="91743"/>
    <n v="60195"/>
    <n v="1.08"/>
    <s v="Video"/>
    <x v="293"/>
    <d v="1899-12-30T12:52:19"/>
    <n v="0.8448"/>
    <n v="1.0800000000000001E-2"/>
    <n v="7539"/>
    <n v="0.125242960378769"/>
    <s v="High CTR"/>
    <s v="High"/>
    <s v="Afternoon"/>
    <n v="3"/>
  </r>
  <r>
    <s v="0219c215-faa5-4272-be38-78a923b3c649"/>
    <s v="2c94a67d-f648-4cec-b2e1-3a1c6324cd4d"/>
    <n v="2392"/>
    <n v="3832"/>
    <n v="1315"/>
    <n v="84.48"/>
    <n v="91743"/>
    <n v="60195"/>
    <n v="1.08"/>
    <s v="Video"/>
    <x v="173"/>
    <d v="1899-12-30T12:52:19"/>
    <n v="0.8448"/>
    <n v="1.0800000000000001E-2"/>
    <n v="7539"/>
    <n v="0.125242960378769"/>
    <s v="High CTR"/>
    <s v="High"/>
    <s v="Afternoon"/>
    <n v="3"/>
  </r>
  <r>
    <s v="dae2d861-d7cb-4fa2-add2-89024a41958e"/>
    <s v="94af66f1-0913-467c-bd3d-98951f925385"/>
    <n v="3307"/>
    <n v="3730"/>
    <n v="201"/>
    <n v="85.4"/>
    <n v="7873"/>
    <n v="91099"/>
    <n v="3.41"/>
    <s v="Text"/>
    <x v="294"/>
    <d v="1899-12-30T21:44:33"/>
    <n v="0.85400000000000009"/>
    <n v="3.4099999999999998E-2"/>
    <n v="7238"/>
    <n v="7.9452024720359171E-2"/>
    <s v="High CTR"/>
    <s v="High"/>
    <s v="Night"/>
    <n v="3"/>
  </r>
  <r>
    <s v="dae2d861-d7cb-4fa2-add2-89024a41958e"/>
    <s v="94af66f1-0913-467c-bd3d-98951f925385"/>
    <n v="3307"/>
    <n v="3730"/>
    <n v="201"/>
    <n v="85.4"/>
    <n v="7873"/>
    <n v="91099"/>
    <n v="3.41"/>
    <s v="Text"/>
    <x v="295"/>
    <d v="1899-12-30T21:44:33"/>
    <n v="0.85400000000000009"/>
    <n v="3.4099999999999998E-2"/>
    <n v="7238"/>
    <n v="7.9452024720359171E-2"/>
    <s v="High CTR"/>
    <s v="High"/>
    <s v="Night"/>
    <n v="3"/>
  </r>
  <r>
    <s v="dae2d861-d7cb-4fa2-add2-89024a41958e"/>
    <s v="94af66f1-0913-467c-bd3d-98951f925385"/>
    <n v="3307"/>
    <n v="3730"/>
    <n v="201"/>
    <n v="85.4"/>
    <n v="7873"/>
    <n v="91099"/>
    <n v="3.41"/>
    <s v="Text"/>
    <x v="296"/>
    <d v="1899-12-30T21:44:33"/>
    <n v="0.85400000000000009"/>
    <n v="3.4099999999999998E-2"/>
    <n v="7238"/>
    <n v="7.9452024720359171E-2"/>
    <s v="High CTR"/>
    <s v="High"/>
    <s v="Night"/>
    <n v="3"/>
  </r>
  <r>
    <s v="7e80e9b3-c3fc-400d-811b-16969348e957"/>
    <s v="f8a087d6-34de-4863-8dc8-5d9ff73c1449"/>
    <n v="8127"/>
    <n v="3948"/>
    <n v="1622"/>
    <n v="11.77"/>
    <n v="32112"/>
    <n v="63971"/>
    <n v="3.89"/>
    <s v="Poll"/>
    <x v="71"/>
    <d v="1899-12-30T18:33:56"/>
    <n v="0.1177"/>
    <n v="3.8900000000000004E-2"/>
    <n v="13697"/>
    <n v="0.21411264479217146"/>
    <s v="High CTR"/>
    <s v="High"/>
    <s v="Evening"/>
    <n v="3"/>
  </r>
  <r>
    <s v="7e80e9b3-c3fc-400d-811b-16969348e957"/>
    <s v="f8a087d6-34de-4863-8dc8-5d9ff73c1449"/>
    <n v="8127"/>
    <n v="3948"/>
    <n v="1622"/>
    <n v="11.77"/>
    <n v="32112"/>
    <n v="63971"/>
    <n v="3.89"/>
    <s v="Poll"/>
    <x v="297"/>
    <d v="1899-12-30T18:33:56"/>
    <n v="0.1177"/>
    <n v="3.8900000000000004E-2"/>
    <n v="13697"/>
    <n v="0.21411264479217146"/>
    <s v="High CTR"/>
    <s v="High"/>
    <s v="Evening"/>
    <n v="3"/>
  </r>
  <r>
    <s v="7e80e9b3-c3fc-400d-811b-16969348e957"/>
    <s v="f8a087d6-34de-4863-8dc8-5d9ff73c1449"/>
    <n v="8127"/>
    <n v="3948"/>
    <n v="1622"/>
    <n v="11.77"/>
    <n v="32112"/>
    <n v="63971"/>
    <n v="3.89"/>
    <s v="Poll"/>
    <x v="298"/>
    <d v="1899-12-30T18:33:56"/>
    <n v="0.1177"/>
    <n v="3.8900000000000004E-2"/>
    <n v="13697"/>
    <n v="0.21411264479217146"/>
    <s v="High CTR"/>
    <s v="High"/>
    <s v="Evening"/>
    <n v="3"/>
  </r>
  <r>
    <s v="1ed3417c-3048-4c54-b020-2ea3f4ee5610"/>
    <s v="a701dc41-20c3-438d-b2b4-70f90a56de30"/>
    <n v="2799"/>
    <n v="2515"/>
    <n v="349"/>
    <n v="49.91"/>
    <n v="27576"/>
    <n v="87596"/>
    <n v="1.2"/>
    <s v="Video"/>
    <x v="205"/>
    <d v="1899-12-30T22:04:03"/>
    <n v="0.49909999999999999"/>
    <n v="1.2E-2"/>
    <n v="5663"/>
    <n v="6.4649070733823463E-2"/>
    <s v="High CTR"/>
    <s v="High"/>
    <s v="Night"/>
    <n v="3"/>
  </r>
  <r>
    <s v="1ed3417c-3048-4c54-b020-2ea3f4ee5610"/>
    <s v="a701dc41-20c3-438d-b2b4-70f90a56de30"/>
    <n v="2799"/>
    <n v="2515"/>
    <n v="349"/>
    <n v="49.91"/>
    <n v="27576"/>
    <n v="87596"/>
    <n v="1.2"/>
    <s v="Video"/>
    <x v="299"/>
    <d v="1899-12-30T22:04:03"/>
    <n v="0.49909999999999999"/>
    <n v="1.2E-2"/>
    <n v="5663"/>
    <n v="6.4649070733823463E-2"/>
    <s v="High CTR"/>
    <s v="High"/>
    <s v="Night"/>
    <n v="3"/>
  </r>
  <r>
    <s v="1ed3417c-3048-4c54-b020-2ea3f4ee5610"/>
    <s v="a701dc41-20c3-438d-b2b4-70f90a56de30"/>
    <n v="2799"/>
    <n v="2515"/>
    <n v="349"/>
    <n v="49.91"/>
    <n v="27576"/>
    <n v="87596"/>
    <n v="1.2"/>
    <s v="Video"/>
    <x v="13"/>
    <d v="1899-12-30T22:04:03"/>
    <n v="0.49909999999999999"/>
    <n v="1.2E-2"/>
    <n v="5663"/>
    <n v="6.4649070733823463E-2"/>
    <s v="High CTR"/>
    <s v="High"/>
    <s v="Night"/>
    <n v="3"/>
  </r>
  <r>
    <s v="b45ecb10-73af-4bc6-b02f-aa6ffa5dc451"/>
    <s v="5afa1202-1d7d-42a0-a796-33d1c18756c3"/>
    <n v="4455"/>
    <n v="4130"/>
    <n v="649"/>
    <n v="79.67"/>
    <n v="14460"/>
    <n v="45538"/>
    <n v="3.85"/>
    <s v="Text"/>
    <x v="300"/>
    <d v="1899-12-30T02:11:11"/>
    <n v="0.79669999999999996"/>
    <n v="3.85E-2"/>
    <n v="9234"/>
    <n v="0.20277570380780885"/>
    <s v="High CTR"/>
    <s v="High"/>
    <s v="Morning"/>
    <n v="3"/>
  </r>
  <r>
    <s v="b45ecb10-73af-4bc6-b02f-aa6ffa5dc451"/>
    <s v="5afa1202-1d7d-42a0-a796-33d1c18756c3"/>
    <n v="4455"/>
    <n v="4130"/>
    <n v="649"/>
    <n v="79.67"/>
    <n v="14460"/>
    <n v="45538"/>
    <n v="3.85"/>
    <s v="Text"/>
    <x v="241"/>
    <d v="1899-12-30T02:11:11"/>
    <n v="0.79669999999999996"/>
    <n v="3.85E-2"/>
    <n v="9234"/>
    <n v="0.20277570380780885"/>
    <s v="High CTR"/>
    <s v="High"/>
    <s v="Morning"/>
    <n v="3"/>
  </r>
  <r>
    <s v="b45ecb10-73af-4bc6-b02f-aa6ffa5dc451"/>
    <s v="5afa1202-1d7d-42a0-a796-33d1c18756c3"/>
    <n v="4455"/>
    <n v="4130"/>
    <n v="649"/>
    <n v="79.67"/>
    <n v="14460"/>
    <n v="45538"/>
    <n v="3.85"/>
    <s v="Text"/>
    <x v="301"/>
    <d v="1899-12-30T02:11:11"/>
    <n v="0.79669999999999996"/>
    <n v="3.85E-2"/>
    <n v="9234"/>
    <n v="0.20277570380780885"/>
    <s v="High CTR"/>
    <s v="High"/>
    <s v="Morning"/>
    <n v="3"/>
  </r>
  <r>
    <s v="104a86ca-8b27-4d59-9364-c92531ce3f93"/>
    <s v="16613659-18a6-4b9c-a652-1e251493c1d8"/>
    <n v="7761"/>
    <n v="251"/>
    <n v="1234"/>
    <n v="39.409999999999997"/>
    <n v="79321"/>
    <n v="83204"/>
    <n v="7.35"/>
    <s v="Video"/>
    <x v="302"/>
    <d v="1899-12-30T15:55:51"/>
    <n v="0.39409999999999995"/>
    <n v="7.3499999999999996E-2"/>
    <n v="9246"/>
    <n v="0.11112446516994376"/>
    <s v="High CTR"/>
    <s v="High"/>
    <s v="Afternoon"/>
    <n v="3"/>
  </r>
  <r>
    <s v="104a86ca-8b27-4d59-9364-c92531ce3f93"/>
    <s v="16613659-18a6-4b9c-a652-1e251493c1d8"/>
    <n v="7761"/>
    <n v="251"/>
    <n v="1234"/>
    <n v="39.409999999999997"/>
    <n v="79321"/>
    <n v="83204"/>
    <n v="7.35"/>
    <s v="Video"/>
    <x v="303"/>
    <d v="1899-12-30T15:55:51"/>
    <n v="0.39409999999999995"/>
    <n v="7.3499999999999996E-2"/>
    <n v="9246"/>
    <n v="0.11112446516994376"/>
    <s v="High CTR"/>
    <s v="High"/>
    <s v="Afternoon"/>
    <n v="3"/>
  </r>
  <r>
    <s v="104a86ca-8b27-4d59-9364-c92531ce3f93"/>
    <s v="16613659-18a6-4b9c-a652-1e251493c1d8"/>
    <n v="7761"/>
    <n v="251"/>
    <n v="1234"/>
    <n v="39.409999999999997"/>
    <n v="79321"/>
    <n v="83204"/>
    <n v="7.35"/>
    <s v="Video"/>
    <x v="304"/>
    <d v="1899-12-30T15:55:51"/>
    <n v="0.39409999999999995"/>
    <n v="7.3499999999999996E-2"/>
    <n v="9246"/>
    <n v="0.11112446516994376"/>
    <s v="High CTR"/>
    <s v="High"/>
    <s v="Afternoon"/>
    <n v="3"/>
  </r>
  <r>
    <s v="dca83de5-1348-44c6-8e68-f237a300d619"/>
    <s v="1f8d3343-3ccf-4d1b-889d-08589fa36dfd"/>
    <n v="4546"/>
    <n v="4820"/>
    <n v="1460"/>
    <n v="6.65"/>
    <n v="97996"/>
    <n v="86585"/>
    <n v="1.51"/>
    <s v="Poll"/>
    <x v="305"/>
    <d v="1899-12-30T05:44:00"/>
    <n v="6.6500000000000004E-2"/>
    <n v="1.5100000000000001E-2"/>
    <n v="10826"/>
    <n v="0.12503320436565224"/>
    <s v="High CTR"/>
    <s v="High"/>
    <s v="Morning"/>
    <n v="3"/>
  </r>
  <r>
    <s v="dca83de5-1348-44c6-8e68-f237a300d619"/>
    <s v="1f8d3343-3ccf-4d1b-889d-08589fa36dfd"/>
    <n v="4546"/>
    <n v="4820"/>
    <n v="1460"/>
    <n v="6.65"/>
    <n v="97996"/>
    <n v="86585"/>
    <n v="1.51"/>
    <s v="Poll"/>
    <x v="214"/>
    <d v="1899-12-30T05:44:00"/>
    <n v="6.6500000000000004E-2"/>
    <n v="1.5100000000000001E-2"/>
    <n v="10826"/>
    <n v="0.12503320436565224"/>
    <s v="High CTR"/>
    <s v="High"/>
    <s v="Morning"/>
    <n v="3"/>
  </r>
  <r>
    <s v="dca83de5-1348-44c6-8e68-f237a300d619"/>
    <s v="1f8d3343-3ccf-4d1b-889d-08589fa36dfd"/>
    <n v="4546"/>
    <n v="4820"/>
    <n v="1460"/>
    <n v="6.65"/>
    <n v="97996"/>
    <n v="86585"/>
    <n v="1.51"/>
    <s v="Poll"/>
    <x v="205"/>
    <d v="1899-12-30T05:44:00"/>
    <n v="6.6500000000000004E-2"/>
    <n v="1.5100000000000001E-2"/>
    <n v="10826"/>
    <n v="0.12503320436565224"/>
    <s v="High CTR"/>
    <s v="High"/>
    <s v="Morning"/>
    <n v="3"/>
  </r>
  <r>
    <s v="7fae506d-16d5-4eb9-9ffc-66c0d80ade68"/>
    <s v="ebb675a2-7f52-49a8-992f-43e50771ccb2"/>
    <n v="4424"/>
    <n v="3491"/>
    <n v="1587"/>
    <n v="73.010000000000005"/>
    <n v="4102"/>
    <n v="95838"/>
    <n v="0.25"/>
    <s v="Poll"/>
    <x v="306"/>
    <d v="1899-12-30T08:16:03"/>
    <n v="0.73010000000000008"/>
    <n v="2.5000000000000001E-3"/>
    <n v="9502"/>
    <n v="9.9146476345499696E-2"/>
    <s v="High CTR"/>
    <s v="High"/>
    <s v="Morning"/>
    <n v="3"/>
  </r>
  <r>
    <s v="7fae506d-16d5-4eb9-9ffc-66c0d80ade68"/>
    <s v="ebb675a2-7f52-49a8-992f-43e50771ccb2"/>
    <n v="4424"/>
    <n v="3491"/>
    <n v="1587"/>
    <n v="73.010000000000005"/>
    <n v="4102"/>
    <n v="95838"/>
    <n v="0.25"/>
    <s v="Poll"/>
    <x v="307"/>
    <d v="1899-12-30T08:16:03"/>
    <n v="0.73010000000000008"/>
    <n v="2.5000000000000001E-3"/>
    <n v="9502"/>
    <n v="9.9146476345499696E-2"/>
    <s v="High CTR"/>
    <s v="High"/>
    <s v="Morning"/>
    <n v="3"/>
  </r>
  <r>
    <s v="7fae506d-16d5-4eb9-9ffc-66c0d80ade68"/>
    <s v="ebb675a2-7f52-49a8-992f-43e50771ccb2"/>
    <n v="4424"/>
    <n v="3491"/>
    <n v="1587"/>
    <n v="73.010000000000005"/>
    <n v="4102"/>
    <n v="95838"/>
    <n v="0.25"/>
    <s v="Poll"/>
    <x v="35"/>
    <d v="1899-12-30T08:16:03"/>
    <n v="0.73010000000000008"/>
    <n v="2.5000000000000001E-3"/>
    <n v="9502"/>
    <n v="9.9146476345499696E-2"/>
    <s v="High CTR"/>
    <s v="High"/>
    <s v="Morning"/>
    <n v="3"/>
  </r>
  <r>
    <s v="07ff5487-eede-4dcf-9f24-98d03b41be27"/>
    <s v="64f14eb5-f719-42c0-9651-dd3187f91243"/>
    <n v="4153"/>
    <n v="869"/>
    <n v="698"/>
    <n v="12.51"/>
    <n v="41737"/>
    <n v="85872"/>
    <n v="3.32"/>
    <s v="Text"/>
    <x v="308"/>
    <d v="1899-12-30T06:08:36"/>
    <n v="0.12509999999999999"/>
    <n v="3.32E-2"/>
    <n v="5720"/>
    <n v="6.6610769517421273E-2"/>
    <s v="High CTR"/>
    <s v="High"/>
    <s v="Morning"/>
    <n v="3"/>
  </r>
  <r>
    <s v="07ff5487-eede-4dcf-9f24-98d03b41be27"/>
    <s v="64f14eb5-f719-42c0-9651-dd3187f91243"/>
    <n v="4153"/>
    <n v="869"/>
    <n v="698"/>
    <n v="12.51"/>
    <n v="41737"/>
    <n v="85872"/>
    <n v="3.32"/>
    <s v="Text"/>
    <x v="309"/>
    <d v="1899-12-30T06:08:36"/>
    <n v="0.12509999999999999"/>
    <n v="3.32E-2"/>
    <n v="5720"/>
    <n v="6.6610769517421273E-2"/>
    <s v="High CTR"/>
    <s v="High"/>
    <s v="Morning"/>
    <n v="3"/>
  </r>
  <r>
    <s v="07ff5487-eede-4dcf-9f24-98d03b41be27"/>
    <s v="64f14eb5-f719-42c0-9651-dd3187f91243"/>
    <n v="4153"/>
    <n v="869"/>
    <n v="698"/>
    <n v="12.51"/>
    <n v="41737"/>
    <n v="85872"/>
    <n v="3.32"/>
    <s v="Text"/>
    <x v="310"/>
    <d v="1899-12-30T06:08:36"/>
    <n v="0.12509999999999999"/>
    <n v="3.32E-2"/>
    <n v="5720"/>
    <n v="6.6610769517421273E-2"/>
    <s v="High CTR"/>
    <s v="High"/>
    <s v="Morning"/>
    <n v="3"/>
  </r>
  <r>
    <s v="740fbf5b-a2c7-4885-a32b-36e194496e0d"/>
    <s v="f936fc2d-46c6-45fc-8388-7bd036e61152"/>
    <n v="1803"/>
    <n v="1132"/>
    <n v="973"/>
    <n v="67.2"/>
    <n v="82502"/>
    <n v="35757"/>
    <n v="1.58"/>
    <s v="Text"/>
    <x v="240"/>
    <d v="1899-12-30T20:16:23"/>
    <n v="0.67200000000000004"/>
    <n v="1.5800000000000002E-2"/>
    <n v="3908"/>
    <n v="0.10929328523086389"/>
    <s v="High CTR"/>
    <s v="High"/>
    <s v="Evening"/>
    <n v="3"/>
  </r>
  <r>
    <s v="740fbf5b-a2c7-4885-a32b-36e194496e0d"/>
    <s v="f936fc2d-46c6-45fc-8388-7bd036e61152"/>
    <n v="1803"/>
    <n v="1132"/>
    <n v="973"/>
    <n v="67.2"/>
    <n v="82502"/>
    <n v="35757"/>
    <n v="1.58"/>
    <s v="Text"/>
    <x v="311"/>
    <d v="1899-12-30T20:16:23"/>
    <n v="0.67200000000000004"/>
    <n v="1.5800000000000002E-2"/>
    <n v="3908"/>
    <n v="0.10929328523086389"/>
    <s v="High CTR"/>
    <s v="High"/>
    <s v="Evening"/>
    <n v="3"/>
  </r>
  <r>
    <s v="740fbf5b-a2c7-4885-a32b-36e194496e0d"/>
    <s v="f936fc2d-46c6-45fc-8388-7bd036e61152"/>
    <n v="1803"/>
    <n v="1132"/>
    <n v="973"/>
    <n v="67.2"/>
    <n v="82502"/>
    <n v="35757"/>
    <n v="1.58"/>
    <s v="Text"/>
    <x v="312"/>
    <d v="1899-12-30T20:16:23"/>
    <n v="0.67200000000000004"/>
    <n v="1.5800000000000002E-2"/>
    <n v="3908"/>
    <n v="0.10929328523086389"/>
    <s v="High CTR"/>
    <s v="High"/>
    <s v="Evening"/>
    <n v="3"/>
  </r>
  <r>
    <s v="95297b74-a985-4f91-a488-ca3e8d82bb80"/>
    <s v="2919e741-6c57-432a-bcfc-db077984f470"/>
    <n v="3871"/>
    <n v="1989"/>
    <n v="1533"/>
    <n v="87.13"/>
    <n v="18779"/>
    <n v="78382"/>
    <n v="6.26"/>
    <s v="Video"/>
    <x v="23"/>
    <d v="1899-12-30T06:56:07"/>
    <n v="0.87129999999999996"/>
    <n v="6.2600000000000003E-2"/>
    <n v="7393"/>
    <n v="9.4320124518384327E-2"/>
    <s v="High CTR"/>
    <s v="High"/>
    <s v="Morning"/>
    <n v="3"/>
  </r>
  <r>
    <s v="95297b74-a985-4f91-a488-ca3e8d82bb80"/>
    <s v="2919e741-6c57-432a-bcfc-db077984f470"/>
    <n v="3871"/>
    <n v="1989"/>
    <n v="1533"/>
    <n v="87.13"/>
    <n v="18779"/>
    <n v="78382"/>
    <n v="6.26"/>
    <s v="Video"/>
    <x v="33"/>
    <d v="1899-12-30T06:56:07"/>
    <n v="0.87129999999999996"/>
    <n v="6.2600000000000003E-2"/>
    <n v="7393"/>
    <n v="9.4320124518384327E-2"/>
    <s v="High CTR"/>
    <s v="High"/>
    <s v="Morning"/>
    <n v="3"/>
  </r>
  <r>
    <s v="95297b74-a985-4f91-a488-ca3e8d82bb80"/>
    <s v="2919e741-6c57-432a-bcfc-db077984f470"/>
    <n v="3871"/>
    <n v="1989"/>
    <n v="1533"/>
    <n v="87.13"/>
    <n v="18779"/>
    <n v="78382"/>
    <n v="6.26"/>
    <s v="Video"/>
    <x v="6"/>
    <d v="1899-12-30T06:56:07"/>
    <n v="0.87129999999999996"/>
    <n v="6.2600000000000003E-2"/>
    <n v="7393"/>
    <n v="9.4320124518384327E-2"/>
    <s v="High CTR"/>
    <s v="High"/>
    <s v="Morning"/>
    <n v="3"/>
  </r>
  <r>
    <s v="c169446c-3810-4375-a33d-d276ec16ec20"/>
    <s v="ea68b1f9-467c-4c66-b5c2-0889a9d754e9"/>
    <n v="6200"/>
    <n v="3915"/>
    <n v="1429"/>
    <n v="42.99"/>
    <n v="57594"/>
    <n v="63213"/>
    <n v="7.46"/>
    <s v="Image"/>
    <x v="224"/>
    <d v="1899-12-30T03:02:25"/>
    <n v="0.4299"/>
    <n v="7.46E-2"/>
    <n v="11544"/>
    <n v="0.18262066347112144"/>
    <s v="High CTR"/>
    <s v="High"/>
    <s v="Morning"/>
    <n v="3"/>
  </r>
  <r>
    <s v="c169446c-3810-4375-a33d-d276ec16ec20"/>
    <s v="ea68b1f9-467c-4c66-b5c2-0889a9d754e9"/>
    <n v="6200"/>
    <n v="3915"/>
    <n v="1429"/>
    <n v="42.99"/>
    <n v="57594"/>
    <n v="63213"/>
    <n v="7.46"/>
    <s v="Image"/>
    <x v="248"/>
    <d v="1899-12-30T03:02:25"/>
    <n v="0.4299"/>
    <n v="7.46E-2"/>
    <n v="11544"/>
    <n v="0.18262066347112144"/>
    <s v="High CTR"/>
    <s v="High"/>
    <s v="Morning"/>
    <n v="3"/>
  </r>
  <r>
    <s v="c169446c-3810-4375-a33d-d276ec16ec20"/>
    <s v="ea68b1f9-467c-4c66-b5c2-0889a9d754e9"/>
    <n v="6200"/>
    <n v="3915"/>
    <n v="1429"/>
    <n v="42.99"/>
    <n v="57594"/>
    <n v="63213"/>
    <n v="7.46"/>
    <s v="Image"/>
    <x v="313"/>
    <d v="1899-12-30T03:02:25"/>
    <n v="0.4299"/>
    <n v="7.46E-2"/>
    <n v="11544"/>
    <n v="0.18262066347112144"/>
    <s v="High CTR"/>
    <s v="High"/>
    <s v="Morning"/>
    <n v="3"/>
  </r>
  <r>
    <s v="0b47da89-d029-4e9c-98e7-a1c74c16e6c7"/>
    <s v="cc284be0-3a87-4cbd-a7ab-be2605712237"/>
    <n v="7796"/>
    <n v="1433"/>
    <n v="80"/>
    <n v="95.11"/>
    <n v="891"/>
    <n v="45307"/>
    <n v="7.49"/>
    <s v="Video"/>
    <x v="55"/>
    <d v="1899-12-30T00:19:49"/>
    <n v="0.95109999999999995"/>
    <n v="7.4900000000000008E-2"/>
    <n v="9309"/>
    <n v="0.20546493919261924"/>
    <s v="High CTR"/>
    <s v="High"/>
    <s v="Morning"/>
    <n v="3"/>
  </r>
  <r>
    <s v="0b47da89-d029-4e9c-98e7-a1c74c16e6c7"/>
    <s v="cc284be0-3a87-4cbd-a7ab-be2605712237"/>
    <n v="7796"/>
    <n v="1433"/>
    <n v="80"/>
    <n v="95.11"/>
    <n v="891"/>
    <n v="45307"/>
    <n v="7.49"/>
    <s v="Video"/>
    <x v="205"/>
    <d v="1899-12-30T00:19:49"/>
    <n v="0.95109999999999995"/>
    <n v="7.4900000000000008E-2"/>
    <n v="9309"/>
    <n v="0.20546493919261924"/>
    <s v="High CTR"/>
    <s v="High"/>
    <s v="Morning"/>
    <n v="3"/>
  </r>
  <r>
    <s v="0b47da89-d029-4e9c-98e7-a1c74c16e6c7"/>
    <s v="cc284be0-3a87-4cbd-a7ab-be2605712237"/>
    <n v="7796"/>
    <n v="1433"/>
    <n v="80"/>
    <n v="95.11"/>
    <n v="891"/>
    <n v="45307"/>
    <n v="7.49"/>
    <s v="Video"/>
    <x v="314"/>
    <d v="1899-12-30T00:19:49"/>
    <n v="0.95109999999999995"/>
    <n v="7.4900000000000008E-2"/>
    <n v="9309"/>
    <n v="0.20546493919261924"/>
    <s v="High CTR"/>
    <s v="High"/>
    <s v="Morning"/>
    <n v="3"/>
  </r>
  <r>
    <s v="ac43d196-51df-4453-8fc1-f16a7d5f5a9d"/>
    <s v="fb783501-a3d5-4b13-bac5-92733360057e"/>
    <n v="189"/>
    <n v="2967"/>
    <n v="451"/>
    <n v="96.58"/>
    <n v="34271"/>
    <n v="29952"/>
    <n v="9.56"/>
    <s v="Text"/>
    <x v="208"/>
    <d v="1899-12-30T19:04:07"/>
    <n v="0.96579999999999999"/>
    <n v="9.5600000000000004E-2"/>
    <n v="3607"/>
    <n v="0.12042601495726496"/>
    <s v="High CTR"/>
    <s v="High"/>
    <s v="Evening"/>
    <n v="3"/>
  </r>
  <r>
    <s v="ac43d196-51df-4453-8fc1-f16a7d5f5a9d"/>
    <s v="fb783501-a3d5-4b13-bac5-92733360057e"/>
    <n v="189"/>
    <n v="2967"/>
    <n v="451"/>
    <n v="96.58"/>
    <n v="34271"/>
    <n v="29952"/>
    <n v="9.56"/>
    <s v="Text"/>
    <x v="315"/>
    <d v="1899-12-30T19:04:07"/>
    <n v="0.96579999999999999"/>
    <n v="9.5600000000000004E-2"/>
    <n v="3607"/>
    <n v="0.12042601495726496"/>
    <s v="High CTR"/>
    <s v="High"/>
    <s v="Evening"/>
    <n v="3"/>
  </r>
  <r>
    <s v="ac43d196-51df-4453-8fc1-f16a7d5f5a9d"/>
    <s v="fb783501-a3d5-4b13-bac5-92733360057e"/>
    <n v="189"/>
    <n v="2967"/>
    <n v="451"/>
    <n v="96.58"/>
    <n v="34271"/>
    <n v="29952"/>
    <n v="9.56"/>
    <s v="Text"/>
    <x v="316"/>
    <d v="1899-12-30T19:04:07"/>
    <n v="0.96579999999999999"/>
    <n v="9.5600000000000004E-2"/>
    <n v="3607"/>
    <n v="0.12042601495726496"/>
    <s v="High CTR"/>
    <s v="High"/>
    <s v="Evening"/>
    <n v="3"/>
  </r>
  <r>
    <s v="f9847e67-3490-4e17-8e6b-bb3215bd7fc0"/>
    <s v="5df3197b-6673-49ab-9628-25119d6455f6"/>
    <n v="9478"/>
    <n v="1280"/>
    <n v="1562"/>
    <n v="43.93"/>
    <n v="87526"/>
    <n v="2273"/>
    <n v="6.25"/>
    <s v="Text"/>
    <x v="317"/>
    <d v="1899-12-30T08:04:39"/>
    <n v="0.43930000000000002"/>
    <n v="6.25E-2"/>
    <n v="12320"/>
    <n v="1"/>
    <s v="High CTR"/>
    <s v="High"/>
    <s v="Morning"/>
    <n v="3"/>
  </r>
  <r>
    <s v="f9847e67-3490-4e17-8e6b-bb3215bd7fc0"/>
    <s v="5df3197b-6673-49ab-9628-25119d6455f6"/>
    <n v="9478"/>
    <n v="1280"/>
    <n v="1562"/>
    <n v="43.93"/>
    <n v="87526"/>
    <n v="2273"/>
    <n v="6.25"/>
    <s v="Text"/>
    <x v="31"/>
    <d v="1899-12-30T08:04:39"/>
    <n v="0.43930000000000002"/>
    <n v="6.25E-2"/>
    <n v="12320"/>
    <n v="1"/>
    <s v="High CTR"/>
    <s v="High"/>
    <s v="Morning"/>
    <n v="3"/>
  </r>
  <r>
    <s v="f9847e67-3490-4e17-8e6b-bb3215bd7fc0"/>
    <s v="5df3197b-6673-49ab-9628-25119d6455f6"/>
    <n v="9478"/>
    <n v="1280"/>
    <n v="1562"/>
    <n v="43.93"/>
    <n v="87526"/>
    <n v="2273"/>
    <n v="6.25"/>
    <s v="Text"/>
    <x v="318"/>
    <d v="1899-12-30T08:04:39"/>
    <n v="0.43930000000000002"/>
    <n v="6.25E-2"/>
    <n v="12320"/>
    <n v="1"/>
    <s v="High CTR"/>
    <s v="High"/>
    <s v="Morning"/>
    <n v="3"/>
  </r>
  <r>
    <s v="34f005ea-8e5f-49a1-954a-2a12301ec8d7"/>
    <s v="abab3f29-11be-4cd5-83fc-397c107501dc"/>
    <n v="6628"/>
    <n v="139"/>
    <n v="1886"/>
    <n v="35.07"/>
    <n v="68474"/>
    <n v="86673"/>
    <n v="0.73"/>
    <s v="Image"/>
    <x v="319"/>
    <d v="1899-12-30T11:48:02"/>
    <n v="0.35070000000000001"/>
    <n v="7.3000000000000001E-3"/>
    <n v="8653"/>
    <n v="9.9835012056811237E-2"/>
    <s v="High CTR"/>
    <s v="High"/>
    <s v="Morning"/>
    <n v="3"/>
  </r>
  <r>
    <s v="34f005ea-8e5f-49a1-954a-2a12301ec8d7"/>
    <s v="abab3f29-11be-4cd5-83fc-397c107501dc"/>
    <n v="6628"/>
    <n v="139"/>
    <n v="1886"/>
    <n v="35.07"/>
    <n v="68474"/>
    <n v="86673"/>
    <n v="0.73"/>
    <s v="Image"/>
    <x v="320"/>
    <d v="1899-12-30T11:48:02"/>
    <n v="0.35070000000000001"/>
    <n v="7.3000000000000001E-3"/>
    <n v="8653"/>
    <n v="9.9835012056811237E-2"/>
    <s v="High CTR"/>
    <s v="High"/>
    <s v="Morning"/>
    <n v="3"/>
  </r>
  <r>
    <s v="34f005ea-8e5f-49a1-954a-2a12301ec8d7"/>
    <s v="abab3f29-11be-4cd5-83fc-397c107501dc"/>
    <n v="6628"/>
    <n v="139"/>
    <n v="1886"/>
    <n v="35.07"/>
    <n v="68474"/>
    <n v="86673"/>
    <n v="0.73"/>
    <s v="Image"/>
    <x v="321"/>
    <d v="1899-12-30T11:48:02"/>
    <n v="0.35070000000000001"/>
    <n v="7.3000000000000001E-3"/>
    <n v="8653"/>
    <n v="9.9835012056811237E-2"/>
    <s v="High CTR"/>
    <s v="High"/>
    <s v="Morning"/>
    <n v="3"/>
  </r>
  <r>
    <s v="d94d0905-1460-4030-895c-9610afe5a8b1"/>
    <s v="ec7160b3-40ae-4318-942c-9fb299153303"/>
    <n v="5594"/>
    <n v="3059"/>
    <n v="448"/>
    <n v="66.91"/>
    <n v="37735"/>
    <n v="39335"/>
    <n v="8.0399999999999991"/>
    <s v="Poll"/>
    <x v="322"/>
    <d v="1899-12-30T19:30:44"/>
    <n v="0.66909999999999992"/>
    <n v="8.0399999999999985E-2"/>
    <n v="9101"/>
    <n v="0.23137155205287913"/>
    <s v="High CTR"/>
    <s v="High"/>
    <s v="Evening"/>
    <n v="3"/>
  </r>
  <r>
    <s v="d94d0905-1460-4030-895c-9610afe5a8b1"/>
    <s v="ec7160b3-40ae-4318-942c-9fb299153303"/>
    <n v="5594"/>
    <n v="3059"/>
    <n v="448"/>
    <n v="66.91"/>
    <n v="37735"/>
    <n v="39335"/>
    <n v="8.0399999999999991"/>
    <s v="Poll"/>
    <x v="216"/>
    <d v="1899-12-30T19:30:44"/>
    <n v="0.66909999999999992"/>
    <n v="8.0399999999999985E-2"/>
    <n v="9101"/>
    <n v="0.23137155205287913"/>
    <s v="High CTR"/>
    <s v="High"/>
    <s v="Evening"/>
    <n v="3"/>
  </r>
  <r>
    <s v="d94d0905-1460-4030-895c-9610afe5a8b1"/>
    <s v="ec7160b3-40ae-4318-942c-9fb299153303"/>
    <n v="5594"/>
    <n v="3059"/>
    <n v="448"/>
    <n v="66.91"/>
    <n v="37735"/>
    <n v="39335"/>
    <n v="8.0399999999999991"/>
    <s v="Poll"/>
    <x v="323"/>
    <d v="1899-12-30T19:30:44"/>
    <n v="0.66909999999999992"/>
    <n v="8.0399999999999985E-2"/>
    <n v="9101"/>
    <n v="0.23137155205287913"/>
    <s v="High CTR"/>
    <s v="High"/>
    <s v="Evening"/>
    <n v="3"/>
  </r>
  <r>
    <s v="09a2169e-871e-4007-af3a-c05d75bc612e"/>
    <s v="161d096e-5d98-4f06-824d-b9c88dce77aa"/>
    <n v="4107"/>
    <n v="1141"/>
    <n v="495"/>
    <n v="6.55"/>
    <n v="49492"/>
    <n v="68903"/>
    <n v="9.1199999999999992"/>
    <s v="Video"/>
    <x v="324"/>
    <d v="1899-12-30T09:34:50"/>
    <n v="6.5500000000000003E-2"/>
    <n v="9.1199999999999989E-2"/>
    <n v="5743"/>
    <n v="8.3349055919190743E-2"/>
    <s v="High CTR"/>
    <s v="High"/>
    <s v="Morning"/>
    <n v="3"/>
  </r>
  <r>
    <s v="09a2169e-871e-4007-af3a-c05d75bc612e"/>
    <s v="161d096e-5d98-4f06-824d-b9c88dce77aa"/>
    <n v="4107"/>
    <n v="1141"/>
    <n v="495"/>
    <n v="6.55"/>
    <n v="49492"/>
    <n v="68903"/>
    <n v="9.1199999999999992"/>
    <s v="Video"/>
    <x v="325"/>
    <d v="1899-12-30T09:34:50"/>
    <n v="6.5500000000000003E-2"/>
    <n v="9.1199999999999989E-2"/>
    <n v="5743"/>
    <n v="8.3349055919190743E-2"/>
    <s v="High CTR"/>
    <s v="High"/>
    <s v="Morning"/>
    <n v="3"/>
  </r>
  <r>
    <s v="09a2169e-871e-4007-af3a-c05d75bc612e"/>
    <s v="161d096e-5d98-4f06-824d-b9c88dce77aa"/>
    <n v="4107"/>
    <n v="1141"/>
    <n v="495"/>
    <n v="6.55"/>
    <n v="49492"/>
    <n v="68903"/>
    <n v="9.1199999999999992"/>
    <s v="Video"/>
    <x v="326"/>
    <d v="1899-12-30T09:34:50"/>
    <n v="6.5500000000000003E-2"/>
    <n v="9.1199999999999989E-2"/>
    <n v="5743"/>
    <n v="8.3349055919190743E-2"/>
    <s v="High CTR"/>
    <s v="High"/>
    <s v="Morning"/>
    <n v="3"/>
  </r>
  <r>
    <s v="574bf9ca-5c2b-4f64-a57f-148eb65e6428"/>
    <s v="c287b31f-456a-468c-b88e-f9b307db34c7"/>
    <n v="8816"/>
    <n v="4355"/>
    <n v="1509"/>
    <n v="40.520000000000003"/>
    <n v="72174"/>
    <n v="89385"/>
    <n v="0.43"/>
    <s v="Text"/>
    <x v="229"/>
    <d v="1899-12-30T13:50:56"/>
    <n v="0.4052"/>
    <n v="4.3E-3"/>
    <n v="14680"/>
    <n v="0.16423337248979136"/>
    <s v="High CTR"/>
    <s v="High"/>
    <s v="Afternoon"/>
    <n v="3"/>
  </r>
  <r>
    <s v="574bf9ca-5c2b-4f64-a57f-148eb65e6428"/>
    <s v="c287b31f-456a-468c-b88e-f9b307db34c7"/>
    <n v="8816"/>
    <n v="4355"/>
    <n v="1509"/>
    <n v="40.520000000000003"/>
    <n v="72174"/>
    <n v="89385"/>
    <n v="0.43"/>
    <s v="Text"/>
    <x v="32"/>
    <d v="1899-12-30T13:50:56"/>
    <n v="0.4052"/>
    <n v="4.3E-3"/>
    <n v="14680"/>
    <n v="0.16423337248979136"/>
    <s v="High CTR"/>
    <s v="High"/>
    <s v="Afternoon"/>
    <n v="3"/>
  </r>
  <r>
    <s v="574bf9ca-5c2b-4f64-a57f-148eb65e6428"/>
    <s v="c287b31f-456a-468c-b88e-f9b307db34c7"/>
    <n v="8816"/>
    <n v="4355"/>
    <n v="1509"/>
    <n v="40.520000000000003"/>
    <n v="72174"/>
    <n v="89385"/>
    <n v="0.43"/>
    <s v="Text"/>
    <x v="173"/>
    <d v="1899-12-30T13:50:56"/>
    <n v="0.4052"/>
    <n v="4.3E-3"/>
    <n v="14680"/>
    <n v="0.16423337248979136"/>
    <s v="High CTR"/>
    <s v="High"/>
    <s v="Afternoon"/>
    <n v="3"/>
  </r>
  <r>
    <s v="d529ff70-f580-4226-a1ac-6a520fab374b"/>
    <s v="ef7d5298-8867-49ca-b612-4471be8c7572"/>
    <n v="9875"/>
    <n v="424"/>
    <n v="455"/>
    <n v="83.26"/>
    <n v="74522"/>
    <n v="95365"/>
    <n v="5.49"/>
    <s v="Video"/>
    <x v="327"/>
    <d v="1899-12-30T18:51:17"/>
    <n v="0.83260000000000001"/>
    <n v="5.4900000000000004E-2"/>
    <n v="10754"/>
    <n v="0.11276673832118701"/>
    <s v="High CTR"/>
    <s v="High"/>
    <s v="Evening"/>
    <n v="3"/>
  </r>
  <r>
    <s v="d529ff70-f580-4226-a1ac-6a520fab374b"/>
    <s v="ef7d5298-8867-49ca-b612-4471be8c7572"/>
    <n v="9875"/>
    <n v="424"/>
    <n v="455"/>
    <n v="83.26"/>
    <n v="74522"/>
    <n v="95365"/>
    <n v="5.49"/>
    <s v="Video"/>
    <x v="309"/>
    <d v="1899-12-30T18:51:17"/>
    <n v="0.83260000000000001"/>
    <n v="5.4900000000000004E-2"/>
    <n v="10754"/>
    <n v="0.11276673832118701"/>
    <s v="High CTR"/>
    <s v="High"/>
    <s v="Evening"/>
    <n v="3"/>
  </r>
  <r>
    <s v="d529ff70-f580-4226-a1ac-6a520fab374b"/>
    <s v="ef7d5298-8867-49ca-b612-4471be8c7572"/>
    <n v="9875"/>
    <n v="424"/>
    <n v="455"/>
    <n v="83.26"/>
    <n v="74522"/>
    <n v="95365"/>
    <n v="5.49"/>
    <s v="Video"/>
    <x v="328"/>
    <d v="1899-12-30T18:51:17"/>
    <n v="0.83260000000000001"/>
    <n v="5.4900000000000004E-2"/>
    <n v="10754"/>
    <n v="0.11276673832118701"/>
    <s v="High CTR"/>
    <s v="High"/>
    <s v="Evening"/>
    <n v="3"/>
  </r>
  <r>
    <s v="2976bf40-be70-4bd5-a86d-30e5542d9558"/>
    <s v="92dc7347-dcd6-41ad-b427-f4016cf54602"/>
    <n v="7241"/>
    <n v="2131"/>
    <n v="1240"/>
    <n v="92.59"/>
    <n v="24828"/>
    <n v="14365"/>
    <n v="1.7"/>
    <s v="Text"/>
    <x v="329"/>
    <d v="1899-12-30T07:55:56"/>
    <n v="0.92590000000000006"/>
    <n v="1.7000000000000001E-2"/>
    <n v="10612"/>
    <n v="0.73873999303863558"/>
    <s v="High CTR"/>
    <s v="High"/>
    <s v="Morning"/>
    <n v="3"/>
  </r>
  <r>
    <s v="2976bf40-be70-4bd5-a86d-30e5542d9558"/>
    <s v="92dc7347-dcd6-41ad-b427-f4016cf54602"/>
    <n v="7241"/>
    <n v="2131"/>
    <n v="1240"/>
    <n v="92.59"/>
    <n v="24828"/>
    <n v="14365"/>
    <n v="1.7"/>
    <s v="Text"/>
    <x v="330"/>
    <d v="1899-12-30T07:55:56"/>
    <n v="0.92590000000000006"/>
    <n v="1.7000000000000001E-2"/>
    <n v="10612"/>
    <n v="0.73873999303863558"/>
    <s v="High CTR"/>
    <s v="High"/>
    <s v="Morning"/>
    <n v="3"/>
  </r>
  <r>
    <s v="2976bf40-be70-4bd5-a86d-30e5542d9558"/>
    <s v="92dc7347-dcd6-41ad-b427-f4016cf54602"/>
    <n v="7241"/>
    <n v="2131"/>
    <n v="1240"/>
    <n v="92.59"/>
    <n v="24828"/>
    <n v="14365"/>
    <n v="1.7"/>
    <s v="Text"/>
    <x v="331"/>
    <d v="1899-12-30T07:55:56"/>
    <n v="0.92590000000000006"/>
    <n v="1.7000000000000001E-2"/>
    <n v="10612"/>
    <n v="0.73873999303863558"/>
    <s v="High CTR"/>
    <s v="High"/>
    <s v="Morning"/>
    <n v="3"/>
  </r>
  <r>
    <s v="b80aeca0-0ea4-4610-9b18-186db5fe5826"/>
    <s v="a8dd8618-070b-4ed0-b492-3e6e37d6b53b"/>
    <n v="9322"/>
    <n v="2279"/>
    <n v="1836"/>
    <n v="59.17"/>
    <n v="54439"/>
    <n v="81207"/>
    <n v="4.83"/>
    <s v="Poll"/>
    <x v="89"/>
    <d v="1899-12-30T09:00:14"/>
    <n v="0.5917"/>
    <n v="4.8300000000000003E-2"/>
    <n v="13437"/>
    <n v="0.16546603125346337"/>
    <s v="High CTR"/>
    <s v="High"/>
    <s v="Morning"/>
    <n v="3"/>
  </r>
  <r>
    <s v="b80aeca0-0ea4-4610-9b18-186db5fe5826"/>
    <s v="a8dd8618-070b-4ed0-b492-3e6e37d6b53b"/>
    <n v="9322"/>
    <n v="2279"/>
    <n v="1836"/>
    <n v="59.17"/>
    <n v="54439"/>
    <n v="81207"/>
    <n v="4.83"/>
    <s v="Poll"/>
    <x v="332"/>
    <d v="1899-12-30T09:00:14"/>
    <n v="0.5917"/>
    <n v="4.8300000000000003E-2"/>
    <n v="13437"/>
    <n v="0.16546603125346337"/>
    <s v="High CTR"/>
    <s v="High"/>
    <s v="Morning"/>
    <n v="3"/>
  </r>
  <r>
    <s v="b80aeca0-0ea4-4610-9b18-186db5fe5826"/>
    <s v="a8dd8618-070b-4ed0-b492-3e6e37d6b53b"/>
    <n v="9322"/>
    <n v="2279"/>
    <n v="1836"/>
    <n v="59.17"/>
    <n v="54439"/>
    <n v="81207"/>
    <n v="4.83"/>
    <s v="Poll"/>
    <x v="333"/>
    <d v="1899-12-30T09:00:14"/>
    <n v="0.5917"/>
    <n v="4.8300000000000003E-2"/>
    <n v="13437"/>
    <n v="0.16546603125346337"/>
    <s v="High CTR"/>
    <s v="High"/>
    <s v="Morning"/>
    <n v="3"/>
  </r>
  <r>
    <s v="7c59d7c5-e1b6-493b-a978-6d96e40d1272"/>
    <s v="808b0347-800d-44c0-8a7d-7fe84fc22d41"/>
    <n v="6463"/>
    <n v="3452"/>
    <n v="1467"/>
    <n v="47.5"/>
    <n v="4171"/>
    <n v="8051"/>
    <n v="5.1100000000000003"/>
    <s v="Video"/>
    <x v="334"/>
    <d v="1899-12-30T07:50:03"/>
    <n v="0.47499999999999998"/>
    <n v="5.1100000000000007E-2"/>
    <n v="11382"/>
    <n v="1"/>
    <s v="High CTR"/>
    <s v="High"/>
    <s v="Morning"/>
    <n v="3"/>
  </r>
  <r>
    <s v="7c59d7c5-e1b6-493b-a978-6d96e40d1272"/>
    <s v="808b0347-800d-44c0-8a7d-7fe84fc22d41"/>
    <n v="6463"/>
    <n v="3452"/>
    <n v="1467"/>
    <n v="47.5"/>
    <n v="4171"/>
    <n v="8051"/>
    <n v="5.1100000000000003"/>
    <s v="Video"/>
    <x v="335"/>
    <d v="1899-12-30T07:50:03"/>
    <n v="0.47499999999999998"/>
    <n v="5.1100000000000007E-2"/>
    <n v="11382"/>
    <n v="1"/>
    <s v="High CTR"/>
    <s v="High"/>
    <s v="Morning"/>
    <n v="3"/>
  </r>
  <r>
    <s v="7c59d7c5-e1b6-493b-a978-6d96e40d1272"/>
    <s v="808b0347-800d-44c0-8a7d-7fe84fc22d41"/>
    <n v="6463"/>
    <n v="3452"/>
    <n v="1467"/>
    <n v="47.5"/>
    <n v="4171"/>
    <n v="8051"/>
    <n v="5.1100000000000003"/>
    <s v="Video"/>
    <x v="336"/>
    <d v="1899-12-30T07:50:03"/>
    <n v="0.47499999999999998"/>
    <n v="5.1100000000000007E-2"/>
    <n v="11382"/>
    <n v="1"/>
    <s v="High CTR"/>
    <s v="High"/>
    <s v="Morning"/>
    <n v="3"/>
  </r>
  <r>
    <s v="8901342e-bf41-491f-8e08-2fed4ad94b9d"/>
    <s v="4b624aa2-baf7-441d-8d65-80e6c2591320"/>
    <n v="2319"/>
    <n v="2516"/>
    <n v="454"/>
    <n v="41.18"/>
    <n v="30713"/>
    <n v="48082"/>
    <n v="4.7300000000000004"/>
    <s v="Video"/>
    <x v="337"/>
    <d v="1899-12-30T02:37:24"/>
    <n v="0.4118"/>
    <n v="4.7300000000000002E-2"/>
    <n v="5289"/>
    <n v="0.10999958404392496"/>
    <s v="High CTR"/>
    <s v="High"/>
    <s v="Morning"/>
    <n v="3"/>
  </r>
  <r>
    <s v="8901342e-bf41-491f-8e08-2fed4ad94b9d"/>
    <s v="4b624aa2-baf7-441d-8d65-80e6c2591320"/>
    <n v="2319"/>
    <n v="2516"/>
    <n v="454"/>
    <n v="41.18"/>
    <n v="30713"/>
    <n v="48082"/>
    <n v="4.7300000000000004"/>
    <s v="Video"/>
    <x v="338"/>
    <d v="1899-12-30T02:37:24"/>
    <n v="0.4118"/>
    <n v="4.7300000000000002E-2"/>
    <n v="5289"/>
    <n v="0.10999958404392496"/>
    <s v="High CTR"/>
    <s v="High"/>
    <s v="Morning"/>
    <n v="3"/>
  </r>
  <r>
    <s v="8901342e-bf41-491f-8e08-2fed4ad94b9d"/>
    <s v="4b624aa2-baf7-441d-8d65-80e6c2591320"/>
    <n v="2319"/>
    <n v="2516"/>
    <n v="454"/>
    <n v="41.18"/>
    <n v="30713"/>
    <n v="48082"/>
    <n v="4.7300000000000004"/>
    <s v="Video"/>
    <x v="339"/>
    <d v="1899-12-30T02:37:24"/>
    <n v="0.4118"/>
    <n v="4.7300000000000002E-2"/>
    <n v="5289"/>
    <n v="0.10999958404392496"/>
    <s v="High CTR"/>
    <s v="High"/>
    <s v="Morning"/>
    <n v="3"/>
  </r>
  <r>
    <s v="683635ff-b96f-458b-b6f9-272389a8fbc1"/>
    <s v="62bc56ee-28fa-486a-ab20-f9906aa4f4e9"/>
    <n v="6654"/>
    <n v="4979"/>
    <n v="1202"/>
    <n v="79.14"/>
    <n v="22429"/>
    <n v="58207"/>
    <n v="2.3199999999999998"/>
    <s v="Text"/>
    <x v="340"/>
    <d v="1899-12-30T17:03:42"/>
    <n v="0.79139999999999999"/>
    <n v="2.3199999999999998E-2"/>
    <n v="12835"/>
    <n v="0.22050612469290634"/>
    <s v="High CTR"/>
    <s v="High"/>
    <s v="Evening"/>
    <n v="3"/>
  </r>
  <r>
    <s v="683635ff-b96f-458b-b6f9-272389a8fbc1"/>
    <s v="62bc56ee-28fa-486a-ab20-f9906aa4f4e9"/>
    <n v="6654"/>
    <n v="4979"/>
    <n v="1202"/>
    <n v="79.14"/>
    <n v="22429"/>
    <n v="58207"/>
    <n v="2.3199999999999998"/>
    <s v="Text"/>
    <x v="341"/>
    <d v="1899-12-30T17:03:42"/>
    <n v="0.79139999999999999"/>
    <n v="2.3199999999999998E-2"/>
    <n v="12835"/>
    <n v="0.22050612469290634"/>
    <s v="High CTR"/>
    <s v="High"/>
    <s v="Evening"/>
    <n v="3"/>
  </r>
  <r>
    <s v="683635ff-b96f-458b-b6f9-272389a8fbc1"/>
    <s v="62bc56ee-28fa-486a-ab20-f9906aa4f4e9"/>
    <n v="6654"/>
    <n v="4979"/>
    <n v="1202"/>
    <n v="79.14"/>
    <n v="22429"/>
    <n v="58207"/>
    <n v="2.3199999999999998"/>
    <s v="Text"/>
    <x v="342"/>
    <d v="1899-12-30T17:03:42"/>
    <n v="0.79139999999999999"/>
    <n v="2.3199999999999998E-2"/>
    <n v="12835"/>
    <n v="0.22050612469290634"/>
    <s v="High CTR"/>
    <s v="High"/>
    <s v="Evening"/>
    <n v="3"/>
  </r>
  <r>
    <s v="15420370-ae54-4bff-a87a-b61daec3fb71"/>
    <s v="c9aa97a4-7a53-4955-8d60-d4833bc6570f"/>
    <n v="343"/>
    <n v="563"/>
    <n v="1717"/>
    <n v="92.37"/>
    <n v="97128"/>
    <n v="55084"/>
    <n v="6.09"/>
    <s v="Image"/>
    <x v="343"/>
    <d v="1899-12-30T20:06:08"/>
    <n v="0.92370000000000008"/>
    <n v="6.0899999999999996E-2"/>
    <n v="2623"/>
    <n v="4.761818313847941E-2"/>
    <s v="High CTR"/>
    <s v="High"/>
    <s v="Evening"/>
    <n v="3"/>
  </r>
  <r>
    <s v="15420370-ae54-4bff-a87a-b61daec3fb71"/>
    <s v="c9aa97a4-7a53-4955-8d60-d4833bc6570f"/>
    <n v="343"/>
    <n v="563"/>
    <n v="1717"/>
    <n v="92.37"/>
    <n v="97128"/>
    <n v="55084"/>
    <n v="6.09"/>
    <s v="Image"/>
    <x v="344"/>
    <d v="1899-12-30T20:06:08"/>
    <n v="0.92370000000000008"/>
    <n v="6.0899999999999996E-2"/>
    <n v="2623"/>
    <n v="4.761818313847941E-2"/>
    <s v="High CTR"/>
    <s v="High"/>
    <s v="Evening"/>
    <n v="3"/>
  </r>
  <r>
    <s v="15420370-ae54-4bff-a87a-b61daec3fb71"/>
    <s v="c9aa97a4-7a53-4955-8d60-d4833bc6570f"/>
    <n v="343"/>
    <n v="563"/>
    <n v="1717"/>
    <n v="92.37"/>
    <n v="97128"/>
    <n v="55084"/>
    <n v="6.09"/>
    <s v="Image"/>
    <x v="345"/>
    <d v="1899-12-30T20:06:08"/>
    <n v="0.92370000000000008"/>
    <n v="6.0899999999999996E-2"/>
    <n v="2623"/>
    <n v="4.761818313847941E-2"/>
    <s v="High CTR"/>
    <s v="High"/>
    <s v="Evening"/>
    <n v="3"/>
  </r>
  <r>
    <s v="b5a33f07-5157-402b-9964-465ae3345d9d"/>
    <s v="e18401b0-8d43-4261-b944-57e571e704a6"/>
    <n v="7486"/>
    <n v="3449"/>
    <n v="86"/>
    <n v="33.56"/>
    <n v="73724"/>
    <n v="92742"/>
    <n v="9.92"/>
    <s v="Poll"/>
    <x v="346"/>
    <d v="1899-12-30T14:25:48"/>
    <n v="0.33560000000000001"/>
    <n v="9.9199999999999997E-2"/>
    <n v="11021"/>
    <n v="0.11883504776692329"/>
    <s v="High CTR"/>
    <s v="High"/>
    <s v="Afternoon"/>
    <n v="3"/>
  </r>
  <r>
    <s v="b5a33f07-5157-402b-9964-465ae3345d9d"/>
    <s v="e18401b0-8d43-4261-b944-57e571e704a6"/>
    <n v="7486"/>
    <n v="3449"/>
    <n v="86"/>
    <n v="33.56"/>
    <n v="73724"/>
    <n v="92742"/>
    <n v="9.92"/>
    <s v="Poll"/>
    <x v="93"/>
    <d v="1899-12-30T14:25:48"/>
    <n v="0.33560000000000001"/>
    <n v="9.9199999999999997E-2"/>
    <n v="11021"/>
    <n v="0.11883504776692329"/>
    <s v="High CTR"/>
    <s v="High"/>
    <s v="Afternoon"/>
    <n v="3"/>
  </r>
  <r>
    <s v="b5a33f07-5157-402b-9964-465ae3345d9d"/>
    <s v="e18401b0-8d43-4261-b944-57e571e704a6"/>
    <n v="7486"/>
    <n v="3449"/>
    <n v="86"/>
    <n v="33.56"/>
    <n v="73724"/>
    <n v="92742"/>
    <n v="9.92"/>
    <s v="Poll"/>
    <x v="347"/>
    <d v="1899-12-30T14:25:48"/>
    <n v="0.33560000000000001"/>
    <n v="9.9199999999999997E-2"/>
    <n v="11021"/>
    <n v="0.11883504776692329"/>
    <s v="High CTR"/>
    <s v="High"/>
    <s v="Afternoon"/>
    <n v="3"/>
  </r>
  <r>
    <s v="a61ec259-5224-4dab-aab2-42475c73d0bd"/>
    <s v="26e3f8e0-e207-4e2b-b7ea-2c457d6af025"/>
    <n v="5622"/>
    <n v="203"/>
    <n v="1826"/>
    <n v="79.87"/>
    <n v="10155"/>
    <n v="68947"/>
    <n v="7.88"/>
    <s v="Poll"/>
    <x v="348"/>
    <d v="1899-12-30T05:03:25"/>
    <n v="0.79870000000000008"/>
    <n v="7.8799999999999995E-2"/>
    <n v="7651"/>
    <n v="0.11096929525577617"/>
    <s v="High CTR"/>
    <s v="High"/>
    <s v="Morning"/>
    <n v="3"/>
  </r>
  <r>
    <s v="a61ec259-5224-4dab-aab2-42475c73d0bd"/>
    <s v="26e3f8e0-e207-4e2b-b7ea-2c457d6af025"/>
    <n v="5622"/>
    <n v="203"/>
    <n v="1826"/>
    <n v="79.87"/>
    <n v="10155"/>
    <n v="68947"/>
    <n v="7.88"/>
    <s v="Poll"/>
    <x v="349"/>
    <d v="1899-12-30T05:03:25"/>
    <n v="0.79870000000000008"/>
    <n v="7.8799999999999995E-2"/>
    <n v="7651"/>
    <n v="0.11096929525577617"/>
    <s v="High CTR"/>
    <s v="High"/>
    <s v="Morning"/>
    <n v="3"/>
  </r>
  <r>
    <s v="a61ec259-5224-4dab-aab2-42475c73d0bd"/>
    <s v="26e3f8e0-e207-4e2b-b7ea-2c457d6af025"/>
    <n v="5622"/>
    <n v="203"/>
    <n v="1826"/>
    <n v="79.87"/>
    <n v="10155"/>
    <n v="68947"/>
    <n v="7.88"/>
    <s v="Poll"/>
    <x v="350"/>
    <d v="1899-12-30T05:03:25"/>
    <n v="0.79870000000000008"/>
    <n v="7.8799999999999995E-2"/>
    <n v="7651"/>
    <n v="0.11096929525577617"/>
    <s v="High CTR"/>
    <s v="High"/>
    <s v="Morning"/>
    <n v="3"/>
  </r>
  <r>
    <s v="63e3c165-a084-46ad-bb52-39e444c698b2"/>
    <s v="0d6e15de-d9f6-4a80-bf77-119e25833170"/>
    <n v="9539"/>
    <n v="4358"/>
    <n v="478"/>
    <n v="12.82"/>
    <n v="27074"/>
    <n v="75788"/>
    <n v="9.59"/>
    <s v="Image"/>
    <x v="300"/>
    <d v="1899-12-30T21:34:34"/>
    <n v="0.12820000000000001"/>
    <n v="9.5899999999999999E-2"/>
    <n v="14375"/>
    <n v="0.18967382699108037"/>
    <s v="High CTR"/>
    <s v="High"/>
    <s v="Night"/>
    <n v="3"/>
  </r>
  <r>
    <s v="63e3c165-a084-46ad-bb52-39e444c698b2"/>
    <s v="0d6e15de-d9f6-4a80-bf77-119e25833170"/>
    <n v="9539"/>
    <n v="4358"/>
    <n v="478"/>
    <n v="12.82"/>
    <n v="27074"/>
    <n v="75788"/>
    <n v="9.59"/>
    <s v="Image"/>
    <x v="351"/>
    <d v="1899-12-30T21:34:34"/>
    <n v="0.12820000000000001"/>
    <n v="9.5899999999999999E-2"/>
    <n v="14375"/>
    <n v="0.18967382699108037"/>
    <s v="High CTR"/>
    <s v="High"/>
    <s v="Night"/>
    <n v="3"/>
  </r>
  <r>
    <s v="63e3c165-a084-46ad-bb52-39e444c698b2"/>
    <s v="0d6e15de-d9f6-4a80-bf77-119e25833170"/>
    <n v="9539"/>
    <n v="4358"/>
    <n v="478"/>
    <n v="12.82"/>
    <n v="27074"/>
    <n v="75788"/>
    <n v="9.59"/>
    <s v="Image"/>
    <x v="260"/>
    <d v="1899-12-30T21:34:34"/>
    <n v="0.12820000000000001"/>
    <n v="9.5899999999999999E-2"/>
    <n v="14375"/>
    <n v="0.18967382699108037"/>
    <s v="High CTR"/>
    <s v="High"/>
    <s v="Night"/>
    <n v="3"/>
  </r>
  <r>
    <s v="c5ea5fbd-8e8a-43fc-9dc7-250a42c4a7c7"/>
    <s v="b680b1eb-7fa4-42e8-869a-d9518affff02"/>
    <n v="864"/>
    <n v="2817"/>
    <n v="1767"/>
    <n v="65.95"/>
    <n v="8301"/>
    <n v="63846"/>
    <n v="0.16"/>
    <s v="Image"/>
    <x v="85"/>
    <d v="1899-12-30T08:50:35"/>
    <n v="0.65949999999999998"/>
    <n v="1.6000000000000001E-3"/>
    <n v="5448"/>
    <n v="8.5330326097171325E-2"/>
    <s v="High CTR"/>
    <s v="High"/>
    <s v="Morning"/>
    <n v="3"/>
  </r>
  <r>
    <s v="c5ea5fbd-8e8a-43fc-9dc7-250a42c4a7c7"/>
    <s v="b680b1eb-7fa4-42e8-869a-d9518affff02"/>
    <n v="864"/>
    <n v="2817"/>
    <n v="1767"/>
    <n v="65.95"/>
    <n v="8301"/>
    <n v="63846"/>
    <n v="0.16"/>
    <s v="Image"/>
    <x v="352"/>
    <d v="1899-12-30T08:50:35"/>
    <n v="0.65949999999999998"/>
    <n v="1.6000000000000001E-3"/>
    <n v="5448"/>
    <n v="8.5330326097171325E-2"/>
    <s v="High CTR"/>
    <s v="High"/>
    <s v="Morning"/>
    <n v="3"/>
  </r>
  <r>
    <s v="c5ea5fbd-8e8a-43fc-9dc7-250a42c4a7c7"/>
    <s v="b680b1eb-7fa4-42e8-869a-d9518affff02"/>
    <n v="864"/>
    <n v="2817"/>
    <n v="1767"/>
    <n v="65.95"/>
    <n v="8301"/>
    <n v="63846"/>
    <n v="0.16"/>
    <s v="Image"/>
    <x v="198"/>
    <d v="1899-12-30T08:50:35"/>
    <n v="0.65949999999999998"/>
    <n v="1.6000000000000001E-3"/>
    <n v="5448"/>
    <n v="8.5330326097171325E-2"/>
    <s v="High CTR"/>
    <s v="High"/>
    <s v="Morning"/>
    <n v="3"/>
  </r>
  <r>
    <s v="5e023e16-56b7-435c-a9e0-1441db4203c2"/>
    <s v="36a523c5-f786-4dea-9c76-da0a4f0ed55a"/>
    <n v="3845"/>
    <n v="4928"/>
    <n v="722"/>
    <n v="24.88"/>
    <n v="26509"/>
    <n v="70592"/>
    <n v="4.7300000000000004"/>
    <s v="Image"/>
    <x v="353"/>
    <d v="1899-12-30T16:46:50"/>
    <n v="0.24879999999999999"/>
    <n v="4.7300000000000002E-2"/>
    <n v="9495"/>
    <n v="0.13450532638259294"/>
    <s v="High CTR"/>
    <s v="High"/>
    <s v="Afternoon"/>
    <n v="3"/>
  </r>
  <r>
    <s v="5e023e16-56b7-435c-a9e0-1441db4203c2"/>
    <s v="36a523c5-f786-4dea-9c76-da0a4f0ed55a"/>
    <n v="3845"/>
    <n v="4928"/>
    <n v="722"/>
    <n v="24.88"/>
    <n v="26509"/>
    <n v="70592"/>
    <n v="4.7300000000000004"/>
    <s v="Image"/>
    <x v="234"/>
    <d v="1899-12-30T16:46:50"/>
    <n v="0.24879999999999999"/>
    <n v="4.7300000000000002E-2"/>
    <n v="9495"/>
    <n v="0.13450532638259294"/>
    <s v="High CTR"/>
    <s v="High"/>
    <s v="Afternoon"/>
    <n v="3"/>
  </r>
  <r>
    <s v="5e023e16-56b7-435c-a9e0-1441db4203c2"/>
    <s v="36a523c5-f786-4dea-9c76-da0a4f0ed55a"/>
    <n v="3845"/>
    <n v="4928"/>
    <n v="722"/>
    <n v="24.88"/>
    <n v="26509"/>
    <n v="70592"/>
    <n v="4.7300000000000004"/>
    <s v="Image"/>
    <x v="354"/>
    <d v="1899-12-30T16:46:50"/>
    <n v="0.24879999999999999"/>
    <n v="4.7300000000000002E-2"/>
    <n v="9495"/>
    <n v="0.13450532638259294"/>
    <s v="High CTR"/>
    <s v="High"/>
    <s v="Afternoon"/>
    <n v="3"/>
  </r>
  <r>
    <s v="f7b96575-b76a-4e3b-bf61-24f1f5a7fd50"/>
    <s v="6fbd66e1-30d0-482a-ae9f-c8e3da547dc9"/>
    <n v="8502"/>
    <n v="2822"/>
    <n v="366"/>
    <n v="42.6"/>
    <n v="55061"/>
    <n v="31874"/>
    <n v="6.38"/>
    <s v="Image"/>
    <x v="178"/>
    <d v="1899-12-30T08:45:20"/>
    <n v="0.42599999999999999"/>
    <n v="6.3799999999999996E-2"/>
    <n v="11690"/>
    <n v="0.36675660412875699"/>
    <s v="High CTR"/>
    <s v="High"/>
    <s v="Morning"/>
    <n v="3"/>
  </r>
  <r>
    <s v="f7b96575-b76a-4e3b-bf61-24f1f5a7fd50"/>
    <s v="6fbd66e1-30d0-482a-ae9f-c8e3da547dc9"/>
    <n v="8502"/>
    <n v="2822"/>
    <n v="366"/>
    <n v="42.6"/>
    <n v="55061"/>
    <n v="31874"/>
    <n v="6.38"/>
    <s v="Image"/>
    <x v="355"/>
    <d v="1899-12-30T08:45:20"/>
    <n v="0.42599999999999999"/>
    <n v="6.3799999999999996E-2"/>
    <n v="11690"/>
    <n v="0.36675660412875699"/>
    <s v="High CTR"/>
    <s v="High"/>
    <s v="Morning"/>
    <n v="3"/>
  </r>
  <r>
    <s v="f7b96575-b76a-4e3b-bf61-24f1f5a7fd50"/>
    <s v="6fbd66e1-30d0-482a-ae9f-c8e3da547dc9"/>
    <n v="8502"/>
    <n v="2822"/>
    <n v="366"/>
    <n v="42.6"/>
    <n v="55061"/>
    <n v="31874"/>
    <n v="6.38"/>
    <s v="Image"/>
    <x v="356"/>
    <d v="1899-12-30T08:45:20"/>
    <n v="0.42599999999999999"/>
    <n v="6.3799999999999996E-2"/>
    <n v="11690"/>
    <n v="0.36675660412875699"/>
    <s v="High CTR"/>
    <s v="High"/>
    <s v="Morning"/>
    <n v="3"/>
  </r>
  <r>
    <s v="790888d1-37b1-4596-92e4-e0a03c692171"/>
    <s v="2102bdcf-3f4b-45a6-a5c4-fd0010cbdac3"/>
    <n v="1972"/>
    <n v="1054"/>
    <n v="1172"/>
    <n v="89.79"/>
    <n v="30148"/>
    <n v="58395"/>
    <n v="7.22"/>
    <s v="Video"/>
    <x v="357"/>
    <d v="1899-12-30T14:25:00"/>
    <n v="0.89790000000000003"/>
    <n v="7.22E-2"/>
    <n v="4198"/>
    <n v="7.1889716585324087E-2"/>
    <s v="High CTR"/>
    <s v="High"/>
    <s v="Afternoon"/>
    <n v="3"/>
  </r>
  <r>
    <s v="790888d1-37b1-4596-92e4-e0a03c692171"/>
    <s v="2102bdcf-3f4b-45a6-a5c4-fd0010cbdac3"/>
    <n v="1972"/>
    <n v="1054"/>
    <n v="1172"/>
    <n v="89.79"/>
    <n v="30148"/>
    <n v="58395"/>
    <n v="7.22"/>
    <s v="Video"/>
    <x v="358"/>
    <d v="1899-12-30T14:25:00"/>
    <n v="0.89790000000000003"/>
    <n v="7.22E-2"/>
    <n v="4198"/>
    <n v="7.1889716585324087E-2"/>
    <s v="High CTR"/>
    <s v="High"/>
    <s v="Afternoon"/>
    <n v="3"/>
  </r>
  <r>
    <s v="790888d1-37b1-4596-92e4-e0a03c692171"/>
    <s v="2102bdcf-3f4b-45a6-a5c4-fd0010cbdac3"/>
    <n v="1972"/>
    <n v="1054"/>
    <n v="1172"/>
    <n v="89.79"/>
    <n v="30148"/>
    <n v="58395"/>
    <n v="7.22"/>
    <s v="Video"/>
    <x v="359"/>
    <d v="1899-12-30T14:25:00"/>
    <n v="0.89790000000000003"/>
    <n v="7.22E-2"/>
    <n v="4198"/>
    <n v="7.1889716585324087E-2"/>
    <s v="High CTR"/>
    <s v="High"/>
    <s v="Afternoon"/>
    <n v="3"/>
  </r>
  <r>
    <s v="5b76ee5d-6130-4778-8970-7138cacc0f4c"/>
    <s v="48b0e46e-f9fc-47a2-a953-9be4fcf047fb"/>
    <n v="3801"/>
    <n v="2013"/>
    <n v="305"/>
    <n v="84.98"/>
    <n v="88087"/>
    <n v="66896"/>
    <n v="9.0299999999999994"/>
    <s v="Image"/>
    <x v="339"/>
    <d v="1899-12-30T12:01:29"/>
    <n v="0.8498"/>
    <n v="9.0299999999999991E-2"/>
    <n v="6119"/>
    <n v="9.1470342023439372E-2"/>
    <s v="High CTR"/>
    <s v="High"/>
    <s v="Afternoon"/>
    <n v="3"/>
  </r>
  <r>
    <s v="5b76ee5d-6130-4778-8970-7138cacc0f4c"/>
    <s v="48b0e46e-f9fc-47a2-a953-9be4fcf047fb"/>
    <n v="3801"/>
    <n v="2013"/>
    <n v="305"/>
    <n v="84.98"/>
    <n v="88087"/>
    <n v="66896"/>
    <n v="9.0299999999999994"/>
    <s v="Image"/>
    <x v="360"/>
    <d v="1899-12-30T12:01:29"/>
    <n v="0.8498"/>
    <n v="9.0299999999999991E-2"/>
    <n v="6119"/>
    <n v="9.1470342023439372E-2"/>
    <s v="High CTR"/>
    <s v="High"/>
    <s v="Afternoon"/>
    <n v="3"/>
  </r>
  <r>
    <s v="5b76ee5d-6130-4778-8970-7138cacc0f4c"/>
    <s v="48b0e46e-f9fc-47a2-a953-9be4fcf047fb"/>
    <n v="3801"/>
    <n v="2013"/>
    <n v="305"/>
    <n v="84.98"/>
    <n v="88087"/>
    <n v="66896"/>
    <n v="9.0299999999999994"/>
    <s v="Image"/>
    <x v="361"/>
    <d v="1899-12-30T12:01:29"/>
    <n v="0.8498"/>
    <n v="9.0299999999999991E-2"/>
    <n v="6119"/>
    <n v="9.1470342023439372E-2"/>
    <s v="High CTR"/>
    <s v="High"/>
    <s v="Afternoon"/>
    <n v="3"/>
  </r>
  <r>
    <s v="0dee04df-788c-402b-a96c-063babcd37b0"/>
    <s v="f9bc4d0e-e21b-4653-bd0e-6162de2d78dc"/>
    <n v="5500"/>
    <n v="4865"/>
    <n v="981"/>
    <n v="51.26"/>
    <n v="44933"/>
    <n v="85471"/>
    <n v="6.8"/>
    <s v="Video"/>
    <x v="362"/>
    <d v="1899-12-30T09:43:01"/>
    <n v="0.51259999999999994"/>
    <n v="6.8000000000000005E-2"/>
    <n v="11346"/>
    <n v="0.13274677960945819"/>
    <s v="High CTR"/>
    <s v="High"/>
    <s v="Morning"/>
    <n v="3"/>
  </r>
  <r>
    <s v="0dee04df-788c-402b-a96c-063babcd37b0"/>
    <s v="f9bc4d0e-e21b-4653-bd0e-6162de2d78dc"/>
    <n v="5500"/>
    <n v="4865"/>
    <n v="981"/>
    <n v="51.26"/>
    <n v="44933"/>
    <n v="85471"/>
    <n v="6.8"/>
    <s v="Video"/>
    <x v="363"/>
    <d v="1899-12-30T09:43:01"/>
    <n v="0.51259999999999994"/>
    <n v="6.8000000000000005E-2"/>
    <n v="11346"/>
    <n v="0.13274677960945819"/>
    <s v="High CTR"/>
    <s v="High"/>
    <s v="Morning"/>
    <n v="3"/>
  </r>
  <r>
    <s v="0dee04df-788c-402b-a96c-063babcd37b0"/>
    <s v="f9bc4d0e-e21b-4653-bd0e-6162de2d78dc"/>
    <n v="5500"/>
    <n v="4865"/>
    <n v="981"/>
    <n v="51.26"/>
    <n v="44933"/>
    <n v="85471"/>
    <n v="6.8"/>
    <s v="Video"/>
    <x v="44"/>
    <d v="1899-12-30T09:43:01"/>
    <n v="0.51259999999999994"/>
    <n v="6.8000000000000005E-2"/>
    <n v="11346"/>
    <n v="0.13274677960945819"/>
    <s v="High CTR"/>
    <s v="High"/>
    <s v="Morning"/>
    <n v="3"/>
  </r>
  <r>
    <s v="772f1950-6f54-43e1-aa33-b5e88c6b720b"/>
    <s v="ae97a620-399e-449b-9d0a-d97ea7188b2b"/>
    <n v="1422"/>
    <n v="1593"/>
    <n v="1120"/>
    <n v="22.65"/>
    <n v="98465"/>
    <n v="25834"/>
    <n v="4.97"/>
    <s v="Poll"/>
    <x v="364"/>
    <d v="1899-12-30T07:02:38"/>
    <n v="0.22649999999999998"/>
    <n v="4.9699999999999994E-2"/>
    <n v="4135"/>
    <n v="0.16006038553843771"/>
    <s v="High CTR"/>
    <s v="High"/>
    <s v="Morning"/>
    <n v="3"/>
  </r>
  <r>
    <s v="772f1950-6f54-43e1-aa33-b5e88c6b720b"/>
    <s v="ae97a620-399e-449b-9d0a-d97ea7188b2b"/>
    <n v="1422"/>
    <n v="1593"/>
    <n v="1120"/>
    <n v="22.65"/>
    <n v="98465"/>
    <n v="25834"/>
    <n v="4.97"/>
    <s v="Poll"/>
    <x v="365"/>
    <d v="1899-12-30T07:02:38"/>
    <n v="0.22649999999999998"/>
    <n v="4.9699999999999994E-2"/>
    <n v="4135"/>
    <n v="0.16006038553843771"/>
    <s v="High CTR"/>
    <s v="High"/>
    <s v="Morning"/>
    <n v="3"/>
  </r>
  <r>
    <s v="772f1950-6f54-43e1-aa33-b5e88c6b720b"/>
    <s v="ae97a620-399e-449b-9d0a-d97ea7188b2b"/>
    <n v="1422"/>
    <n v="1593"/>
    <n v="1120"/>
    <n v="22.65"/>
    <n v="98465"/>
    <n v="25834"/>
    <n v="4.97"/>
    <s v="Poll"/>
    <x v="366"/>
    <d v="1899-12-30T07:02:38"/>
    <n v="0.22649999999999998"/>
    <n v="4.9699999999999994E-2"/>
    <n v="4135"/>
    <n v="0.16006038553843771"/>
    <s v="High CTR"/>
    <s v="High"/>
    <s v="Morning"/>
    <n v="3"/>
  </r>
  <r>
    <s v="8c01bf1f-0d1a-4fee-be07-8a448782548c"/>
    <s v="00bedc26-0002-4a6b-b222-b3773cba5942"/>
    <n v="634"/>
    <n v="503"/>
    <n v="1869"/>
    <n v="80.69"/>
    <n v="10777"/>
    <n v="53490"/>
    <n v="8.15"/>
    <s v="Video"/>
    <x v="333"/>
    <d v="1899-12-30T19:08:39"/>
    <n v="0.80689999999999995"/>
    <n v="8.1500000000000003E-2"/>
    <n v="3006"/>
    <n v="5.6197420078519349E-2"/>
    <s v="High CTR"/>
    <s v="High"/>
    <s v="Evening"/>
    <n v="3"/>
  </r>
  <r>
    <s v="8c01bf1f-0d1a-4fee-be07-8a448782548c"/>
    <s v="00bedc26-0002-4a6b-b222-b3773cba5942"/>
    <n v="634"/>
    <n v="503"/>
    <n v="1869"/>
    <n v="80.69"/>
    <n v="10777"/>
    <n v="53490"/>
    <n v="8.15"/>
    <s v="Video"/>
    <x v="367"/>
    <d v="1899-12-30T19:08:39"/>
    <n v="0.80689999999999995"/>
    <n v="8.1500000000000003E-2"/>
    <n v="3006"/>
    <n v="5.6197420078519349E-2"/>
    <s v="High CTR"/>
    <s v="High"/>
    <s v="Evening"/>
    <n v="3"/>
  </r>
  <r>
    <s v="8c01bf1f-0d1a-4fee-be07-8a448782548c"/>
    <s v="00bedc26-0002-4a6b-b222-b3773cba5942"/>
    <n v="634"/>
    <n v="503"/>
    <n v="1869"/>
    <n v="80.69"/>
    <n v="10777"/>
    <n v="53490"/>
    <n v="8.15"/>
    <s v="Video"/>
    <x v="368"/>
    <d v="1899-12-30T19:08:39"/>
    <n v="0.80689999999999995"/>
    <n v="8.1500000000000003E-2"/>
    <n v="3006"/>
    <n v="5.6197420078519349E-2"/>
    <s v="High CTR"/>
    <s v="High"/>
    <s v="Evening"/>
    <n v="3"/>
  </r>
  <r>
    <s v="9898774b-f5c5-457b-96de-788a89614945"/>
    <s v="4d52a512-daf7-4928-9566-56d3f3d7e2cf"/>
    <n v="6588"/>
    <n v="32"/>
    <n v="954"/>
    <n v="64.66"/>
    <n v="84876"/>
    <n v="27021"/>
    <n v="0.05"/>
    <s v="Image"/>
    <x v="112"/>
    <d v="1899-12-30T12:19:00"/>
    <n v="0.64659999999999995"/>
    <n v="5.0000000000000001E-4"/>
    <n v="7574"/>
    <n v="0.28030050701306392"/>
    <s v="Low CTR"/>
    <s v="High"/>
    <s v="Afternoon"/>
    <n v="3"/>
  </r>
  <r>
    <s v="9898774b-f5c5-457b-96de-788a89614945"/>
    <s v="4d52a512-daf7-4928-9566-56d3f3d7e2cf"/>
    <n v="6588"/>
    <n v="32"/>
    <n v="954"/>
    <n v="64.66"/>
    <n v="84876"/>
    <n v="27021"/>
    <n v="0.05"/>
    <s v="Image"/>
    <x v="176"/>
    <d v="1899-12-30T12:19:00"/>
    <n v="0.64659999999999995"/>
    <n v="5.0000000000000001E-4"/>
    <n v="7574"/>
    <n v="0.28030050701306392"/>
    <s v="Low CTR"/>
    <s v="High"/>
    <s v="Afternoon"/>
    <n v="3"/>
  </r>
  <r>
    <s v="9898774b-f5c5-457b-96de-788a89614945"/>
    <s v="4d52a512-daf7-4928-9566-56d3f3d7e2cf"/>
    <n v="6588"/>
    <n v="32"/>
    <n v="954"/>
    <n v="64.66"/>
    <n v="84876"/>
    <n v="27021"/>
    <n v="0.05"/>
    <s v="Image"/>
    <x v="16"/>
    <d v="1899-12-30T12:19:00"/>
    <n v="0.64659999999999995"/>
    <n v="5.0000000000000001E-4"/>
    <n v="7574"/>
    <n v="0.28030050701306392"/>
    <s v="Low CTR"/>
    <s v="High"/>
    <s v="Afternoon"/>
    <n v="3"/>
  </r>
  <r>
    <s v="9c7a2c37-4dae-4535-84af-3b8517611a1e"/>
    <s v="a4dbb4b2-09d4-4fe8-9669-9278b50aaa75"/>
    <n v="5923"/>
    <n v="4960"/>
    <n v="1298"/>
    <n v="76.86"/>
    <n v="13979"/>
    <n v="89079"/>
    <n v="8.94"/>
    <s v="Text"/>
    <x v="369"/>
    <d v="1899-12-30T10:15:13"/>
    <n v="0.76859999999999995"/>
    <n v="8.9399999999999993E-2"/>
    <n v="12181"/>
    <n v="0.13674378922080402"/>
    <s v="High CTR"/>
    <s v="High"/>
    <s v="Morning"/>
    <n v="3"/>
  </r>
  <r>
    <s v="9c7a2c37-4dae-4535-84af-3b8517611a1e"/>
    <s v="a4dbb4b2-09d4-4fe8-9669-9278b50aaa75"/>
    <n v="5923"/>
    <n v="4960"/>
    <n v="1298"/>
    <n v="76.86"/>
    <n v="13979"/>
    <n v="89079"/>
    <n v="8.94"/>
    <s v="Text"/>
    <x v="21"/>
    <d v="1899-12-30T10:15:13"/>
    <n v="0.76859999999999995"/>
    <n v="8.9399999999999993E-2"/>
    <n v="12181"/>
    <n v="0.13674378922080402"/>
    <s v="High CTR"/>
    <s v="High"/>
    <s v="Morning"/>
    <n v="3"/>
  </r>
  <r>
    <s v="9c7a2c37-4dae-4535-84af-3b8517611a1e"/>
    <s v="a4dbb4b2-09d4-4fe8-9669-9278b50aaa75"/>
    <n v="5923"/>
    <n v="4960"/>
    <n v="1298"/>
    <n v="76.86"/>
    <n v="13979"/>
    <n v="89079"/>
    <n v="8.94"/>
    <s v="Text"/>
    <x v="370"/>
    <d v="1899-12-30T10:15:13"/>
    <n v="0.76859999999999995"/>
    <n v="8.9399999999999993E-2"/>
    <n v="12181"/>
    <n v="0.13674378922080402"/>
    <s v="High CTR"/>
    <s v="High"/>
    <s v="Morning"/>
    <n v="3"/>
  </r>
  <r>
    <s v="c2c73efb-97c3-445f-90ee-50fda393f4e1"/>
    <s v="eba59aee-5eb1-4669-96a2-85b4f53b231f"/>
    <n v="6195"/>
    <n v="1909"/>
    <n v="36"/>
    <n v="0.67"/>
    <n v="25297"/>
    <n v="88522"/>
    <n v="7.35"/>
    <s v="Text"/>
    <x v="371"/>
    <d v="1899-12-30T08:42:43"/>
    <n v="6.7000000000000002E-3"/>
    <n v="7.3499999999999996E-2"/>
    <n v="8140"/>
    <n v="9.1954542373647224E-2"/>
    <s v="High CTR"/>
    <s v="High"/>
    <s v="Morning"/>
    <n v="3"/>
  </r>
  <r>
    <s v="c2c73efb-97c3-445f-90ee-50fda393f4e1"/>
    <s v="eba59aee-5eb1-4669-96a2-85b4f53b231f"/>
    <n v="6195"/>
    <n v="1909"/>
    <n v="36"/>
    <n v="0.67"/>
    <n v="25297"/>
    <n v="88522"/>
    <n v="7.35"/>
    <s v="Text"/>
    <x v="372"/>
    <d v="1899-12-30T08:42:43"/>
    <n v="6.7000000000000002E-3"/>
    <n v="7.3499999999999996E-2"/>
    <n v="8140"/>
    <n v="9.1954542373647224E-2"/>
    <s v="High CTR"/>
    <s v="High"/>
    <s v="Morning"/>
    <n v="3"/>
  </r>
  <r>
    <s v="c2c73efb-97c3-445f-90ee-50fda393f4e1"/>
    <s v="eba59aee-5eb1-4669-96a2-85b4f53b231f"/>
    <n v="6195"/>
    <n v="1909"/>
    <n v="36"/>
    <n v="0.67"/>
    <n v="25297"/>
    <n v="88522"/>
    <n v="7.35"/>
    <s v="Text"/>
    <x v="373"/>
    <d v="1899-12-30T08:42:43"/>
    <n v="6.7000000000000002E-3"/>
    <n v="7.3499999999999996E-2"/>
    <n v="8140"/>
    <n v="9.1954542373647224E-2"/>
    <s v="High CTR"/>
    <s v="High"/>
    <s v="Morning"/>
    <n v="3"/>
  </r>
  <r>
    <s v="cae290d1-663a-4c43-a908-b4da550f4bcc"/>
    <s v="95cbf8f2-ed8f-4928-9872-5c7e07312beb"/>
    <n v="7547"/>
    <n v="3680"/>
    <n v="1691"/>
    <n v="16.760000000000002"/>
    <n v="21766"/>
    <n v="40764"/>
    <n v="4.17"/>
    <s v="Text"/>
    <x v="374"/>
    <d v="1899-12-30T20:43:38"/>
    <n v="0.16760000000000003"/>
    <n v="4.1700000000000001E-2"/>
    <n v="12918"/>
    <n v="0.31689726229025611"/>
    <s v="High CTR"/>
    <s v="High"/>
    <s v="Evening"/>
    <n v="3"/>
  </r>
  <r>
    <s v="cae290d1-663a-4c43-a908-b4da550f4bcc"/>
    <s v="95cbf8f2-ed8f-4928-9872-5c7e07312beb"/>
    <n v="7547"/>
    <n v="3680"/>
    <n v="1691"/>
    <n v="16.760000000000002"/>
    <n v="21766"/>
    <n v="40764"/>
    <n v="4.17"/>
    <s v="Text"/>
    <x v="375"/>
    <d v="1899-12-30T20:43:38"/>
    <n v="0.16760000000000003"/>
    <n v="4.1700000000000001E-2"/>
    <n v="12918"/>
    <n v="0.31689726229025611"/>
    <s v="High CTR"/>
    <s v="High"/>
    <s v="Evening"/>
    <n v="3"/>
  </r>
  <r>
    <s v="cae290d1-663a-4c43-a908-b4da550f4bcc"/>
    <s v="95cbf8f2-ed8f-4928-9872-5c7e07312beb"/>
    <n v="7547"/>
    <n v="3680"/>
    <n v="1691"/>
    <n v="16.760000000000002"/>
    <n v="21766"/>
    <n v="40764"/>
    <n v="4.17"/>
    <s v="Text"/>
    <x v="376"/>
    <d v="1899-12-30T20:43:38"/>
    <n v="0.16760000000000003"/>
    <n v="4.1700000000000001E-2"/>
    <n v="12918"/>
    <n v="0.31689726229025611"/>
    <s v="High CTR"/>
    <s v="High"/>
    <s v="Evening"/>
    <n v="3"/>
  </r>
  <r>
    <s v="1d96b587-720d-4b15-8b8b-92c92184b707"/>
    <s v="5ff195da-2c11-41a5-9f69-cc1b9c6571c4"/>
    <n v="4577"/>
    <n v="573"/>
    <n v="456"/>
    <n v="52.41"/>
    <n v="70649"/>
    <n v="37902"/>
    <n v="2.16"/>
    <s v="Poll"/>
    <x v="200"/>
    <d v="1899-12-30T04:18:36"/>
    <n v="0.52410000000000001"/>
    <n v="2.1600000000000001E-2"/>
    <n v="5606"/>
    <n v="0.14790776212337081"/>
    <s v="High CTR"/>
    <s v="High"/>
    <s v="Morning"/>
    <n v="3"/>
  </r>
  <r>
    <s v="1d96b587-720d-4b15-8b8b-92c92184b707"/>
    <s v="5ff195da-2c11-41a5-9f69-cc1b9c6571c4"/>
    <n v="4577"/>
    <n v="573"/>
    <n v="456"/>
    <n v="52.41"/>
    <n v="70649"/>
    <n v="37902"/>
    <n v="2.16"/>
    <s v="Poll"/>
    <x v="322"/>
    <d v="1899-12-30T04:18:36"/>
    <n v="0.52410000000000001"/>
    <n v="2.1600000000000001E-2"/>
    <n v="5606"/>
    <n v="0.14790776212337081"/>
    <s v="High CTR"/>
    <s v="High"/>
    <s v="Morning"/>
    <n v="3"/>
  </r>
  <r>
    <s v="1d96b587-720d-4b15-8b8b-92c92184b707"/>
    <s v="5ff195da-2c11-41a5-9f69-cc1b9c6571c4"/>
    <n v="4577"/>
    <n v="573"/>
    <n v="456"/>
    <n v="52.41"/>
    <n v="70649"/>
    <n v="37902"/>
    <n v="2.16"/>
    <s v="Poll"/>
    <x v="9"/>
    <d v="1899-12-30T04:18:36"/>
    <n v="0.52410000000000001"/>
    <n v="2.1600000000000001E-2"/>
    <n v="5606"/>
    <n v="0.14790776212337081"/>
    <s v="High CTR"/>
    <s v="High"/>
    <s v="Morning"/>
    <n v="3"/>
  </r>
  <r>
    <s v="1176eacc-6895-4632-977f-6521cf2b80f0"/>
    <s v="12b1d826-1e73-4481-8e7a-4d8c4488c871"/>
    <n v="8571"/>
    <n v="4579"/>
    <n v="1140"/>
    <n v="86.33"/>
    <n v="68711"/>
    <n v="72580"/>
    <n v="3.66"/>
    <s v="Text"/>
    <x v="377"/>
    <d v="1899-12-30T13:13:31"/>
    <n v="0.86329999999999996"/>
    <n v="3.6600000000000001E-2"/>
    <n v="14290"/>
    <n v="0.19688619454395151"/>
    <s v="High CTR"/>
    <s v="High"/>
    <s v="Afternoon"/>
    <n v="3"/>
  </r>
  <r>
    <s v="1176eacc-6895-4632-977f-6521cf2b80f0"/>
    <s v="12b1d826-1e73-4481-8e7a-4d8c4488c871"/>
    <n v="8571"/>
    <n v="4579"/>
    <n v="1140"/>
    <n v="86.33"/>
    <n v="68711"/>
    <n v="72580"/>
    <n v="3.66"/>
    <s v="Text"/>
    <x v="378"/>
    <d v="1899-12-30T13:13:31"/>
    <n v="0.86329999999999996"/>
    <n v="3.6600000000000001E-2"/>
    <n v="14290"/>
    <n v="0.19688619454395151"/>
    <s v="High CTR"/>
    <s v="High"/>
    <s v="Afternoon"/>
    <n v="3"/>
  </r>
  <r>
    <s v="1176eacc-6895-4632-977f-6521cf2b80f0"/>
    <s v="12b1d826-1e73-4481-8e7a-4d8c4488c871"/>
    <n v="8571"/>
    <n v="4579"/>
    <n v="1140"/>
    <n v="86.33"/>
    <n v="68711"/>
    <n v="72580"/>
    <n v="3.66"/>
    <s v="Text"/>
    <x v="379"/>
    <d v="1899-12-30T13:13:31"/>
    <n v="0.86329999999999996"/>
    <n v="3.6600000000000001E-2"/>
    <n v="14290"/>
    <n v="0.19688619454395151"/>
    <s v="High CTR"/>
    <s v="High"/>
    <s v="Afternoon"/>
    <n v="3"/>
  </r>
  <r>
    <s v="d770cc32-3a6e-4a0a-b0c6-2ba74bff26a3"/>
    <s v="2ea79a5a-ab2a-4b53-84fe-3b17fa1ce9af"/>
    <n v="8443"/>
    <n v="196"/>
    <n v="864"/>
    <n v="54.16"/>
    <n v="26404"/>
    <n v="16098"/>
    <n v="3.72"/>
    <s v="Image"/>
    <x v="380"/>
    <d v="1899-12-30T00:38:11"/>
    <n v="0.54159999999999997"/>
    <n v="3.7200000000000004E-2"/>
    <n v="9503"/>
    <n v="0.59032177910299422"/>
    <s v="High CTR"/>
    <s v="High"/>
    <s v="Morning"/>
    <n v="3"/>
  </r>
  <r>
    <s v="d770cc32-3a6e-4a0a-b0c6-2ba74bff26a3"/>
    <s v="2ea79a5a-ab2a-4b53-84fe-3b17fa1ce9af"/>
    <n v="8443"/>
    <n v="196"/>
    <n v="864"/>
    <n v="54.16"/>
    <n v="26404"/>
    <n v="16098"/>
    <n v="3.72"/>
    <s v="Image"/>
    <x v="289"/>
    <d v="1899-12-30T00:38:11"/>
    <n v="0.54159999999999997"/>
    <n v="3.7200000000000004E-2"/>
    <n v="9503"/>
    <n v="0.59032177910299422"/>
    <s v="High CTR"/>
    <s v="High"/>
    <s v="Morning"/>
    <n v="3"/>
  </r>
  <r>
    <s v="d770cc32-3a6e-4a0a-b0c6-2ba74bff26a3"/>
    <s v="2ea79a5a-ab2a-4b53-84fe-3b17fa1ce9af"/>
    <n v="8443"/>
    <n v="196"/>
    <n v="864"/>
    <n v="54.16"/>
    <n v="26404"/>
    <n v="16098"/>
    <n v="3.72"/>
    <s v="Image"/>
    <x v="381"/>
    <d v="1899-12-30T00:38:11"/>
    <n v="0.54159999999999997"/>
    <n v="3.7200000000000004E-2"/>
    <n v="9503"/>
    <n v="0.59032177910299422"/>
    <s v="High CTR"/>
    <s v="High"/>
    <s v="Morning"/>
    <n v="3"/>
  </r>
  <r>
    <s v="e61106a1-d2eb-48cd-a43f-094b098b6cb1"/>
    <s v="beaa7335-498d-471c-98dc-0e15a6f28554"/>
    <n v="612"/>
    <n v="4967"/>
    <n v="874"/>
    <n v="81.42"/>
    <n v="68566"/>
    <n v="30742"/>
    <n v="2.06"/>
    <s v="Poll"/>
    <x v="382"/>
    <d v="1899-12-30T04:26:52"/>
    <n v="0.81420000000000003"/>
    <n v="2.06E-2"/>
    <n v="6453"/>
    <n v="0.20990826881790384"/>
    <s v="High CTR"/>
    <s v="High"/>
    <s v="Morning"/>
    <n v="3"/>
  </r>
  <r>
    <s v="e61106a1-d2eb-48cd-a43f-094b098b6cb1"/>
    <s v="beaa7335-498d-471c-98dc-0e15a6f28554"/>
    <n v="612"/>
    <n v="4967"/>
    <n v="874"/>
    <n v="81.42"/>
    <n v="68566"/>
    <n v="30742"/>
    <n v="2.06"/>
    <s v="Poll"/>
    <x v="383"/>
    <d v="1899-12-30T04:26:52"/>
    <n v="0.81420000000000003"/>
    <n v="2.06E-2"/>
    <n v="6453"/>
    <n v="0.20990826881790384"/>
    <s v="High CTR"/>
    <s v="High"/>
    <s v="Morning"/>
    <n v="3"/>
  </r>
  <r>
    <s v="e61106a1-d2eb-48cd-a43f-094b098b6cb1"/>
    <s v="beaa7335-498d-471c-98dc-0e15a6f28554"/>
    <n v="612"/>
    <n v="4967"/>
    <n v="874"/>
    <n v="81.42"/>
    <n v="68566"/>
    <n v="30742"/>
    <n v="2.06"/>
    <s v="Poll"/>
    <x v="292"/>
    <d v="1899-12-30T04:26:52"/>
    <n v="0.81420000000000003"/>
    <n v="2.06E-2"/>
    <n v="6453"/>
    <n v="0.20990826881790384"/>
    <s v="High CTR"/>
    <s v="High"/>
    <s v="Morning"/>
    <n v="3"/>
  </r>
  <r>
    <s v="6df95b0d-2b7e-4a60-8736-bad0012e5ec8"/>
    <s v="1f34867b-1dd8-48f4-9722-da749e70bc4a"/>
    <n v="7191"/>
    <n v="4827"/>
    <n v="239"/>
    <n v="94.85"/>
    <n v="96964"/>
    <n v="74257"/>
    <n v="9.67"/>
    <s v="Poll"/>
    <x v="384"/>
    <d v="1899-12-30T01:52:08"/>
    <n v="0.9484999999999999"/>
    <n v="9.6699999999999994E-2"/>
    <n v="12257"/>
    <n v="0.1650618796881102"/>
    <s v="High CTR"/>
    <s v="High"/>
    <s v="Morning"/>
    <n v="3"/>
  </r>
  <r>
    <s v="6df95b0d-2b7e-4a60-8736-bad0012e5ec8"/>
    <s v="1f34867b-1dd8-48f4-9722-da749e70bc4a"/>
    <n v="7191"/>
    <n v="4827"/>
    <n v="239"/>
    <n v="94.85"/>
    <n v="96964"/>
    <n v="74257"/>
    <n v="9.67"/>
    <s v="Poll"/>
    <x v="385"/>
    <d v="1899-12-30T01:52:08"/>
    <n v="0.9484999999999999"/>
    <n v="9.6699999999999994E-2"/>
    <n v="12257"/>
    <n v="0.1650618796881102"/>
    <s v="High CTR"/>
    <s v="High"/>
    <s v="Morning"/>
    <n v="3"/>
  </r>
  <r>
    <s v="6df95b0d-2b7e-4a60-8736-bad0012e5ec8"/>
    <s v="1f34867b-1dd8-48f4-9722-da749e70bc4a"/>
    <n v="7191"/>
    <n v="4827"/>
    <n v="239"/>
    <n v="94.85"/>
    <n v="96964"/>
    <n v="74257"/>
    <n v="9.67"/>
    <s v="Poll"/>
    <x v="386"/>
    <d v="1899-12-30T01:52:08"/>
    <n v="0.9484999999999999"/>
    <n v="9.6699999999999994E-2"/>
    <n v="12257"/>
    <n v="0.1650618796881102"/>
    <s v="High CTR"/>
    <s v="High"/>
    <s v="Morning"/>
    <n v="3"/>
  </r>
  <r>
    <s v="d5aaa436-301a-497a-aecb-f3c9a327cee7"/>
    <s v="cabc8e6f-7118-4cb2-af02-98cd8c0df904"/>
    <n v="7000"/>
    <n v="4493"/>
    <n v="192"/>
    <n v="98.7"/>
    <n v="47582"/>
    <n v="33601"/>
    <n v="0.4"/>
    <s v="Poll"/>
    <x v="321"/>
    <d v="1899-12-30T12:10:06"/>
    <n v="0.98699999999999999"/>
    <n v="4.0000000000000001E-3"/>
    <n v="11685"/>
    <n v="0.34775750721704712"/>
    <s v="High CTR"/>
    <s v="High"/>
    <s v="Afternoon"/>
    <n v="3"/>
  </r>
  <r>
    <s v="d5aaa436-301a-497a-aecb-f3c9a327cee7"/>
    <s v="cabc8e6f-7118-4cb2-af02-98cd8c0df904"/>
    <n v="7000"/>
    <n v="4493"/>
    <n v="192"/>
    <n v="98.7"/>
    <n v="47582"/>
    <n v="33601"/>
    <n v="0.4"/>
    <s v="Poll"/>
    <x v="287"/>
    <d v="1899-12-30T12:10:06"/>
    <n v="0.98699999999999999"/>
    <n v="4.0000000000000001E-3"/>
    <n v="11685"/>
    <n v="0.34775750721704712"/>
    <s v="High CTR"/>
    <s v="High"/>
    <s v="Afternoon"/>
    <n v="3"/>
  </r>
  <r>
    <s v="d5aaa436-301a-497a-aecb-f3c9a327cee7"/>
    <s v="cabc8e6f-7118-4cb2-af02-98cd8c0df904"/>
    <n v="7000"/>
    <n v="4493"/>
    <n v="192"/>
    <n v="98.7"/>
    <n v="47582"/>
    <n v="33601"/>
    <n v="0.4"/>
    <s v="Poll"/>
    <x v="387"/>
    <d v="1899-12-30T12:10:06"/>
    <n v="0.98699999999999999"/>
    <n v="4.0000000000000001E-3"/>
    <n v="11685"/>
    <n v="0.34775750721704712"/>
    <s v="High CTR"/>
    <s v="High"/>
    <s v="Afternoon"/>
    <n v="3"/>
  </r>
  <r>
    <s v="1a8a3a8a-28e5-4d9a-8d9a-4dc858f9c2ec"/>
    <s v="69ad7079-20a1-4e65-8b68-5ea4b1439226"/>
    <n v="7394"/>
    <n v="1836"/>
    <n v="1134"/>
    <n v="61.02"/>
    <n v="62919"/>
    <n v="29064"/>
    <n v="0.05"/>
    <s v="Video"/>
    <x v="388"/>
    <d v="1899-12-30T03:08:44"/>
    <n v="0.61020000000000008"/>
    <n v="5.0000000000000001E-4"/>
    <n v="10364"/>
    <n v="0.3565923479218277"/>
    <s v="Low CTR"/>
    <s v="High"/>
    <s v="Morning"/>
    <n v="3"/>
  </r>
  <r>
    <s v="1a8a3a8a-28e5-4d9a-8d9a-4dc858f9c2ec"/>
    <s v="69ad7079-20a1-4e65-8b68-5ea4b1439226"/>
    <n v="7394"/>
    <n v="1836"/>
    <n v="1134"/>
    <n v="61.02"/>
    <n v="62919"/>
    <n v="29064"/>
    <n v="0.05"/>
    <s v="Video"/>
    <x v="176"/>
    <d v="1899-12-30T03:08:44"/>
    <n v="0.61020000000000008"/>
    <n v="5.0000000000000001E-4"/>
    <n v="10364"/>
    <n v="0.3565923479218277"/>
    <s v="Low CTR"/>
    <s v="High"/>
    <s v="Morning"/>
    <n v="3"/>
  </r>
  <r>
    <s v="1a8a3a8a-28e5-4d9a-8d9a-4dc858f9c2ec"/>
    <s v="69ad7079-20a1-4e65-8b68-5ea4b1439226"/>
    <n v="7394"/>
    <n v="1836"/>
    <n v="1134"/>
    <n v="61.02"/>
    <n v="62919"/>
    <n v="29064"/>
    <n v="0.05"/>
    <s v="Video"/>
    <x v="373"/>
    <d v="1899-12-30T03:08:44"/>
    <n v="0.61020000000000008"/>
    <n v="5.0000000000000001E-4"/>
    <n v="10364"/>
    <n v="0.3565923479218277"/>
    <s v="Low CTR"/>
    <s v="High"/>
    <s v="Morning"/>
    <n v="3"/>
  </r>
  <r>
    <s v="7d5c14a1-33f3-4f2d-851a-e5682021e258"/>
    <s v="5928383b-aec5-4525-8756-9cbb8169b06a"/>
    <n v="9841"/>
    <n v="130"/>
    <n v="803"/>
    <n v="10.16"/>
    <n v="30975"/>
    <n v="78434"/>
    <n v="5.69"/>
    <s v="Video"/>
    <x v="389"/>
    <d v="1899-12-30T17:37:55"/>
    <n v="0.1016"/>
    <n v="5.6900000000000006E-2"/>
    <n v="10774"/>
    <n v="0.13736389830940662"/>
    <s v="High CTR"/>
    <s v="High"/>
    <s v="Evening"/>
    <n v="3"/>
  </r>
  <r>
    <s v="7d5c14a1-33f3-4f2d-851a-e5682021e258"/>
    <s v="5928383b-aec5-4525-8756-9cbb8169b06a"/>
    <n v="9841"/>
    <n v="130"/>
    <n v="803"/>
    <n v="10.16"/>
    <n v="30975"/>
    <n v="78434"/>
    <n v="5.69"/>
    <s v="Video"/>
    <x v="59"/>
    <d v="1899-12-30T17:37:55"/>
    <n v="0.1016"/>
    <n v="5.6900000000000006E-2"/>
    <n v="10774"/>
    <n v="0.13736389830940662"/>
    <s v="High CTR"/>
    <s v="High"/>
    <s v="Evening"/>
    <n v="3"/>
  </r>
  <r>
    <s v="7d5c14a1-33f3-4f2d-851a-e5682021e258"/>
    <s v="5928383b-aec5-4525-8756-9cbb8169b06a"/>
    <n v="9841"/>
    <n v="130"/>
    <n v="803"/>
    <n v="10.16"/>
    <n v="30975"/>
    <n v="78434"/>
    <n v="5.69"/>
    <s v="Video"/>
    <x v="66"/>
    <d v="1899-12-30T17:37:55"/>
    <n v="0.1016"/>
    <n v="5.6900000000000006E-2"/>
    <n v="10774"/>
    <n v="0.13736389830940662"/>
    <s v="High CTR"/>
    <s v="High"/>
    <s v="Evening"/>
    <n v="3"/>
  </r>
  <r>
    <s v="ee8f3bfa-61a5-4573-898d-7039ad1ce182"/>
    <s v="9d6731c8-58c8-45ea-bc1f-73a5acee1f0a"/>
    <n v="9332"/>
    <n v="3173"/>
    <n v="122"/>
    <n v="31.54"/>
    <n v="55446"/>
    <n v="10893"/>
    <n v="5.97"/>
    <s v="Poll"/>
    <x v="390"/>
    <d v="1899-12-30T00:55:02"/>
    <n v="0.31540000000000001"/>
    <n v="5.9699999999999996E-2"/>
    <n v="12627"/>
    <n v="1"/>
    <s v="High CTR"/>
    <s v="High"/>
    <s v="Morning"/>
    <n v="3"/>
  </r>
  <r>
    <s v="ee8f3bfa-61a5-4573-898d-7039ad1ce182"/>
    <s v="9d6731c8-58c8-45ea-bc1f-73a5acee1f0a"/>
    <n v="9332"/>
    <n v="3173"/>
    <n v="122"/>
    <n v="31.54"/>
    <n v="55446"/>
    <n v="10893"/>
    <n v="5.97"/>
    <s v="Poll"/>
    <x v="391"/>
    <d v="1899-12-30T00:55:02"/>
    <n v="0.31540000000000001"/>
    <n v="5.9699999999999996E-2"/>
    <n v="12627"/>
    <n v="1"/>
    <s v="High CTR"/>
    <s v="High"/>
    <s v="Morning"/>
    <n v="3"/>
  </r>
  <r>
    <s v="ee8f3bfa-61a5-4573-898d-7039ad1ce182"/>
    <s v="9d6731c8-58c8-45ea-bc1f-73a5acee1f0a"/>
    <n v="9332"/>
    <n v="3173"/>
    <n v="122"/>
    <n v="31.54"/>
    <n v="55446"/>
    <n v="10893"/>
    <n v="5.97"/>
    <s v="Poll"/>
    <x v="387"/>
    <d v="1899-12-30T00:55:02"/>
    <n v="0.31540000000000001"/>
    <n v="5.9699999999999996E-2"/>
    <n v="12627"/>
    <n v="1"/>
    <s v="High CTR"/>
    <s v="High"/>
    <s v="Morning"/>
    <n v="3"/>
  </r>
  <r>
    <s v="b451177f-1b7f-4153-93b9-06bd7a79818f"/>
    <s v="49e1a078-fad0-4a93-971a-7bd299d52045"/>
    <n v="745"/>
    <n v="1700"/>
    <n v="919"/>
    <n v="25.06"/>
    <n v="89097"/>
    <n v="15452"/>
    <n v="4.8600000000000003"/>
    <s v="Video"/>
    <x v="392"/>
    <d v="1899-12-30T04:33:03"/>
    <n v="0.25059999999999999"/>
    <n v="4.8600000000000004E-2"/>
    <n v="3364"/>
    <n v="0.21770644576753817"/>
    <s v="High CTR"/>
    <s v="High"/>
    <s v="Morning"/>
    <n v="3"/>
  </r>
  <r>
    <s v="b451177f-1b7f-4153-93b9-06bd7a79818f"/>
    <s v="49e1a078-fad0-4a93-971a-7bd299d52045"/>
    <n v="745"/>
    <n v="1700"/>
    <n v="919"/>
    <n v="25.06"/>
    <n v="89097"/>
    <n v="15452"/>
    <n v="4.8600000000000003"/>
    <s v="Video"/>
    <x v="393"/>
    <d v="1899-12-30T04:33:03"/>
    <n v="0.25059999999999999"/>
    <n v="4.8600000000000004E-2"/>
    <n v="3364"/>
    <n v="0.21770644576753817"/>
    <s v="High CTR"/>
    <s v="High"/>
    <s v="Morning"/>
    <n v="3"/>
  </r>
  <r>
    <s v="b451177f-1b7f-4153-93b9-06bd7a79818f"/>
    <s v="49e1a078-fad0-4a93-971a-7bd299d52045"/>
    <n v="745"/>
    <n v="1700"/>
    <n v="919"/>
    <n v="25.06"/>
    <n v="89097"/>
    <n v="15452"/>
    <n v="4.8600000000000003"/>
    <s v="Video"/>
    <x v="0"/>
    <d v="1899-12-30T04:33:03"/>
    <n v="0.25059999999999999"/>
    <n v="4.8600000000000004E-2"/>
    <n v="3364"/>
    <n v="0.21770644576753817"/>
    <s v="High CTR"/>
    <s v="High"/>
    <s v="Morning"/>
    <n v="3"/>
  </r>
  <r>
    <s v="bc81ad48-07b6-4144-ab1e-0bbf76793b03"/>
    <s v="4fe27e77-bcee-4aa3-a623-558c0a053013"/>
    <n v="3218"/>
    <n v="1001"/>
    <n v="546"/>
    <n v="29.49"/>
    <n v="60348"/>
    <n v="64522"/>
    <n v="6.95"/>
    <s v="Video"/>
    <x v="394"/>
    <d v="1899-12-30T06:10:02"/>
    <n v="0.2949"/>
    <n v="6.9500000000000006E-2"/>
    <n v="4765"/>
    <n v="7.3850779579058307E-2"/>
    <s v="High CTR"/>
    <s v="High"/>
    <s v="Morning"/>
    <n v="3"/>
  </r>
  <r>
    <s v="bc81ad48-07b6-4144-ab1e-0bbf76793b03"/>
    <s v="4fe27e77-bcee-4aa3-a623-558c0a053013"/>
    <n v="3218"/>
    <n v="1001"/>
    <n v="546"/>
    <n v="29.49"/>
    <n v="60348"/>
    <n v="64522"/>
    <n v="6.95"/>
    <s v="Video"/>
    <x v="266"/>
    <d v="1899-12-30T06:10:02"/>
    <n v="0.2949"/>
    <n v="6.9500000000000006E-2"/>
    <n v="4765"/>
    <n v="7.3850779579058307E-2"/>
    <s v="High CTR"/>
    <s v="High"/>
    <s v="Morning"/>
    <n v="3"/>
  </r>
  <r>
    <s v="bc81ad48-07b6-4144-ab1e-0bbf76793b03"/>
    <s v="4fe27e77-bcee-4aa3-a623-558c0a053013"/>
    <n v="3218"/>
    <n v="1001"/>
    <n v="546"/>
    <n v="29.49"/>
    <n v="60348"/>
    <n v="64522"/>
    <n v="6.95"/>
    <s v="Video"/>
    <x v="104"/>
    <d v="1899-12-30T06:10:02"/>
    <n v="0.2949"/>
    <n v="6.9500000000000006E-2"/>
    <n v="4765"/>
    <n v="7.3850779579058307E-2"/>
    <s v="High CTR"/>
    <s v="High"/>
    <s v="Morning"/>
    <n v="3"/>
  </r>
  <r>
    <s v="933d8313-ecc8-4e44-a3f0-990dd2a904a8"/>
    <s v="3e9c9490-cda9-486c-bf15-71e865002846"/>
    <n v="9376"/>
    <n v="2546"/>
    <n v="417"/>
    <n v="30.33"/>
    <n v="85435"/>
    <n v="56712"/>
    <n v="7.62"/>
    <s v="Poll"/>
    <x v="110"/>
    <d v="1899-12-30T12:36:30"/>
    <n v="0.30329999999999996"/>
    <n v="7.6200000000000004E-2"/>
    <n v="12339"/>
    <n v="0.21757300042319086"/>
    <s v="High CTR"/>
    <s v="High"/>
    <s v="Afternoon"/>
    <n v="3"/>
  </r>
  <r>
    <s v="933d8313-ecc8-4e44-a3f0-990dd2a904a8"/>
    <s v="3e9c9490-cda9-486c-bf15-71e865002846"/>
    <n v="9376"/>
    <n v="2546"/>
    <n v="417"/>
    <n v="30.33"/>
    <n v="85435"/>
    <n v="56712"/>
    <n v="7.62"/>
    <s v="Poll"/>
    <x v="395"/>
    <d v="1899-12-30T12:36:30"/>
    <n v="0.30329999999999996"/>
    <n v="7.6200000000000004E-2"/>
    <n v="12339"/>
    <n v="0.21757300042319086"/>
    <s v="High CTR"/>
    <s v="High"/>
    <s v="Afternoon"/>
    <n v="3"/>
  </r>
  <r>
    <s v="933d8313-ecc8-4e44-a3f0-990dd2a904a8"/>
    <s v="3e9c9490-cda9-486c-bf15-71e865002846"/>
    <n v="9376"/>
    <n v="2546"/>
    <n v="417"/>
    <n v="30.33"/>
    <n v="85435"/>
    <n v="56712"/>
    <n v="7.62"/>
    <s v="Poll"/>
    <x v="396"/>
    <d v="1899-12-30T12:36:30"/>
    <n v="0.30329999999999996"/>
    <n v="7.6200000000000004E-2"/>
    <n v="12339"/>
    <n v="0.21757300042319086"/>
    <s v="High CTR"/>
    <s v="High"/>
    <s v="Afternoon"/>
    <n v="3"/>
  </r>
  <r>
    <s v="8bc71b2a-addf-4999-aa2f-dd3f3e3bf567"/>
    <s v="b232641a-837a-4d1e-be0f-1bf72096606e"/>
    <n v="4752"/>
    <n v="2588"/>
    <n v="1584"/>
    <n v="13.58"/>
    <n v="91677"/>
    <n v="58168"/>
    <n v="2.4"/>
    <s v="Poll"/>
    <x v="397"/>
    <d v="1899-12-30T23:30:50"/>
    <n v="0.1358"/>
    <n v="2.4E-2"/>
    <n v="8924"/>
    <n v="0.15341768670059139"/>
    <s v="High CTR"/>
    <s v="High"/>
    <s v="Night"/>
    <n v="3"/>
  </r>
  <r>
    <s v="8bc71b2a-addf-4999-aa2f-dd3f3e3bf567"/>
    <s v="b232641a-837a-4d1e-be0f-1bf72096606e"/>
    <n v="4752"/>
    <n v="2588"/>
    <n v="1584"/>
    <n v="13.58"/>
    <n v="91677"/>
    <n v="58168"/>
    <n v="2.4"/>
    <s v="Poll"/>
    <x v="398"/>
    <d v="1899-12-30T23:30:50"/>
    <n v="0.1358"/>
    <n v="2.4E-2"/>
    <n v="8924"/>
    <n v="0.15341768670059139"/>
    <s v="High CTR"/>
    <s v="High"/>
    <s v="Night"/>
    <n v="3"/>
  </r>
  <r>
    <s v="8bc71b2a-addf-4999-aa2f-dd3f3e3bf567"/>
    <s v="b232641a-837a-4d1e-be0f-1bf72096606e"/>
    <n v="4752"/>
    <n v="2588"/>
    <n v="1584"/>
    <n v="13.58"/>
    <n v="91677"/>
    <n v="58168"/>
    <n v="2.4"/>
    <s v="Poll"/>
    <x v="47"/>
    <d v="1899-12-30T23:30:50"/>
    <n v="0.1358"/>
    <n v="2.4E-2"/>
    <n v="8924"/>
    <n v="0.15341768670059139"/>
    <s v="High CTR"/>
    <s v="High"/>
    <s v="Night"/>
    <n v="3"/>
  </r>
  <r>
    <s v="0a825bc6-9a1b-480d-97d9-d41e845e42ce"/>
    <s v="440aa1e8-27d7-41bd-ab23-dfd8ee9cc13e"/>
    <n v="2881"/>
    <n v="3430"/>
    <n v="429"/>
    <n v="18"/>
    <n v="60679"/>
    <n v="70654"/>
    <n v="6.5"/>
    <s v="Text"/>
    <x v="399"/>
    <d v="1899-12-30T22:02:27"/>
    <n v="0.18"/>
    <n v="6.5000000000000002E-2"/>
    <n v="6740"/>
    <n v="9.5394457497098531E-2"/>
    <s v="High CTR"/>
    <s v="High"/>
    <s v="Night"/>
    <n v="3"/>
  </r>
  <r>
    <s v="0a825bc6-9a1b-480d-97d9-d41e845e42ce"/>
    <s v="440aa1e8-27d7-41bd-ab23-dfd8ee9cc13e"/>
    <n v="2881"/>
    <n v="3430"/>
    <n v="429"/>
    <n v="18"/>
    <n v="60679"/>
    <n v="70654"/>
    <n v="6.5"/>
    <s v="Text"/>
    <x v="211"/>
    <d v="1899-12-30T22:02:27"/>
    <n v="0.18"/>
    <n v="6.5000000000000002E-2"/>
    <n v="6740"/>
    <n v="9.5394457497098531E-2"/>
    <s v="High CTR"/>
    <s v="High"/>
    <s v="Night"/>
    <n v="3"/>
  </r>
  <r>
    <s v="0a825bc6-9a1b-480d-97d9-d41e845e42ce"/>
    <s v="440aa1e8-27d7-41bd-ab23-dfd8ee9cc13e"/>
    <n v="2881"/>
    <n v="3430"/>
    <n v="429"/>
    <n v="18"/>
    <n v="60679"/>
    <n v="70654"/>
    <n v="6.5"/>
    <s v="Text"/>
    <x v="400"/>
    <d v="1899-12-30T22:02:27"/>
    <n v="0.18"/>
    <n v="6.5000000000000002E-2"/>
    <n v="6740"/>
    <n v="9.5394457497098531E-2"/>
    <s v="High CTR"/>
    <s v="High"/>
    <s v="Night"/>
    <n v="3"/>
  </r>
  <r>
    <s v="024764d4-0e0f-4cbf-b9a8-f017755b3ac5"/>
    <s v="f8c0c71a-dfdd-4102-8111-d7c240042c7f"/>
    <n v="7851"/>
    <n v="2377"/>
    <n v="1742"/>
    <n v="83"/>
    <n v="72066"/>
    <n v="34480"/>
    <n v="6.75"/>
    <s v="Text"/>
    <x v="401"/>
    <d v="1899-12-30T01:57:59"/>
    <n v="0.83"/>
    <n v="6.7500000000000004E-2"/>
    <n v="11970"/>
    <n v="0.34715777262180975"/>
    <s v="High CTR"/>
    <s v="High"/>
    <s v="Morning"/>
    <n v="3"/>
  </r>
  <r>
    <s v="024764d4-0e0f-4cbf-b9a8-f017755b3ac5"/>
    <s v="f8c0c71a-dfdd-4102-8111-d7c240042c7f"/>
    <n v="7851"/>
    <n v="2377"/>
    <n v="1742"/>
    <n v="83"/>
    <n v="72066"/>
    <n v="34480"/>
    <n v="6.75"/>
    <s v="Text"/>
    <x v="200"/>
    <d v="1899-12-30T01:57:59"/>
    <n v="0.83"/>
    <n v="6.7500000000000004E-2"/>
    <n v="11970"/>
    <n v="0.34715777262180975"/>
    <s v="High CTR"/>
    <s v="High"/>
    <s v="Morning"/>
    <n v="3"/>
  </r>
  <r>
    <s v="024764d4-0e0f-4cbf-b9a8-f017755b3ac5"/>
    <s v="f8c0c71a-dfdd-4102-8111-d7c240042c7f"/>
    <n v="7851"/>
    <n v="2377"/>
    <n v="1742"/>
    <n v="83"/>
    <n v="72066"/>
    <n v="34480"/>
    <n v="6.75"/>
    <s v="Text"/>
    <x v="402"/>
    <d v="1899-12-30T01:57:59"/>
    <n v="0.83"/>
    <n v="6.7500000000000004E-2"/>
    <n v="11970"/>
    <n v="0.34715777262180975"/>
    <s v="High CTR"/>
    <s v="High"/>
    <s v="Morning"/>
    <n v="3"/>
  </r>
  <r>
    <s v="6def4324-7657-44f7-9867-acd31cd874ea"/>
    <s v="993cb69b-f9cd-4b9f-add4-6e1bf9b00bb6"/>
    <n v="127"/>
    <n v="2056"/>
    <n v="1540"/>
    <n v="45.22"/>
    <n v="51551"/>
    <n v="40653"/>
    <n v="8.19"/>
    <s v="Image"/>
    <x v="321"/>
    <d v="1899-12-30T04:41:58"/>
    <n v="0.45219999999999999"/>
    <n v="8.1900000000000001E-2"/>
    <n v="3723"/>
    <n v="9.1579957198730716E-2"/>
    <s v="High CTR"/>
    <s v="High"/>
    <s v="Morning"/>
    <n v="3"/>
  </r>
  <r>
    <s v="6def4324-7657-44f7-9867-acd31cd874ea"/>
    <s v="993cb69b-f9cd-4b9f-add4-6e1bf9b00bb6"/>
    <n v="127"/>
    <n v="2056"/>
    <n v="1540"/>
    <n v="45.22"/>
    <n v="51551"/>
    <n v="40653"/>
    <n v="8.19"/>
    <s v="Image"/>
    <x v="157"/>
    <d v="1899-12-30T04:41:58"/>
    <n v="0.45219999999999999"/>
    <n v="8.1900000000000001E-2"/>
    <n v="3723"/>
    <n v="9.1579957198730716E-2"/>
    <s v="High CTR"/>
    <s v="High"/>
    <s v="Morning"/>
    <n v="3"/>
  </r>
  <r>
    <s v="6def4324-7657-44f7-9867-acd31cd874ea"/>
    <s v="993cb69b-f9cd-4b9f-add4-6e1bf9b00bb6"/>
    <n v="127"/>
    <n v="2056"/>
    <n v="1540"/>
    <n v="45.22"/>
    <n v="51551"/>
    <n v="40653"/>
    <n v="8.19"/>
    <s v="Image"/>
    <x v="403"/>
    <d v="1899-12-30T04:41:58"/>
    <n v="0.45219999999999999"/>
    <n v="8.1900000000000001E-2"/>
    <n v="3723"/>
    <n v="9.1579957198730716E-2"/>
    <s v="High CTR"/>
    <s v="High"/>
    <s v="Morning"/>
    <n v="3"/>
  </r>
  <r>
    <s v="f48effa7-e06b-4d29-ab4a-c545a23e1732"/>
    <s v="b04bf153-f879-4ee6-a616-c37f7192d173"/>
    <n v="7625"/>
    <n v="1336"/>
    <n v="1410"/>
    <n v="66.59"/>
    <n v="84665"/>
    <n v="80457"/>
    <n v="0.85"/>
    <s v="Text"/>
    <x v="48"/>
    <d v="1899-12-30T11:37:15"/>
    <n v="0.66590000000000005"/>
    <n v="8.5000000000000006E-3"/>
    <n v="10371"/>
    <n v="0.12890115216823894"/>
    <s v="High CTR"/>
    <s v="High"/>
    <s v="Morning"/>
    <n v="3"/>
  </r>
  <r>
    <s v="f48effa7-e06b-4d29-ab4a-c545a23e1732"/>
    <s v="b04bf153-f879-4ee6-a616-c37f7192d173"/>
    <n v="7625"/>
    <n v="1336"/>
    <n v="1410"/>
    <n v="66.59"/>
    <n v="84665"/>
    <n v="80457"/>
    <n v="0.85"/>
    <s v="Text"/>
    <x v="203"/>
    <d v="1899-12-30T11:37:15"/>
    <n v="0.66590000000000005"/>
    <n v="8.5000000000000006E-3"/>
    <n v="10371"/>
    <n v="0.12890115216823894"/>
    <s v="High CTR"/>
    <s v="High"/>
    <s v="Morning"/>
    <n v="3"/>
  </r>
  <r>
    <s v="f48effa7-e06b-4d29-ab4a-c545a23e1732"/>
    <s v="b04bf153-f879-4ee6-a616-c37f7192d173"/>
    <n v="7625"/>
    <n v="1336"/>
    <n v="1410"/>
    <n v="66.59"/>
    <n v="84665"/>
    <n v="80457"/>
    <n v="0.85"/>
    <s v="Text"/>
    <x v="404"/>
    <d v="1899-12-30T11:37:15"/>
    <n v="0.66590000000000005"/>
    <n v="8.5000000000000006E-3"/>
    <n v="10371"/>
    <n v="0.12890115216823894"/>
    <s v="High CTR"/>
    <s v="High"/>
    <s v="Morning"/>
    <n v="3"/>
  </r>
  <r>
    <s v="626c9a29-f769-4c65-bd96-d67aec1183f9"/>
    <s v="040c811a-4d73-4c53-a426-a4578e16b732"/>
    <n v="6541"/>
    <n v="3338"/>
    <n v="549"/>
    <n v="38.049999999999997"/>
    <n v="42313"/>
    <n v="26310"/>
    <n v="1.1100000000000001"/>
    <s v="Video"/>
    <x v="108"/>
    <d v="1899-12-30T20:21:54"/>
    <n v="0.38049999999999995"/>
    <n v="1.11E-2"/>
    <n v="10428"/>
    <n v="0.39635119726339796"/>
    <s v="High CTR"/>
    <s v="High"/>
    <s v="Evening"/>
    <n v="3"/>
  </r>
  <r>
    <s v="626c9a29-f769-4c65-bd96-d67aec1183f9"/>
    <s v="040c811a-4d73-4c53-a426-a4578e16b732"/>
    <n v="6541"/>
    <n v="3338"/>
    <n v="549"/>
    <n v="38.049999999999997"/>
    <n v="42313"/>
    <n v="26310"/>
    <n v="1.1100000000000001"/>
    <s v="Video"/>
    <x v="45"/>
    <d v="1899-12-30T20:21:54"/>
    <n v="0.38049999999999995"/>
    <n v="1.11E-2"/>
    <n v="10428"/>
    <n v="0.39635119726339796"/>
    <s v="High CTR"/>
    <s v="High"/>
    <s v="Evening"/>
    <n v="3"/>
  </r>
  <r>
    <s v="626c9a29-f769-4c65-bd96-d67aec1183f9"/>
    <s v="040c811a-4d73-4c53-a426-a4578e16b732"/>
    <n v="6541"/>
    <n v="3338"/>
    <n v="549"/>
    <n v="38.049999999999997"/>
    <n v="42313"/>
    <n v="26310"/>
    <n v="1.1100000000000001"/>
    <s v="Video"/>
    <x v="52"/>
    <d v="1899-12-30T20:21:54"/>
    <n v="0.38049999999999995"/>
    <n v="1.11E-2"/>
    <n v="10428"/>
    <n v="0.39635119726339796"/>
    <s v="High CTR"/>
    <s v="High"/>
    <s v="Evening"/>
    <n v="3"/>
  </r>
  <r>
    <s v="ea8c7236-2f5c-4b94-b565-84f3c8039f79"/>
    <s v="5c97768b-1dbb-40e5-9bb1-011f5808d4d2"/>
    <n v="2336"/>
    <n v="224"/>
    <n v="1661"/>
    <n v="63.44"/>
    <n v="8517"/>
    <n v="58007"/>
    <n v="0.97"/>
    <s v="Image"/>
    <x v="71"/>
    <d v="1899-12-30T21:59:07"/>
    <n v="0.63439999999999996"/>
    <n v="9.7000000000000003E-3"/>
    <n v="4221"/>
    <n v="7.2767079835192303E-2"/>
    <s v="High CTR"/>
    <s v="High"/>
    <s v="Night"/>
    <n v="3"/>
  </r>
  <r>
    <s v="ea8c7236-2f5c-4b94-b565-84f3c8039f79"/>
    <s v="5c97768b-1dbb-40e5-9bb1-011f5808d4d2"/>
    <n v="2336"/>
    <n v="224"/>
    <n v="1661"/>
    <n v="63.44"/>
    <n v="8517"/>
    <n v="58007"/>
    <n v="0.97"/>
    <s v="Image"/>
    <x v="405"/>
    <d v="1899-12-30T21:59:07"/>
    <n v="0.63439999999999996"/>
    <n v="9.7000000000000003E-3"/>
    <n v="4221"/>
    <n v="7.2767079835192303E-2"/>
    <s v="High CTR"/>
    <s v="High"/>
    <s v="Night"/>
    <n v="3"/>
  </r>
  <r>
    <s v="ea8c7236-2f5c-4b94-b565-84f3c8039f79"/>
    <s v="5c97768b-1dbb-40e5-9bb1-011f5808d4d2"/>
    <n v="2336"/>
    <n v="224"/>
    <n v="1661"/>
    <n v="63.44"/>
    <n v="8517"/>
    <n v="58007"/>
    <n v="0.97"/>
    <s v="Image"/>
    <x v="64"/>
    <d v="1899-12-30T21:59:07"/>
    <n v="0.63439999999999996"/>
    <n v="9.7000000000000003E-3"/>
    <n v="4221"/>
    <n v="7.2767079835192303E-2"/>
    <s v="High CTR"/>
    <s v="High"/>
    <s v="Night"/>
    <n v="3"/>
  </r>
  <r>
    <s v="85807fe0-9e99-4862-95c4-b4af276c9e95"/>
    <s v="6a64efe5-6620-424a-a4e6-ca057142850e"/>
    <n v="4875"/>
    <n v="2561"/>
    <n v="36"/>
    <n v="59.63"/>
    <n v="12377"/>
    <n v="46833"/>
    <n v="7.59"/>
    <s v="Poll"/>
    <x v="219"/>
    <d v="1899-12-30T16:14:18"/>
    <n v="0.59630000000000005"/>
    <n v="7.5899999999999995E-2"/>
    <n v="7472"/>
    <n v="0.1595456195417761"/>
    <s v="High CTR"/>
    <s v="High"/>
    <s v="Afternoon"/>
    <n v="3"/>
  </r>
  <r>
    <s v="85807fe0-9e99-4862-95c4-b4af276c9e95"/>
    <s v="6a64efe5-6620-424a-a4e6-ca057142850e"/>
    <n v="4875"/>
    <n v="2561"/>
    <n v="36"/>
    <n v="59.63"/>
    <n v="12377"/>
    <n v="46833"/>
    <n v="7.59"/>
    <s v="Poll"/>
    <x v="170"/>
    <d v="1899-12-30T16:14:18"/>
    <n v="0.59630000000000005"/>
    <n v="7.5899999999999995E-2"/>
    <n v="7472"/>
    <n v="0.1595456195417761"/>
    <s v="High CTR"/>
    <s v="High"/>
    <s v="Afternoon"/>
    <n v="3"/>
  </r>
  <r>
    <s v="85807fe0-9e99-4862-95c4-b4af276c9e95"/>
    <s v="6a64efe5-6620-424a-a4e6-ca057142850e"/>
    <n v="4875"/>
    <n v="2561"/>
    <n v="36"/>
    <n v="59.63"/>
    <n v="12377"/>
    <n v="46833"/>
    <n v="7.59"/>
    <s v="Poll"/>
    <x v="361"/>
    <d v="1899-12-30T16:14:18"/>
    <n v="0.59630000000000005"/>
    <n v="7.5899999999999995E-2"/>
    <n v="7472"/>
    <n v="0.1595456195417761"/>
    <s v="High CTR"/>
    <s v="High"/>
    <s v="Afternoon"/>
    <n v="3"/>
  </r>
  <r>
    <s v="b0b6ebe7-705c-465b-b8bc-9ac8d0b7bef9"/>
    <s v="74b2d8ec-84c9-40a1-a99b-0764b4744d81"/>
    <n v="7025"/>
    <n v="4029"/>
    <n v="1261"/>
    <n v="81.96"/>
    <n v="40466"/>
    <n v="65975"/>
    <n v="0.98"/>
    <s v="Poll"/>
    <x v="406"/>
    <d v="1899-12-30T16:18:02"/>
    <n v="0.81959999999999988"/>
    <n v="9.7999999999999997E-3"/>
    <n v="12315"/>
    <n v="0.18666161424782116"/>
    <s v="High CTR"/>
    <s v="High"/>
    <s v="Afternoon"/>
    <n v="3"/>
  </r>
  <r>
    <s v="b0b6ebe7-705c-465b-b8bc-9ac8d0b7bef9"/>
    <s v="74b2d8ec-84c9-40a1-a99b-0764b4744d81"/>
    <n v="7025"/>
    <n v="4029"/>
    <n v="1261"/>
    <n v="81.96"/>
    <n v="40466"/>
    <n v="65975"/>
    <n v="0.98"/>
    <s v="Poll"/>
    <x v="262"/>
    <d v="1899-12-30T16:18:02"/>
    <n v="0.81959999999999988"/>
    <n v="9.7999999999999997E-3"/>
    <n v="12315"/>
    <n v="0.18666161424782116"/>
    <s v="High CTR"/>
    <s v="High"/>
    <s v="Afternoon"/>
    <n v="3"/>
  </r>
  <r>
    <s v="b0b6ebe7-705c-465b-b8bc-9ac8d0b7bef9"/>
    <s v="74b2d8ec-84c9-40a1-a99b-0764b4744d81"/>
    <n v="7025"/>
    <n v="4029"/>
    <n v="1261"/>
    <n v="81.96"/>
    <n v="40466"/>
    <n v="65975"/>
    <n v="0.98"/>
    <s v="Poll"/>
    <x v="407"/>
    <d v="1899-12-30T16:18:02"/>
    <n v="0.81959999999999988"/>
    <n v="9.7999999999999997E-3"/>
    <n v="12315"/>
    <n v="0.18666161424782116"/>
    <s v="High CTR"/>
    <s v="High"/>
    <s v="Afternoon"/>
    <n v="3"/>
  </r>
  <r>
    <s v="2b781cd5-9445-4a25-baef-f7a0861da5d4"/>
    <s v="faeb7942-563b-4ec5-84bd-62e7bb7abba6"/>
    <n v="9834"/>
    <n v="1527"/>
    <n v="1717"/>
    <n v="57.93"/>
    <n v="88237"/>
    <n v="43111"/>
    <n v="6.46"/>
    <s v="Text"/>
    <x v="408"/>
    <d v="1899-12-30T01:18:05"/>
    <n v="0.57930000000000004"/>
    <n v="6.4600000000000005E-2"/>
    <n v="13078"/>
    <n v="0.30335645194961841"/>
    <s v="High CTR"/>
    <s v="High"/>
    <s v="Morning"/>
    <n v="3"/>
  </r>
  <r>
    <s v="2b781cd5-9445-4a25-baef-f7a0861da5d4"/>
    <s v="faeb7942-563b-4ec5-84bd-62e7bb7abba6"/>
    <n v="9834"/>
    <n v="1527"/>
    <n v="1717"/>
    <n v="57.93"/>
    <n v="88237"/>
    <n v="43111"/>
    <n v="6.46"/>
    <s v="Text"/>
    <x v="212"/>
    <d v="1899-12-30T01:18:05"/>
    <n v="0.57930000000000004"/>
    <n v="6.4600000000000005E-2"/>
    <n v="13078"/>
    <n v="0.30335645194961841"/>
    <s v="High CTR"/>
    <s v="High"/>
    <s v="Morning"/>
    <n v="3"/>
  </r>
  <r>
    <s v="2b781cd5-9445-4a25-baef-f7a0861da5d4"/>
    <s v="faeb7942-563b-4ec5-84bd-62e7bb7abba6"/>
    <n v="9834"/>
    <n v="1527"/>
    <n v="1717"/>
    <n v="57.93"/>
    <n v="88237"/>
    <n v="43111"/>
    <n v="6.46"/>
    <s v="Text"/>
    <x v="365"/>
    <d v="1899-12-30T01:18:05"/>
    <n v="0.57930000000000004"/>
    <n v="6.4600000000000005E-2"/>
    <n v="13078"/>
    <n v="0.30335645194961841"/>
    <s v="High CTR"/>
    <s v="High"/>
    <s v="Morning"/>
    <n v="3"/>
  </r>
  <r>
    <s v="72eb6416-81e5-4bd3-a934-9d8ba6d66816"/>
    <s v="41c12e5d-85d3-464d-95e2-a101cb29653c"/>
    <n v="2275"/>
    <n v="4517"/>
    <n v="107"/>
    <n v="19.850000000000001"/>
    <n v="88270"/>
    <n v="50618"/>
    <n v="4.18"/>
    <s v="Video"/>
    <x v="409"/>
    <d v="1899-12-30T14:34:23"/>
    <n v="0.19850000000000001"/>
    <n v="4.1799999999999997E-2"/>
    <n v="6899"/>
    <n v="0.13629538899205815"/>
    <s v="High CTR"/>
    <s v="High"/>
    <s v="Afternoon"/>
    <n v="3"/>
  </r>
  <r>
    <s v="72eb6416-81e5-4bd3-a934-9d8ba6d66816"/>
    <s v="41c12e5d-85d3-464d-95e2-a101cb29653c"/>
    <n v="2275"/>
    <n v="4517"/>
    <n v="107"/>
    <n v="19.850000000000001"/>
    <n v="88270"/>
    <n v="50618"/>
    <n v="4.18"/>
    <s v="Video"/>
    <x v="96"/>
    <d v="1899-12-30T14:34:23"/>
    <n v="0.19850000000000001"/>
    <n v="4.1799999999999997E-2"/>
    <n v="6899"/>
    <n v="0.13629538899205815"/>
    <s v="High CTR"/>
    <s v="High"/>
    <s v="Afternoon"/>
    <n v="3"/>
  </r>
  <r>
    <s v="72eb6416-81e5-4bd3-a934-9d8ba6d66816"/>
    <s v="41c12e5d-85d3-464d-95e2-a101cb29653c"/>
    <n v="2275"/>
    <n v="4517"/>
    <n v="107"/>
    <n v="19.850000000000001"/>
    <n v="88270"/>
    <n v="50618"/>
    <n v="4.18"/>
    <s v="Video"/>
    <x v="410"/>
    <d v="1899-12-30T14:34:23"/>
    <n v="0.19850000000000001"/>
    <n v="4.1799999999999997E-2"/>
    <n v="6899"/>
    <n v="0.13629538899205815"/>
    <s v="High CTR"/>
    <s v="High"/>
    <s v="Afternoon"/>
    <n v="3"/>
  </r>
  <r>
    <s v="66ea029d-cdb3-4353-9059-8fc873ca120f"/>
    <s v="4ec0d981-99c2-4a35-b241-65f51ac2fe87"/>
    <n v="3578"/>
    <n v="4611"/>
    <n v="211"/>
    <n v="57.66"/>
    <n v="93513"/>
    <n v="48975"/>
    <n v="9.85"/>
    <s v="Image"/>
    <x v="411"/>
    <d v="1899-12-30T17:03:21"/>
    <n v="0.5766"/>
    <n v="9.849999999999999E-2"/>
    <n v="8400"/>
    <n v="0.17151607963246554"/>
    <s v="High CTR"/>
    <s v="High"/>
    <s v="Evening"/>
    <n v="3"/>
  </r>
  <r>
    <s v="66ea029d-cdb3-4353-9059-8fc873ca120f"/>
    <s v="4ec0d981-99c2-4a35-b241-65f51ac2fe87"/>
    <n v="3578"/>
    <n v="4611"/>
    <n v="211"/>
    <n v="57.66"/>
    <n v="93513"/>
    <n v="48975"/>
    <n v="9.85"/>
    <s v="Image"/>
    <x v="412"/>
    <d v="1899-12-30T17:03:21"/>
    <n v="0.5766"/>
    <n v="9.849999999999999E-2"/>
    <n v="8400"/>
    <n v="0.17151607963246554"/>
    <s v="High CTR"/>
    <s v="High"/>
    <s v="Evening"/>
    <n v="3"/>
  </r>
  <r>
    <s v="66ea029d-cdb3-4353-9059-8fc873ca120f"/>
    <s v="4ec0d981-99c2-4a35-b241-65f51ac2fe87"/>
    <n v="3578"/>
    <n v="4611"/>
    <n v="211"/>
    <n v="57.66"/>
    <n v="93513"/>
    <n v="48975"/>
    <n v="9.85"/>
    <s v="Image"/>
    <x v="413"/>
    <d v="1899-12-30T17:03:21"/>
    <n v="0.5766"/>
    <n v="9.849999999999999E-2"/>
    <n v="8400"/>
    <n v="0.17151607963246554"/>
    <s v="High CTR"/>
    <s v="High"/>
    <s v="Evening"/>
    <n v="3"/>
  </r>
  <r>
    <s v="076dbee9-2745-48e2-9125-04a36c19def8"/>
    <s v="d3f0bda0-42fa-4f37-a1bb-d41fd10c99a8"/>
    <n v="1764"/>
    <n v="3006"/>
    <n v="394"/>
    <n v="5"/>
    <n v="14284"/>
    <n v="8486"/>
    <n v="1.36"/>
    <s v="Video"/>
    <x v="414"/>
    <d v="1899-12-30T20:57:04"/>
    <n v="0.05"/>
    <n v="1.3600000000000001E-2"/>
    <n v="5164"/>
    <n v="0.60853169926938488"/>
    <s v="High CTR"/>
    <s v="High"/>
    <s v="Evening"/>
    <n v="3"/>
  </r>
  <r>
    <s v="076dbee9-2745-48e2-9125-04a36c19def8"/>
    <s v="d3f0bda0-42fa-4f37-a1bb-d41fd10c99a8"/>
    <n v="1764"/>
    <n v="3006"/>
    <n v="394"/>
    <n v="5"/>
    <n v="14284"/>
    <n v="8486"/>
    <n v="1.36"/>
    <s v="Video"/>
    <x v="415"/>
    <d v="1899-12-30T20:57:04"/>
    <n v="0.05"/>
    <n v="1.3600000000000001E-2"/>
    <n v="5164"/>
    <n v="0.60853169926938488"/>
    <s v="High CTR"/>
    <s v="High"/>
    <s v="Evening"/>
    <n v="3"/>
  </r>
  <r>
    <s v="076dbee9-2745-48e2-9125-04a36c19def8"/>
    <s v="d3f0bda0-42fa-4f37-a1bb-d41fd10c99a8"/>
    <n v="1764"/>
    <n v="3006"/>
    <n v="394"/>
    <n v="5"/>
    <n v="14284"/>
    <n v="8486"/>
    <n v="1.36"/>
    <s v="Video"/>
    <x v="167"/>
    <d v="1899-12-30T20:57:04"/>
    <n v="0.05"/>
    <n v="1.3600000000000001E-2"/>
    <n v="5164"/>
    <n v="0.60853169926938488"/>
    <s v="High CTR"/>
    <s v="High"/>
    <s v="Evening"/>
    <n v="3"/>
  </r>
  <r>
    <s v="b464c22d-1216-4726-9445-564fc070c6a0"/>
    <s v="8af8b852-1f67-49e0-bb8c-ad09ed7702fa"/>
    <n v="5736"/>
    <n v="2923"/>
    <n v="1070"/>
    <n v="55.76"/>
    <n v="13046"/>
    <n v="90568"/>
    <n v="3.83"/>
    <s v="Text"/>
    <x v="357"/>
    <d v="1899-12-30T22:12:42"/>
    <n v="0.55759999999999998"/>
    <n v="3.8300000000000001E-2"/>
    <n v="9729"/>
    <n v="0.10742204752230368"/>
    <s v="High CTR"/>
    <s v="High"/>
    <s v="Night"/>
    <n v="3"/>
  </r>
  <r>
    <s v="b464c22d-1216-4726-9445-564fc070c6a0"/>
    <s v="8af8b852-1f67-49e0-bb8c-ad09ed7702fa"/>
    <n v="5736"/>
    <n v="2923"/>
    <n v="1070"/>
    <n v="55.76"/>
    <n v="13046"/>
    <n v="90568"/>
    <n v="3.83"/>
    <s v="Text"/>
    <x v="416"/>
    <d v="1899-12-30T22:12:42"/>
    <n v="0.55759999999999998"/>
    <n v="3.8300000000000001E-2"/>
    <n v="9729"/>
    <n v="0.10742204752230368"/>
    <s v="High CTR"/>
    <s v="High"/>
    <s v="Night"/>
    <n v="3"/>
  </r>
  <r>
    <s v="b464c22d-1216-4726-9445-564fc070c6a0"/>
    <s v="8af8b852-1f67-49e0-bb8c-ad09ed7702fa"/>
    <n v="5736"/>
    <n v="2923"/>
    <n v="1070"/>
    <n v="55.76"/>
    <n v="13046"/>
    <n v="90568"/>
    <n v="3.83"/>
    <s v="Text"/>
    <x v="417"/>
    <d v="1899-12-30T22:12:42"/>
    <n v="0.55759999999999998"/>
    <n v="3.8300000000000001E-2"/>
    <n v="9729"/>
    <n v="0.10742204752230368"/>
    <s v="High CTR"/>
    <s v="High"/>
    <s v="Night"/>
    <n v="3"/>
  </r>
  <r>
    <s v="1febb052-1859-4d37-ae6d-aa4800de57e7"/>
    <s v="f40ffab2-f246-4a01-82a3-417819d9bb6a"/>
    <n v="2304"/>
    <n v="3713"/>
    <n v="163"/>
    <n v="42.59"/>
    <n v="50748"/>
    <n v="82364"/>
    <n v="6.9"/>
    <s v="Image"/>
    <x v="418"/>
    <d v="1899-12-30T11:28:11"/>
    <n v="0.42590000000000006"/>
    <n v="6.9000000000000006E-2"/>
    <n v="6180"/>
    <n v="7.5032781312223781E-2"/>
    <s v="High CTR"/>
    <s v="High"/>
    <s v="Morning"/>
    <n v="3"/>
  </r>
  <r>
    <s v="1febb052-1859-4d37-ae6d-aa4800de57e7"/>
    <s v="f40ffab2-f246-4a01-82a3-417819d9bb6a"/>
    <n v="2304"/>
    <n v="3713"/>
    <n v="163"/>
    <n v="42.59"/>
    <n v="50748"/>
    <n v="82364"/>
    <n v="6.9"/>
    <s v="Image"/>
    <x v="367"/>
    <d v="1899-12-30T11:28:11"/>
    <n v="0.42590000000000006"/>
    <n v="6.9000000000000006E-2"/>
    <n v="6180"/>
    <n v="7.5032781312223781E-2"/>
    <s v="High CTR"/>
    <s v="High"/>
    <s v="Morning"/>
    <n v="3"/>
  </r>
  <r>
    <s v="1febb052-1859-4d37-ae6d-aa4800de57e7"/>
    <s v="f40ffab2-f246-4a01-82a3-417819d9bb6a"/>
    <n v="2304"/>
    <n v="3713"/>
    <n v="163"/>
    <n v="42.59"/>
    <n v="50748"/>
    <n v="82364"/>
    <n v="6.9"/>
    <s v="Image"/>
    <x v="402"/>
    <d v="1899-12-30T11:28:11"/>
    <n v="0.42590000000000006"/>
    <n v="6.9000000000000006E-2"/>
    <n v="6180"/>
    <n v="7.5032781312223781E-2"/>
    <s v="High CTR"/>
    <s v="High"/>
    <s v="Morning"/>
    <n v="3"/>
  </r>
  <r>
    <s v="b0beec68-023a-4f0c-ac78-9076b4548786"/>
    <s v="391187dc-5bb0-416f-8bdb-72bd27d46cef"/>
    <n v="3072"/>
    <n v="4222"/>
    <n v="567"/>
    <n v="94.69"/>
    <n v="46015"/>
    <n v="54031"/>
    <n v="9.44"/>
    <s v="Poll"/>
    <x v="93"/>
    <d v="1899-12-30T18:48:38"/>
    <n v="0.94689999999999996"/>
    <n v="9.4399999999999998E-2"/>
    <n v="7861"/>
    <n v="0.14549055172030873"/>
    <s v="High CTR"/>
    <s v="High"/>
    <s v="Evening"/>
    <n v="3"/>
  </r>
  <r>
    <s v="b0beec68-023a-4f0c-ac78-9076b4548786"/>
    <s v="391187dc-5bb0-416f-8bdb-72bd27d46cef"/>
    <n v="3072"/>
    <n v="4222"/>
    <n v="567"/>
    <n v="94.69"/>
    <n v="46015"/>
    <n v="54031"/>
    <n v="9.44"/>
    <s v="Poll"/>
    <x v="419"/>
    <d v="1899-12-30T18:48:38"/>
    <n v="0.94689999999999996"/>
    <n v="9.4399999999999998E-2"/>
    <n v="7861"/>
    <n v="0.14549055172030873"/>
    <s v="High CTR"/>
    <s v="High"/>
    <s v="Evening"/>
    <n v="3"/>
  </r>
  <r>
    <s v="b0beec68-023a-4f0c-ac78-9076b4548786"/>
    <s v="391187dc-5bb0-416f-8bdb-72bd27d46cef"/>
    <n v="3072"/>
    <n v="4222"/>
    <n v="567"/>
    <n v="94.69"/>
    <n v="46015"/>
    <n v="54031"/>
    <n v="9.44"/>
    <s v="Poll"/>
    <x v="295"/>
    <d v="1899-12-30T18:48:38"/>
    <n v="0.94689999999999996"/>
    <n v="9.4399999999999998E-2"/>
    <n v="7861"/>
    <n v="0.14549055172030873"/>
    <s v="High CTR"/>
    <s v="High"/>
    <s v="Evening"/>
    <n v="3"/>
  </r>
  <r>
    <s v="d640750f-aeb0-4940-bbe8-91295a211fd7"/>
    <s v="7967fa98-6089-4718-9b9b-7c5621eb3805"/>
    <n v="8757"/>
    <n v="2390"/>
    <n v="462"/>
    <n v="68.16"/>
    <n v="93200"/>
    <n v="42937"/>
    <n v="2.0299999999999998"/>
    <s v="Image"/>
    <x v="381"/>
    <d v="1899-12-30T09:02:09"/>
    <n v="0.68159999999999998"/>
    <n v="2.0299999999999999E-2"/>
    <n v="11609"/>
    <n v="0.27037287188205977"/>
    <s v="High CTR"/>
    <s v="High"/>
    <s v="Morning"/>
    <n v="3"/>
  </r>
  <r>
    <s v="d640750f-aeb0-4940-bbe8-91295a211fd7"/>
    <s v="7967fa98-6089-4718-9b9b-7c5621eb3805"/>
    <n v="8757"/>
    <n v="2390"/>
    <n v="462"/>
    <n v="68.16"/>
    <n v="93200"/>
    <n v="42937"/>
    <n v="2.0299999999999998"/>
    <s v="Image"/>
    <x v="420"/>
    <d v="1899-12-30T09:02:09"/>
    <n v="0.68159999999999998"/>
    <n v="2.0299999999999999E-2"/>
    <n v="11609"/>
    <n v="0.27037287188205977"/>
    <s v="High CTR"/>
    <s v="High"/>
    <s v="Morning"/>
    <n v="3"/>
  </r>
  <r>
    <s v="d640750f-aeb0-4940-bbe8-91295a211fd7"/>
    <s v="7967fa98-6089-4718-9b9b-7c5621eb3805"/>
    <n v="8757"/>
    <n v="2390"/>
    <n v="462"/>
    <n v="68.16"/>
    <n v="93200"/>
    <n v="42937"/>
    <n v="2.0299999999999998"/>
    <s v="Image"/>
    <x v="29"/>
    <d v="1899-12-30T09:02:09"/>
    <n v="0.68159999999999998"/>
    <n v="2.0299999999999999E-2"/>
    <n v="11609"/>
    <n v="0.27037287188205977"/>
    <s v="High CTR"/>
    <s v="High"/>
    <s v="Morning"/>
    <n v="3"/>
  </r>
  <r>
    <s v="5ae515cb-49dd-4aa0-b703-68110f33ef91"/>
    <s v="c04388db-1dfd-456e-91dd-e7d33c91254c"/>
    <n v="2030"/>
    <n v="4810"/>
    <n v="1993"/>
    <n v="80.89"/>
    <n v="16456"/>
    <n v="98888"/>
    <n v="2.0299999999999998"/>
    <s v="Image"/>
    <x v="246"/>
    <d v="1899-12-30T17:46:07"/>
    <n v="0.80889999999999995"/>
    <n v="2.0299999999999999E-2"/>
    <n v="8833"/>
    <n v="8.9323274815953396E-2"/>
    <s v="High CTR"/>
    <s v="High"/>
    <s v="Evening"/>
    <n v="3"/>
  </r>
  <r>
    <s v="5ae515cb-49dd-4aa0-b703-68110f33ef91"/>
    <s v="c04388db-1dfd-456e-91dd-e7d33c91254c"/>
    <n v="2030"/>
    <n v="4810"/>
    <n v="1993"/>
    <n v="80.89"/>
    <n v="16456"/>
    <n v="98888"/>
    <n v="2.0299999999999998"/>
    <s v="Image"/>
    <x v="188"/>
    <d v="1899-12-30T17:46:07"/>
    <n v="0.80889999999999995"/>
    <n v="2.0299999999999999E-2"/>
    <n v="8833"/>
    <n v="8.9323274815953396E-2"/>
    <s v="High CTR"/>
    <s v="High"/>
    <s v="Evening"/>
    <n v="3"/>
  </r>
  <r>
    <s v="5ae515cb-49dd-4aa0-b703-68110f33ef91"/>
    <s v="c04388db-1dfd-456e-91dd-e7d33c91254c"/>
    <n v="2030"/>
    <n v="4810"/>
    <n v="1993"/>
    <n v="80.89"/>
    <n v="16456"/>
    <n v="98888"/>
    <n v="2.0299999999999998"/>
    <s v="Image"/>
    <x v="193"/>
    <d v="1899-12-30T17:46:07"/>
    <n v="0.80889999999999995"/>
    <n v="2.0299999999999999E-2"/>
    <n v="8833"/>
    <n v="8.9323274815953396E-2"/>
    <s v="High CTR"/>
    <s v="High"/>
    <s v="Evening"/>
    <n v="3"/>
  </r>
  <r>
    <s v="f3c5f074-2235-4d47-9500-6594304ab10a"/>
    <s v="19e6fb6d-1fc6-4e72-b671-c8953284a54e"/>
    <n v="1052"/>
    <n v="3208"/>
    <n v="664"/>
    <n v="5.36"/>
    <n v="53452"/>
    <n v="78338"/>
    <n v="2.38"/>
    <s v="Poll"/>
    <x v="223"/>
    <d v="1899-12-30T14:00:14"/>
    <n v="5.3600000000000002E-2"/>
    <n v="2.3799999999999998E-2"/>
    <n v="4924"/>
    <n v="6.2855829865454821E-2"/>
    <s v="High CTR"/>
    <s v="High"/>
    <s v="Afternoon"/>
    <n v="3"/>
  </r>
  <r>
    <s v="f3c5f074-2235-4d47-9500-6594304ab10a"/>
    <s v="19e6fb6d-1fc6-4e72-b671-c8953284a54e"/>
    <n v="1052"/>
    <n v="3208"/>
    <n v="664"/>
    <n v="5.36"/>
    <n v="53452"/>
    <n v="78338"/>
    <n v="2.38"/>
    <s v="Poll"/>
    <x v="252"/>
    <d v="1899-12-30T14:00:14"/>
    <n v="5.3600000000000002E-2"/>
    <n v="2.3799999999999998E-2"/>
    <n v="4924"/>
    <n v="6.2855829865454821E-2"/>
    <s v="High CTR"/>
    <s v="High"/>
    <s v="Afternoon"/>
    <n v="3"/>
  </r>
  <r>
    <s v="f3c5f074-2235-4d47-9500-6594304ab10a"/>
    <s v="19e6fb6d-1fc6-4e72-b671-c8953284a54e"/>
    <n v="1052"/>
    <n v="3208"/>
    <n v="664"/>
    <n v="5.36"/>
    <n v="53452"/>
    <n v="78338"/>
    <n v="2.38"/>
    <s v="Poll"/>
    <x v="421"/>
    <d v="1899-12-30T14:00:14"/>
    <n v="5.3600000000000002E-2"/>
    <n v="2.3799999999999998E-2"/>
    <n v="4924"/>
    <n v="6.2855829865454821E-2"/>
    <s v="High CTR"/>
    <s v="High"/>
    <s v="Afternoon"/>
    <n v="3"/>
  </r>
  <r>
    <s v="4112851a-7c66-428d-8376-a901ff802d85"/>
    <s v="463cdea4-944c-4c00-bca0-c739c7a35c2f"/>
    <n v="2032"/>
    <n v="130"/>
    <n v="417"/>
    <n v="31.22"/>
    <n v="9246"/>
    <n v="86186"/>
    <n v="1.94"/>
    <s v="Poll"/>
    <x v="422"/>
    <d v="1899-12-30T09:38:43"/>
    <n v="0.31219999999999998"/>
    <n v="1.9400000000000001E-2"/>
    <n v="2579"/>
    <n v="2.9923653493606851E-2"/>
    <s v="High CTR"/>
    <s v="High"/>
    <s v="Morning"/>
    <n v="3"/>
  </r>
  <r>
    <s v="4112851a-7c66-428d-8376-a901ff802d85"/>
    <s v="463cdea4-944c-4c00-bca0-c739c7a35c2f"/>
    <n v="2032"/>
    <n v="130"/>
    <n v="417"/>
    <n v="31.22"/>
    <n v="9246"/>
    <n v="86186"/>
    <n v="1.94"/>
    <s v="Poll"/>
    <x v="423"/>
    <d v="1899-12-30T09:38:43"/>
    <n v="0.31219999999999998"/>
    <n v="1.9400000000000001E-2"/>
    <n v="2579"/>
    <n v="2.9923653493606851E-2"/>
    <s v="High CTR"/>
    <s v="High"/>
    <s v="Morning"/>
    <n v="3"/>
  </r>
  <r>
    <s v="4112851a-7c66-428d-8376-a901ff802d85"/>
    <s v="463cdea4-944c-4c00-bca0-c739c7a35c2f"/>
    <n v="2032"/>
    <n v="130"/>
    <n v="417"/>
    <n v="31.22"/>
    <n v="9246"/>
    <n v="86186"/>
    <n v="1.94"/>
    <s v="Poll"/>
    <x v="424"/>
    <d v="1899-12-30T09:38:43"/>
    <n v="0.31219999999999998"/>
    <n v="1.9400000000000001E-2"/>
    <n v="2579"/>
    <n v="2.9923653493606851E-2"/>
    <s v="High CTR"/>
    <s v="High"/>
    <s v="Morning"/>
    <n v="3"/>
  </r>
  <r>
    <s v="1f5278c6-cb12-45a9-9d96-152615b92c5a"/>
    <s v="24e1d7e9-5fcd-4bdf-bb41-c1f033609a22"/>
    <n v="9473"/>
    <n v="3773"/>
    <n v="1661"/>
    <n v="84.09"/>
    <n v="40671"/>
    <n v="59320"/>
    <n v="4.8899999999999997"/>
    <s v="Video"/>
    <x v="425"/>
    <d v="1899-12-30T19:06:37"/>
    <n v="0.84089999999999998"/>
    <n v="4.8899999999999999E-2"/>
    <n v="14907"/>
    <n v="0.25129804450438303"/>
    <s v="High CTR"/>
    <s v="High"/>
    <s v="Evening"/>
    <n v="3"/>
  </r>
  <r>
    <s v="1f5278c6-cb12-45a9-9d96-152615b92c5a"/>
    <s v="24e1d7e9-5fcd-4bdf-bb41-c1f033609a22"/>
    <n v="9473"/>
    <n v="3773"/>
    <n v="1661"/>
    <n v="84.09"/>
    <n v="40671"/>
    <n v="59320"/>
    <n v="4.8899999999999997"/>
    <s v="Video"/>
    <x v="224"/>
    <d v="1899-12-30T19:06:37"/>
    <n v="0.84089999999999998"/>
    <n v="4.8899999999999999E-2"/>
    <n v="14907"/>
    <n v="0.25129804450438303"/>
    <s v="High CTR"/>
    <s v="High"/>
    <s v="Evening"/>
    <n v="3"/>
  </r>
  <r>
    <s v="1f5278c6-cb12-45a9-9d96-152615b92c5a"/>
    <s v="24e1d7e9-5fcd-4bdf-bb41-c1f033609a22"/>
    <n v="9473"/>
    <n v="3773"/>
    <n v="1661"/>
    <n v="84.09"/>
    <n v="40671"/>
    <n v="59320"/>
    <n v="4.8899999999999997"/>
    <s v="Video"/>
    <x v="366"/>
    <d v="1899-12-30T19:06:37"/>
    <n v="0.84089999999999998"/>
    <n v="4.8899999999999999E-2"/>
    <n v="14907"/>
    <n v="0.25129804450438303"/>
    <s v="High CTR"/>
    <s v="High"/>
    <s v="Evening"/>
    <n v="3"/>
  </r>
  <r>
    <s v="65e1c600-c471-4763-823f-e02e8ffc3cb2"/>
    <s v="4b00fa0d-1cdf-4b7c-89f9-95c47d6109d1"/>
    <n v="3893"/>
    <n v="3518"/>
    <n v="1"/>
    <n v="4.12"/>
    <n v="85312"/>
    <n v="73585"/>
    <n v="3.89"/>
    <s v="Poll"/>
    <x v="426"/>
    <d v="1899-12-30T11:31:09"/>
    <n v="4.1200000000000001E-2"/>
    <n v="3.8900000000000004E-2"/>
    <n v="7412"/>
    <n v="0.10072705034993545"/>
    <s v="High CTR"/>
    <s v="High"/>
    <s v="Morning"/>
    <n v="3"/>
  </r>
  <r>
    <s v="65e1c600-c471-4763-823f-e02e8ffc3cb2"/>
    <s v="4b00fa0d-1cdf-4b7c-89f9-95c47d6109d1"/>
    <n v="3893"/>
    <n v="3518"/>
    <n v="1"/>
    <n v="4.12"/>
    <n v="85312"/>
    <n v="73585"/>
    <n v="3.89"/>
    <s v="Poll"/>
    <x v="427"/>
    <d v="1899-12-30T11:31:09"/>
    <n v="4.1200000000000001E-2"/>
    <n v="3.8900000000000004E-2"/>
    <n v="7412"/>
    <n v="0.10072705034993545"/>
    <s v="High CTR"/>
    <s v="High"/>
    <s v="Morning"/>
    <n v="3"/>
  </r>
  <r>
    <s v="65e1c600-c471-4763-823f-e02e8ffc3cb2"/>
    <s v="4b00fa0d-1cdf-4b7c-89f9-95c47d6109d1"/>
    <n v="3893"/>
    <n v="3518"/>
    <n v="1"/>
    <n v="4.12"/>
    <n v="85312"/>
    <n v="73585"/>
    <n v="3.89"/>
    <s v="Poll"/>
    <x v="428"/>
    <d v="1899-12-30T11:31:09"/>
    <n v="4.1200000000000001E-2"/>
    <n v="3.8900000000000004E-2"/>
    <n v="7412"/>
    <n v="0.10072705034993545"/>
    <s v="High CTR"/>
    <s v="High"/>
    <s v="Morning"/>
    <n v="3"/>
  </r>
  <r>
    <s v="117bbcbc-046a-4d20-96e3-8dffe4d284e9"/>
    <s v="cef129ba-a543-40de-bc8f-f09a87f57a6c"/>
    <n v="564"/>
    <n v="4509"/>
    <n v="1951"/>
    <n v="95.5"/>
    <n v="57302"/>
    <n v="18254"/>
    <n v="2.75"/>
    <s v="Video"/>
    <x v="429"/>
    <d v="1899-12-30T16:19:01"/>
    <n v="0.95499999999999996"/>
    <n v="2.75E-2"/>
    <n v="7024"/>
    <n v="0.38479237427413171"/>
    <s v="High CTR"/>
    <s v="High"/>
    <s v="Afternoon"/>
    <n v="3"/>
  </r>
  <r>
    <s v="117bbcbc-046a-4d20-96e3-8dffe4d284e9"/>
    <s v="cef129ba-a543-40de-bc8f-f09a87f57a6c"/>
    <n v="564"/>
    <n v="4509"/>
    <n v="1951"/>
    <n v="95.5"/>
    <n v="57302"/>
    <n v="18254"/>
    <n v="2.75"/>
    <s v="Video"/>
    <x v="388"/>
    <d v="1899-12-30T16:19:01"/>
    <n v="0.95499999999999996"/>
    <n v="2.75E-2"/>
    <n v="7024"/>
    <n v="0.38479237427413171"/>
    <s v="High CTR"/>
    <s v="High"/>
    <s v="Afternoon"/>
    <n v="3"/>
  </r>
  <r>
    <s v="117bbcbc-046a-4d20-96e3-8dffe4d284e9"/>
    <s v="cef129ba-a543-40de-bc8f-f09a87f57a6c"/>
    <n v="564"/>
    <n v="4509"/>
    <n v="1951"/>
    <n v="95.5"/>
    <n v="57302"/>
    <n v="18254"/>
    <n v="2.75"/>
    <s v="Video"/>
    <x v="430"/>
    <d v="1899-12-30T16:19:01"/>
    <n v="0.95499999999999996"/>
    <n v="2.75E-2"/>
    <n v="7024"/>
    <n v="0.38479237427413171"/>
    <s v="High CTR"/>
    <s v="High"/>
    <s v="Afternoon"/>
    <n v="3"/>
  </r>
  <r>
    <s v="7c0878cc-6c47-4826-9423-311899c8b3f0"/>
    <s v="fa894b7f-25a7-4088-93b1-795202bc80f1"/>
    <n v="4774"/>
    <n v="3385"/>
    <n v="1098"/>
    <n v="69.95"/>
    <n v="1423"/>
    <n v="25319"/>
    <n v="9.3699999999999992"/>
    <s v="Video"/>
    <x v="388"/>
    <d v="1899-12-30T00:34:44"/>
    <n v="0.69950000000000001"/>
    <n v="9.3699999999999992E-2"/>
    <n v="9257"/>
    <n v="0.36561475571705043"/>
    <s v="High CTR"/>
    <s v="High"/>
    <s v="Morning"/>
    <n v="3"/>
  </r>
  <r>
    <s v="7c0878cc-6c47-4826-9423-311899c8b3f0"/>
    <s v="fa894b7f-25a7-4088-93b1-795202bc80f1"/>
    <n v="4774"/>
    <n v="3385"/>
    <n v="1098"/>
    <n v="69.95"/>
    <n v="1423"/>
    <n v="25319"/>
    <n v="9.3699999999999992"/>
    <s v="Video"/>
    <x v="431"/>
    <d v="1899-12-30T00:34:44"/>
    <n v="0.69950000000000001"/>
    <n v="9.3699999999999992E-2"/>
    <n v="9257"/>
    <n v="0.36561475571705043"/>
    <s v="High CTR"/>
    <s v="High"/>
    <s v="Morning"/>
    <n v="3"/>
  </r>
  <r>
    <s v="7c0878cc-6c47-4826-9423-311899c8b3f0"/>
    <s v="fa894b7f-25a7-4088-93b1-795202bc80f1"/>
    <n v="4774"/>
    <n v="3385"/>
    <n v="1098"/>
    <n v="69.95"/>
    <n v="1423"/>
    <n v="25319"/>
    <n v="9.3699999999999992"/>
    <s v="Video"/>
    <x v="432"/>
    <d v="1899-12-30T00:34:44"/>
    <n v="0.69950000000000001"/>
    <n v="9.3699999999999992E-2"/>
    <n v="9257"/>
    <n v="0.36561475571705043"/>
    <s v="High CTR"/>
    <s v="High"/>
    <s v="Morning"/>
    <n v="3"/>
  </r>
  <r>
    <s v="a43193bd-61c0-4876-9763-9ea509c950f4"/>
    <s v="5b4a00a9-7f82-4dc7-ae20-d3acea582621"/>
    <n v="8672"/>
    <n v="3017"/>
    <n v="1610"/>
    <n v="66.39"/>
    <n v="5941"/>
    <n v="36338"/>
    <n v="8.68"/>
    <s v="Poll"/>
    <x v="433"/>
    <d v="1899-12-30T09:03:38"/>
    <n v="0.66390000000000005"/>
    <n v="8.6800000000000002E-2"/>
    <n v="13299"/>
    <n v="0.3659805162639661"/>
    <s v="High CTR"/>
    <s v="High"/>
    <s v="Morning"/>
    <n v="3"/>
  </r>
  <r>
    <s v="a43193bd-61c0-4876-9763-9ea509c950f4"/>
    <s v="5b4a00a9-7f82-4dc7-ae20-d3acea582621"/>
    <n v="8672"/>
    <n v="3017"/>
    <n v="1610"/>
    <n v="66.39"/>
    <n v="5941"/>
    <n v="36338"/>
    <n v="8.68"/>
    <s v="Poll"/>
    <x v="434"/>
    <d v="1899-12-30T09:03:38"/>
    <n v="0.66390000000000005"/>
    <n v="8.6800000000000002E-2"/>
    <n v="13299"/>
    <n v="0.3659805162639661"/>
    <s v="High CTR"/>
    <s v="High"/>
    <s v="Morning"/>
    <n v="3"/>
  </r>
  <r>
    <s v="a43193bd-61c0-4876-9763-9ea509c950f4"/>
    <s v="5b4a00a9-7f82-4dc7-ae20-d3acea582621"/>
    <n v="8672"/>
    <n v="3017"/>
    <n v="1610"/>
    <n v="66.39"/>
    <n v="5941"/>
    <n v="36338"/>
    <n v="8.68"/>
    <s v="Poll"/>
    <x v="435"/>
    <d v="1899-12-30T09:03:38"/>
    <n v="0.66390000000000005"/>
    <n v="8.6800000000000002E-2"/>
    <n v="13299"/>
    <n v="0.3659805162639661"/>
    <s v="High CTR"/>
    <s v="High"/>
    <s v="Morning"/>
    <n v="3"/>
  </r>
  <r>
    <s v="06c9b427-59d9-4101-83ba-c326ab357a83"/>
    <s v="11009b26-e4d6-4698-88fa-6ba37ea5f979"/>
    <n v="7930"/>
    <n v="4932"/>
    <n v="174"/>
    <n v="78.38"/>
    <n v="81977"/>
    <n v="3291"/>
    <n v="8.58"/>
    <s v="Text"/>
    <x v="30"/>
    <d v="1899-12-30T23:59:28"/>
    <n v="0.78379999999999994"/>
    <n v="8.5800000000000001E-2"/>
    <n v="13036"/>
    <n v="1"/>
    <s v="High CTR"/>
    <s v="High"/>
    <s v="Night"/>
    <n v="3"/>
  </r>
  <r>
    <s v="06c9b427-59d9-4101-83ba-c326ab357a83"/>
    <s v="11009b26-e4d6-4698-88fa-6ba37ea5f979"/>
    <n v="7930"/>
    <n v="4932"/>
    <n v="174"/>
    <n v="78.38"/>
    <n v="81977"/>
    <n v="3291"/>
    <n v="8.58"/>
    <s v="Text"/>
    <x v="140"/>
    <d v="1899-12-30T23:59:28"/>
    <n v="0.78379999999999994"/>
    <n v="8.5800000000000001E-2"/>
    <n v="13036"/>
    <n v="1"/>
    <s v="High CTR"/>
    <s v="High"/>
    <s v="Night"/>
    <n v="3"/>
  </r>
  <r>
    <s v="06c9b427-59d9-4101-83ba-c326ab357a83"/>
    <s v="11009b26-e4d6-4698-88fa-6ba37ea5f979"/>
    <n v="7930"/>
    <n v="4932"/>
    <n v="174"/>
    <n v="78.38"/>
    <n v="81977"/>
    <n v="3291"/>
    <n v="8.58"/>
    <s v="Text"/>
    <x v="436"/>
    <d v="1899-12-30T23:59:28"/>
    <n v="0.78379999999999994"/>
    <n v="8.5800000000000001E-2"/>
    <n v="13036"/>
    <n v="1"/>
    <s v="High CTR"/>
    <s v="High"/>
    <s v="Night"/>
    <n v="3"/>
  </r>
  <r>
    <s v="64d26019-c2fc-426c-a189-abd90bc4d487"/>
    <s v="04ad77f5-c695-451e-a3cd-d56cf2ce11e8"/>
    <n v="3629"/>
    <n v="4692"/>
    <n v="734"/>
    <n v="70.05"/>
    <n v="89983"/>
    <n v="92459"/>
    <n v="3.69"/>
    <s v="Text"/>
    <x v="54"/>
    <d v="1899-12-30T04:23:43"/>
    <n v="0.70050000000000001"/>
    <n v="3.6900000000000002E-2"/>
    <n v="9055"/>
    <n v="9.7935301052358342E-2"/>
    <s v="High CTR"/>
    <s v="High"/>
    <s v="Morning"/>
    <n v="3"/>
  </r>
  <r>
    <s v="64d26019-c2fc-426c-a189-abd90bc4d487"/>
    <s v="04ad77f5-c695-451e-a3cd-d56cf2ce11e8"/>
    <n v="3629"/>
    <n v="4692"/>
    <n v="734"/>
    <n v="70.05"/>
    <n v="89983"/>
    <n v="92459"/>
    <n v="3.69"/>
    <s v="Text"/>
    <x v="437"/>
    <d v="1899-12-30T04:23:43"/>
    <n v="0.70050000000000001"/>
    <n v="3.6900000000000002E-2"/>
    <n v="9055"/>
    <n v="9.7935301052358342E-2"/>
    <s v="High CTR"/>
    <s v="High"/>
    <s v="Morning"/>
    <n v="3"/>
  </r>
  <r>
    <s v="64d26019-c2fc-426c-a189-abd90bc4d487"/>
    <s v="04ad77f5-c695-451e-a3cd-d56cf2ce11e8"/>
    <n v="3629"/>
    <n v="4692"/>
    <n v="734"/>
    <n v="70.05"/>
    <n v="89983"/>
    <n v="92459"/>
    <n v="3.69"/>
    <s v="Text"/>
    <x v="438"/>
    <d v="1899-12-30T04:23:43"/>
    <n v="0.70050000000000001"/>
    <n v="3.6900000000000002E-2"/>
    <n v="9055"/>
    <n v="9.7935301052358342E-2"/>
    <s v="High CTR"/>
    <s v="High"/>
    <s v="Morning"/>
    <n v="3"/>
  </r>
  <r>
    <s v="2ce896e1-4651-4334-b193-1c3114db3e39"/>
    <s v="2c5696d1-336a-4e34-b993-e59e64ebdfc4"/>
    <n v="6644"/>
    <n v="4828"/>
    <n v="1768"/>
    <n v="15.22"/>
    <n v="8890"/>
    <n v="80700"/>
    <n v="1.8"/>
    <s v="Image"/>
    <x v="439"/>
    <d v="1899-12-30T06:05:56"/>
    <n v="0.1522"/>
    <n v="1.8000000000000002E-2"/>
    <n v="13240"/>
    <n v="0.16406443618339528"/>
    <s v="High CTR"/>
    <s v="High"/>
    <s v="Morning"/>
    <n v="3"/>
  </r>
  <r>
    <s v="2ce896e1-4651-4334-b193-1c3114db3e39"/>
    <s v="2c5696d1-336a-4e34-b993-e59e64ebdfc4"/>
    <n v="6644"/>
    <n v="4828"/>
    <n v="1768"/>
    <n v="15.22"/>
    <n v="8890"/>
    <n v="80700"/>
    <n v="1.8"/>
    <s v="Image"/>
    <x v="440"/>
    <d v="1899-12-30T06:05:56"/>
    <n v="0.1522"/>
    <n v="1.8000000000000002E-2"/>
    <n v="13240"/>
    <n v="0.16406443618339528"/>
    <s v="High CTR"/>
    <s v="High"/>
    <s v="Morning"/>
    <n v="3"/>
  </r>
  <r>
    <s v="2ce896e1-4651-4334-b193-1c3114db3e39"/>
    <s v="2c5696d1-336a-4e34-b993-e59e64ebdfc4"/>
    <n v="6644"/>
    <n v="4828"/>
    <n v="1768"/>
    <n v="15.22"/>
    <n v="8890"/>
    <n v="80700"/>
    <n v="1.8"/>
    <s v="Image"/>
    <x v="441"/>
    <d v="1899-12-30T06:05:56"/>
    <n v="0.1522"/>
    <n v="1.8000000000000002E-2"/>
    <n v="13240"/>
    <n v="0.16406443618339528"/>
    <s v="High CTR"/>
    <s v="High"/>
    <s v="Morning"/>
    <n v="3"/>
  </r>
  <r>
    <s v="5df458c4-c133-4ed5-bf46-9269445be558"/>
    <s v="39f30101-50f9-4d53-b8e5-f1d6c686bbfb"/>
    <n v="1858"/>
    <n v="3363"/>
    <n v="1434"/>
    <n v="39.76"/>
    <n v="75525"/>
    <n v="90888"/>
    <n v="6.3"/>
    <s v="Image"/>
    <x v="199"/>
    <d v="1899-12-30T02:07:41"/>
    <n v="0.39759999999999995"/>
    <n v="6.3E-2"/>
    <n v="6655"/>
    <n v="7.3221987501100261E-2"/>
    <s v="High CTR"/>
    <s v="High"/>
    <s v="Morning"/>
    <n v="3"/>
  </r>
  <r>
    <s v="5df458c4-c133-4ed5-bf46-9269445be558"/>
    <s v="39f30101-50f9-4d53-b8e5-f1d6c686bbfb"/>
    <n v="1858"/>
    <n v="3363"/>
    <n v="1434"/>
    <n v="39.76"/>
    <n v="75525"/>
    <n v="90888"/>
    <n v="6.3"/>
    <s v="Image"/>
    <x v="100"/>
    <d v="1899-12-30T02:07:41"/>
    <n v="0.39759999999999995"/>
    <n v="6.3E-2"/>
    <n v="6655"/>
    <n v="7.3221987501100261E-2"/>
    <s v="High CTR"/>
    <s v="High"/>
    <s v="Morning"/>
    <n v="3"/>
  </r>
  <r>
    <s v="5df458c4-c133-4ed5-bf46-9269445be558"/>
    <s v="39f30101-50f9-4d53-b8e5-f1d6c686bbfb"/>
    <n v="1858"/>
    <n v="3363"/>
    <n v="1434"/>
    <n v="39.76"/>
    <n v="75525"/>
    <n v="90888"/>
    <n v="6.3"/>
    <s v="Image"/>
    <x v="442"/>
    <d v="1899-12-30T02:07:41"/>
    <n v="0.39759999999999995"/>
    <n v="6.3E-2"/>
    <n v="6655"/>
    <n v="7.3221987501100261E-2"/>
    <s v="High CTR"/>
    <s v="High"/>
    <s v="Morning"/>
    <n v="3"/>
  </r>
  <r>
    <s v="fb62b7df-3d86-4e80-aabe-4f594c8a79d5"/>
    <s v="27d2730a-9c21-4376-b213-c78a318da21f"/>
    <n v="6883"/>
    <n v="542"/>
    <n v="1367"/>
    <n v="49.11"/>
    <n v="43950"/>
    <n v="19063"/>
    <n v="7.43"/>
    <s v="Image"/>
    <x v="443"/>
    <d v="1899-12-30T15:42:33"/>
    <n v="0.49109999999999998"/>
    <n v="7.4299999999999991E-2"/>
    <n v="8792"/>
    <n v="0.46120757488328173"/>
    <s v="High CTR"/>
    <s v="High"/>
    <s v="Afternoon"/>
    <n v="3"/>
  </r>
  <r>
    <s v="fb62b7df-3d86-4e80-aabe-4f594c8a79d5"/>
    <s v="27d2730a-9c21-4376-b213-c78a318da21f"/>
    <n v="6883"/>
    <n v="542"/>
    <n v="1367"/>
    <n v="49.11"/>
    <n v="43950"/>
    <n v="19063"/>
    <n v="7.43"/>
    <s v="Image"/>
    <x v="342"/>
    <d v="1899-12-30T15:42:33"/>
    <n v="0.49109999999999998"/>
    <n v="7.4299999999999991E-2"/>
    <n v="8792"/>
    <n v="0.46120757488328173"/>
    <s v="High CTR"/>
    <s v="High"/>
    <s v="Afternoon"/>
    <n v="3"/>
  </r>
  <r>
    <s v="fb62b7df-3d86-4e80-aabe-4f594c8a79d5"/>
    <s v="27d2730a-9c21-4376-b213-c78a318da21f"/>
    <n v="6883"/>
    <n v="542"/>
    <n v="1367"/>
    <n v="49.11"/>
    <n v="43950"/>
    <n v="19063"/>
    <n v="7.43"/>
    <s v="Image"/>
    <x v="109"/>
    <d v="1899-12-30T15:42:33"/>
    <n v="0.49109999999999998"/>
    <n v="7.4299999999999991E-2"/>
    <n v="8792"/>
    <n v="0.46120757488328173"/>
    <s v="High CTR"/>
    <s v="High"/>
    <s v="Afternoon"/>
    <n v="3"/>
  </r>
  <r>
    <s v="3155be37-a28a-414e-9215-18c38bd4015d"/>
    <s v="681951c5-7575-4304-94b4-45f7a3c49bb3"/>
    <n v="4458"/>
    <n v="2454"/>
    <n v="1686"/>
    <n v="56.33"/>
    <n v="73056"/>
    <n v="69114"/>
    <n v="8.33"/>
    <s v="Image"/>
    <x v="444"/>
    <d v="1899-12-30T18:58:33"/>
    <n v="0.56330000000000002"/>
    <n v="8.3299999999999999E-2"/>
    <n v="8598"/>
    <n v="0.12440315999652747"/>
    <s v="High CTR"/>
    <s v="High"/>
    <s v="Evening"/>
    <n v="3"/>
  </r>
  <r>
    <s v="3155be37-a28a-414e-9215-18c38bd4015d"/>
    <s v="681951c5-7575-4304-94b4-45f7a3c49bb3"/>
    <n v="4458"/>
    <n v="2454"/>
    <n v="1686"/>
    <n v="56.33"/>
    <n v="73056"/>
    <n v="69114"/>
    <n v="8.33"/>
    <s v="Image"/>
    <x v="445"/>
    <d v="1899-12-30T18:58:33"/>
    <n v="0.56330000000000002"/>
    <n v="8.3299999999999999E-2"/>
    <n v="8598"/>
    <n v="0.12440315999652747"/>
    <s v="High CTR"/>
    <s v="High"/>
    <s v="Evening"/>
    <n v="3"/>
  </r>
  <r>
    <s v="3155be37-a28a-414e-9215-18c38bd4015d"/>
    <s v="681951c5-7575-4304-94b4-45f7a3c49bb3"/>
    <n v="4458"/>
    <n v="2454"/>
    <n v="1686"/>
    <n v="56.33"/>
    <n v="73056"/>
    <n v="69114"/>
    <n v="8.33"/>
    <s v="Image"/>
    <x v="446"/>
    <d v="1899-12-30T18:58:33"/>
    <n v="0.56330000000000002"/>
    <n v="8.3299999999999999E-2"/>
    <n v="8598"/>
    <n v="0.12440315999652747"/>
    <s v="High CTR"/>
    <s v="High"/>
    <s v="Evening"/>
    <n v="3"/>
  </r>
  <r>
    <s v="d3c3358f-9b98-4267-b6a1-e67f3d12d751"/>
    <s v="22c74285-9ebd-4ccf-94d4-57ea921d6388"/>
    <n v="1755"/>
    <n v="311"/>
    <n v="101"/>
    <n v="81.819999999999993"/>
    <n v="40186"/>
    <n v="7065"/>
    <n v="6.22"/>
    <s v="Video"/>
    <x v="127"/>
    <d v="1899-12-30T08:15:31"/>
    <n v="0.81819999999999993"/>
    <n v="6.2199999999999998E-2"/>
    <n v="2167"/>
    <n v="0.30672328379334751"/>
    <s v="High CTR"/>
    <s v="High"/>
    <s v="Morning"/>
    <n v="3"/>
  </r>
  <r>
    <s v="d3c3358f-9b98-4267-b6a1-e67f3d12d751"/>
    <s v="22c74285-9ebd-4ccf-94d4-57ea921d6388"/>
    <n v="1755"/>
    <n v="311"/>
    <n v="101"/>
    <n v="81.819999999999993"/>
    <n v="40186"/>
    <n v="7065"/>
    <n v="6.22"/>
    <s v="Video"/>
    <x v="170"/>
    <d v="1899-12-30T08:15:31"/>
    <n v="0.81819999999999993"/>
    <n v="6.2199999999999998E-2"/>
    <n v="2167"/>
    <n v="0.30672328379334751"/>
    <s v="High CTR"/>
    <s v="High"/>
    <s v="Morning"/>
    <n v="3"/>
  </r>
  <r>
    <s v="d3c3358f-9b98-4267-b6a1-e67f3d12d751"/>
    <s v="22c74285-9ebd-4ccf-94d4-57ea921d6388"/>
    <n v="1755"/>
    <n v="311"/>
    <n v="101"/>
    <n v="81.819999999999993"/>
    <n v="40186"/>
    <n v="7065"/>
    <n v="6.22"/>
    <s v="Video"/>
    <x v="287"/>
    <d v="1899-12-30T08:15:31"/>
    <n v="0.81819999999999993"/>
    <n v="6.2199999999999998E-2"/>
    <n v="2167"/>
    <n v="0.30672328379334751"/>
    <s v="High CTR"/>
    <s v="High"/>
    <s v="Morning"/>
    <n v="3"/>
  </r>
  <r>
    <s v="e62f4850-1c5f-4a61-bd31-c5e35e40a568"/>
    <s v="56f7f8c2-c289-4247-ae23-b67153a799b2"/>
    <n v="9367"/>
    <n v="1058"/>
    <n v="751"/>
    <n v="46.21"/>
    <n v="66316"/>
    <n v="21043"/>
    <n v="8.02"/>
    <s v="Video"/>
    <x v="447"/>
    <d v="1899-12-30T19:21:31"/>
    <n v="0.46210000000000001"/>
    <n v="8.0199999999999994E-2"/>
    <n v="11176"/>
    <n v="0.53110297961317299"/>
    <s v="High CTR"/>
    <s v="High"/>
    <s v="Evening"/>
    <n v="3"/>
  </r>
  <r>
    <s v="e62f4850-1c5f-4a61-bd31-c5e35e40a568"/>
    <s v="56f7f8c2-c289-4247-ae23-b67153a799b2"/>
    <n v="9367"/>
    <n v="1058"/>
    <n v="751"/>
    <n v="46.21"/>
    <n v="66316"/>
    <n v="21043"/>
    <n v="8.02"/>
    <s v="Video"/>
    <x v="394"/>
    <d v="1899-12-30T19:21:31"/>
    <n v="0.46210000000000001"/>
    <n v="8.0199999999999994E-2"/>
    <n v="11176"/>
    <n v="0.53110297961317299"/>
    <s v="High CTR"/>
    <s v="High"/>
    <s v="Evening"/>
    <n v="3"/>
  </r>
  <r>
    <s v="e62f4850-1c5f-4a61-bd31-c5e35e40a568"/>
    <s v="56f7f8c2-c289-4247-ae23-b67153a799b2"/>
    <n v="9367"/>
    <n v="1058"/>
    <n v="751"/>
    <n v="46.21"/>
    <n v="66316"/>
    <n v="21043"/>
    <n v="8.02"/>
    <s v="Video"/>
    <x v="203"/>
    <d v="1899-12-30T19:21:31"/>
    <n v="0.46210000000000001"/>
    <n v="8.0199999999999994E-2"/>
    <n v="11176"/>
    <n v="0.53110297961317299"/>
    <s v="High CTR"/>
    <s v="High"/>
    <s v="Evening"/>
    <n v="3"/>
  </r>
  <r>
    <s v="74c6cdef-bebc-4f46-a814-00fa583f4f98"/>
    <s v="8f4563d4-930d-455d-8f88-f9592895b846"/>
    <n v="6999"/>
    <n v="839"/>
    <n v="360"/>
    <n v="93.71"/>
    <n v="66621"/>
    <n v="28704"/>
    <n v="1.52"/>
    <s v="Text"/>
    <x v="448"/>
    <d v="1899-12-30T02:58:36"/>
    <n v="0.93709999999999993"/>
    <n v="1.52E-2"/>
    <n v="8198"/>
    <n v="0.28560479375696768"/>
    <s v="High CTR"/>
    <s v="High"/>
    <s v="Morning"/>
    <n v="3"/>
  </r>
  <r>
    <s v="74c6cdef-bebc-4f46-a814-00fa583f4f98"/>
    <s v="8f4563d4-930d-455d-8f88-f9592895b846"/>
    <n v="6999"/>
    <n v="839"/>
    <n v="360"/>
    <n v="93.71"/>
    <n v="66621"/>
    <n v="28704"/>
    <n v="1.52"/>
    <s v="Text"/>
    <x v="12"/>
    <d v="1899-12-30T02:58:36"/>
    <n v="0.93709999999999993"/>
    <n v="1.52E-2"/>
    <n v="8198"/>
    <n v="0.28560479375696768"/>
    <s v="High CTR"/>
    <s v="High"/>
    <s v="Morning"/>
    <n v="3"/>
  </r>
  <r>
    <s v="74c6cdef-bebc-4f46-a814-00fa583f4f98"/>
    <s v="8f4563d4-930d-455d-8f88-f9592895b846"/>
    <n v="6999"/>
    <n v="839"/>
    <n v="360"/>
    <n v="93.71"/>
    <n v="66621"/>
    <n v="28704"/>
    <n v="1.52"/>
    <s v="Text"/>
    <x v="243"/>
    <d v="1899-12-30T02:58:36"/>
    <n v="0.93709999999999993"/>
    <n v="1.52E-2"/>
    <n v="8198"/>
    <n v="0.28560479375696768"/>
    <s v="High CTR"/>
    <s v="High"/>
    <s v="Morning"/>
    <n v="3"/>
  </r>
  <r>
    <s v="ffbe078a-85f5-44f0-8761-e5d3629c9eb1"/>
    <s v="fb365ff7-b4d8-495c-bec0-17de23de1d83"/>
    <n v="73"/>
    <n v="985"/>
    <n v="525"/>
    <n v="66.069999999999993"/>
    <n v="63035"/>
    <n v="97357"/>
    <n v="7.17"/>
    <s v="Image"/>
    <x v="83"/>
    <d v="1899-12-30T01:26:52"/>
    <n v="0.66069999999999995"/>
    <n v="7.17E-2"/>
    <n v="1583"/>
    <n v="1.6259745061988351E-2"/>
    <s v="High CTR"/>
    <s v="High"/>
    <s v="Morning"/>
    <n v="3"/>
  </r>
  <r>
    <s v="ffbe078a-85f5-44f0-8761-e5d3629c9eb1"/>
    <s v="fb365ff7-b4d8-495c-bec0-17de23de1d83"/>
    <n v="73"/>
    <n v="985"/>
    <n v="525"/>
    <n v="66.069999999999993"/>
    <n v="63035"/>
    <n v="97357"/>
    <n v="7.17"/>
    <s v="Image"/>
    <x v="449"/>
    <d v="1899-12-30T01:26:52"/>
    <n v="0.66069999999999995"/>
    <n v="7.17E-2"/>
    <n v="1583"/>
    <n v="1.6259745061988351E-2"/>
    <s v="High CTR"/>
    <s v="High"/>
    <s v="Morning"/>
    <n v="3"/>
  </r>
  <r>
    <s v="ffbe078a-85f5-44f0-8761-e5d3629c9eb1"/>
    <s v="fb365ff7-b4d8-495c-bec0-17de23de1d83"/>
    <n v="73"/>
    <n v="985"/>
    <n v="525"/>
    <n v="66.069999999999993"/>
    <n v="63035"/>
    <n v="97357"/>
    <n v="7.17"/>
    <s v="Image"/>
    <x v="401"/>
    <d v="1899-12-30T01:26:52"/>
    <n v="0.66069999999999995"/>
    <n v="7.17E-2"/>
    <n v="1583"/>
    <n v="1.6259745061988351E-2"/>
    <s v="High CTR"/>
    <s v="High"/>
    <s v="Morning"/>
    <n v="3"/>
  </r>
  <r>
    <s v="c01f1912-8394-4469-80ac-53a1a27e6c95"/>
    <s v="233d71e1-9461-4021-8301-6b53fcda7146"/>
    <n v="9023"/>
    <n v="2747"/>
    <n v="1904"/>
    <n v="94.35"/>
    <n v="69805"/>
    <n v="73638"/>
    <n v="5.27"/>
    <s v="Video"/>
    <x v="450"/>
    <d v="1899-12-30T12:44:23"/>
    <n v="0.94349999999999989"/>
    <n v="5.2699999999999997E-2"/>
    <n v="13674"/>
    <n v="0.18569216980363398"/>
    <s v="High CTR"/>
    <s v="High"/>
    <s v="Afternoon"/>
    <n v="3"/>
  </r>
  <r>
    <s v="c01f1912-8394-4469-80ac-53a1a27e6c95"/>
    <s v="233d71e1-9461-4021-8301-6b53fcda7146"/>
    <n v="9023"/>
    <n v="2747"/>
    <n v="1904"/>
    <n v="94.35"/>
    <n v="69805"/>
    <n v="73638"/>
    <n v="5.27"/>
    <s v="Video"/>
    <x v="81"/>
    <d v="1899-12-30T12:44:23"/>
    <n v="0.94349999999999989"/>
    <n v="5.2699999999999997E-2"/>
    <n v="13674"/>
    <n v="0.18569216980363398"/>
    <s v="High CTR"/>
    <s v="High"/>
    <s v="Afternoon"/>
    <n v="3"/>
  </r>
  <r>
    <s v="c01f1912-8394-4469-80ac-53a1a27e6c95"/>
    <s v="233d71e1-9461-4021-8301-6b53fcda7146"/>
    <n v="9023"/>
    <n v="2747"/>
    <n v="1904"/>
    <n v="94.35"/>
    <n v="69805"/>
    <n v="73638"/>
    <n v="5.27"/>
    <s v="Video"/>
    <x v="268"/>
    <d v="1899-12-30T12:44:23"/>
    <n v="0.94349999999999989"/>
    <n v="5.2699999999999997E-2"/>
    <n v="13674"/>
    <n v="0.18569216980363398"/>
    <s v="High CTR"/>
    <s v="High"/>
    <s v="Afternoon"/>
    <n v="3"/>
  </r>
  <r>
    <s v="87a3c664-0b3c-4ff7-bc13-c23a60ba4228"/>
    <s v="bdf48053-953c-41e4-b54b-f2bbda66599d"/>
    <n v="2519"/>
    <n v="2832"/>
    <n v="1376"/>
    <n v="58.03"/>
    <n v="29646"/>
    <n v="90499"/>
    <n v="8.16"/>
    <s v="Poll"/>
    <x v="451"/>
    <d v="1899-12-30T02:07:32"/>
    <n v="0.58030000000000004"/>
    <n v="8.1600000000000006E-2"/>
    <n v="6727"/>
    <n v="7.4332313064232755E-2"/>
    <s v="High CTR"/>
    <s v="High"/>
    <s v="Morning"/>
    <n v="3"/>
  </r>
  <r>
    <s v="87a3c664-0b3c-4ff7-bc13-c23a60ba4228"/>
    <s v="bdf48053-953c-41e4-b54b-f2bbda66599d"/>
    <n v="2519"/>
    <n v="2832"/>
    <n v="1376"/>
    <n v="58.03"/>
    <n v="29646"/>
    <n v="90499"/>
    <n v="8.16"/>
    <s v="Poll"/>
    <x v="452"/>
    <d v="1899-12-30T02:07:32"/>
    <n v="0.58030000000000004"/>
    <n v="8.1600000000000006E-2"/>
    <n v="6727"/>
    <n v="7.4332313064232755E-2"/>
    <s v="High CTR"/>
    <s v="High"/>
    <s v="Morning"/>
    <n v="3"/>
  </r>
  <r>
    <s v="87a3c664-0b3c-4ff7-bc13-c23a60ba4228"/>
    <s v="bdf48053-953c-41e4-b54b-f2bbda66599d"/>
    <n v="2519"/>
    <n v="2832"/>
    <n v="1376"/>
    <n v="58.03"/>
    <n v="29646"/>
    <n v="90499"/>
    <n v="8.16"/>
    <s v="Poll"/>
    <x v="415"/>
    <d v="1899-12-30T02:07:32"/>
    <n v="0.58030000000000004"/>
    <n v="8.1600000000000006E-2"/>
    <n v="6727"/>
    <n v="7.4332313064232755E-2"/>
    <s v="High CTR"/>
    <s v="High"/>
    <s v="Morning"/>
    <n v="3"/>
  </r>
  <r>
    <s v="ff29c2c8-fab7-479f-8891-4cfc3196aea5"/>
    <s v="2f3e77a4-670a-490b-849c-1cdc0c3e6554"/>
    <n v="3222"/>
    <n v="419"/>
    <n v="1269"/>
    <n v="64.77"/>
    <n v="81429"/>
    <n v="40489"/>
    <n v="9.85"/>
    <s v="Image"/>
    <x v="346"/>
    <d v="1899-12-30T21:54:15"/>
    <n v="0.64769999999999994"/>
    <n v="9.849999999999999E-2"/>
    <n v="4910"/>
    <n v="0.12126750475437774"/>
    <s v="High CTR"/>
    <s v="High"/>
    <s v="Night"/>
    <n v="3"/>
  </r>
  <r>
    <s v="ff29c2c8-fab7-479f-8891-4cfc3196aea5"/>
    <s v="2f3e77a4-670a-490b-849c-1cdc0c3e6554"/>
    <n v="3222"/>
    <n v="419"/>
    <n v="1269"/>
    <n v="64.77"/>
    <n v="81429"/>
    <n v="40489"/>
    <n v="9.85"/>
    <s v="Image"/>
    <x v="1"/>
    <d v="1899-12-30T21:54:15"/>
    <n v="0.64769999999999994"/>
    <n v="9.849999999999999E-2"/>
    <n v="4910"/>
    <n v="0.12126750475437774"/>
    <s v="High CTR"/>
    <s v="High"/>
    <s v="Night"/>
    <n v="3"/>
  </r>
  <r>
    <s v="ff29c2c8-fab7-479f-8891-4cfc3196aea5"/>
    <s v="2f3e77a4-670a-490b-849c-1cdc0c3e6554"/>
    <n v="3222"/>
    <n v="419"/>
    <n v="1269"/>
    <n v="64.77"/>
    <n v="81429"/>
    <n v="40489"/>
    <n v="9.85"/>
    <s v="Image"/>
    <x v="62"/>
    <d v="1899-12-30T21:54:15"/>
    <n v="0.64769999999999994"/>
    <n v="9.849999999999999E-2"/>
    <n v="4910"/>
    <n v="0.12126750475437774"/>
    <s v="High CTR"/>
    <s v="High"/>
    <s v="Night"/>
    <n v="3"/>
  </r>
  <r>
    <s v="d5083ec7-a64e-4aed-9f2d-600502a602a5"/>
    <s v="5f2f557a-db00-4c2a-8cd8-aa7a55e23853"/>
    <n v="4050"/>
    <n v="3474"/>
    <n v="882"/>
    <n v="24.03"/>
    <n v="41884"/>
    <n v="69895"/>
    <n v="0.47"/>
    <s v="Poll"/>
    <x v="453"/>
    <d v="1899-12-30T09:17:37"/>
    <n v="0.24030000000000001"/>
    <n v="4.6999999999999993E-3"/>
    <n v="8406"/>
    <n v="0.12026611345589813"/>
    <s v="High CTR"/>
    <s v="High"/>
    <s v="Morning"/>
    <n v="3"/>
  </r>
  <r>
    <s v="d5083ec7-a64e-4aed-9f2d-600502a602a5"/>
    <s v="5f2f557a-db00-4c2a-8cd8-aa7a55e23853"/>
    <n v="4050"/>
    <n v="3474"/>
    <n v="882"/>
    <n v="24.03"/>
    <n v="41884"/>
    <n v="69895"/>
    <n v="0.47"/>
    <s v="Poll"/>
    <x v="454"/>
    <d v="1899-12-30T09:17:37"/>
    <n v="0.24030000000000001"/>
    <n v="4.6999999999999993E-3"/>
    <n v="8406"/>
    <n v="0.12026611345589813"/>
    <s v="High CTR"/>
    <s v="High"/>
    <s v="Morning"/>
    <n v="3"/>
  </r>
  <r>
    <s v="d5083ec7-a64e-4aed-9f2d-600502a602a5"/>
    <s v="5f2f557a-db00-4c2a-8cd8-aa7a55e23853"/>
    <n v="4050"/>
    <n v="3474"/>
    <n v="882"/>
    <n v="24.03"/>
    <n v="41884"/>
    <n v="69895"/>
    <n v="0.47"/>
    <s v="Poll"/>
    <x v="455"/>
    <d v="1899-12-30T09:17:37"/>
    <n v="0.24030000000000001"/>
    <n v="4.6999999999999993E-3"/>
    <n v="8406"/>
    <n v="0.12026611345589813"/>
    <s v="High CTR"/>
    <s v="High"/>
    <s v="Morning"/>
    <n v="3"/>
  </r>
  <r>
    <s v="2ebc5f04-a4f9-4542-9ef7-5720c525035e"/>
    <s v="b52fda4b-dc37-4353-9759-59083338503c"/>
    <n v="8522"/>
    <n v="2067"/>
    <n v="887"/>
    <n v="20.12"/>
    <n v="26249"/>
    <n v="87027"/>
    <n v="6.71"/>
    <s v="Image"/>
    <x v="456"/>
    <d v="1899-12-30T08:16:26"/>
    <n v="0.20120000000000002"/>
    <n v="6.7099999999999993E-2"/>
    <n v="11476"/>
    <n v="0.13186712169786388"/>
    <s v="High CTR"/>
    <s v="High"/>
    <s v="Morning"/>
    <n v="3"/>
  </r>
  <r>
    <s v="2ebc5f04-a4f9-4542-9ef7-5720c525035e"/>
    <s v="b52fda4b-dc37-4353-9759-59083338503c"/>
    <n v="8522"/>
    <n v="2067"/>
    <n v="887"/>
    <n v="20.12"/>
    <n v="26249"/>
    <n v="87027"/>
    <n v="6.71"/>
    <s v="Image"/>
    <x v="335"/>
    <d v="1899-12-30T08:16:26"/>
    <n v="0.20120000000000002"/>
    <n v="6.7099999999999993E-2"/>
    <n v="11476"/>
    <n v="0.13186712169786388"/>
    <s v="High CTR"/>
    <s v="High"/>
    <s v="Morning"/>
    <n v="3"/>
  </r>
  <r>
    <s v="2ebc5f04-a4f9-4542-9ef7-5720c525035e"/>
    <s v="b52fda4b-dc37-4353-9759-59083338503c"/>
    <n v="8522"/>
    <n v="2067"/>
    <n v="887"/>
    <n v="20.12"/>
    <n v="26249"/>
    <n v="87027"/>
    <n v="6.71"/>
    <s v="Image"/>
    <x v="327"/>
    <d v="1899-12-30T08:16:26"/>
    <n v="0.20120000000000002"/>
    <n v="6.7099999999999993E-2"/>
    <n v="11476"/>
    <n v="0.13186712169786388"/>
    <s v="High CTR"/>
    <s v="High"/>
    <s v="Morning"/>
    <n v="3"/>
  </r>
  <r>
    <s v="49036873-f16d-4d8f-8fe2-2ea11145dc20"/>
    <s v="1c6114c5-6f98-4777-9685-fb562ea42e9a"/>
    <n v="2720"/>
    <n v="1398"/>
    <n v="742"/>
    <n v="18.93"/>
    <n v="97063"/>
    <n v="56096"/>
    <n v="0.61"/>
    <s v="Image"/>
    <x v="457"/>
    <d v="1899-12-30T01:55:40"/>
    <n v="0.1893"/>
    <n v="6.0999999999999995E-3"/>
    <n v="4860"/>
    <n v="8.6637193382772384E-2"/>
    <s v="High CTR"/>
    <s v="High"/>
    <s v="Morning"/>
    <n v="3"/>
  </r>
  <r>
    <s v="49036873-f16d-4d8f-8fe2-2ea11145dc20"/>
    <s v="1c6114c5-6f98-4777-9685-fb562ea42e9a"/>
    <n v="2720"/>
    <n v="1398"/>
    <n v="742"/>
    <n v="18.93"/>
    <n v="97063"/>
    <n v="56096"/>
    <n v="0.61"/>
    <s v="Image"/>
    <x v="105"/>
    <d v="1899-12-30T01:55:40"/>
    <n v="0.1893"/>
    <n v="6.0999999999999995E-3"/>
    <n v="4860"/>
    <n v="8.6637193382772384E-2"/>
    <s v="High CTR"/>
    <s v="High"/>
    <s v="Morning"/>
    <n v="3"/>
  </r>
  <r>
    <s v="49036873-f16d-4d8f-8fe2-2ea11145dc20"/>
    <s v="1c6114c5-6f98-4777-9685-fb562ea42e9a"/>
    <n v="2720"/>
    <n v="1398"/>
    <n v="742"/>
    <n v="18.93"/>
    <n v="97063"/>
    <n v="56096"/>
    <n v="0.61"/>
    <s v="Image"/>
    <x v="458"/>
    <d v="1899-12-30T01:55:40"/>
    <n v="0.1893"/>
    <n v="6.0999999999999995E-3"/>
    <n v="4860"/>
    <n v="8.6637193382772384E-2"/>
    <s v="High CTR"/>
    <s v="High"/>
    <s v="Morning"/>
    <n v="3"/>
  </r>
  <r>
    <s v="8d01ceb9-ac99-4f12-a951-79734de27089"/>
    <s v="a4688fa8-7cf2-46f2-8e15-8256a9c5752e"/>
    <n v="3441"/>
    <n v="4630"/>
    <n v="1787"/>
    <n v="84.65"/>
    <n v="17448"/>
    <n v="59705"/>
    <n v="5.08"/>
    <s v="Text"/>
    <x v="127"/>
    <d v="1899-12-30T14:40:53"/>
    <n v="0.84650000000000003"/>
    <n v="5.0799999999999998E-2"/>
    <n v="9858"/>
    <n v="0.1651117996817687"/>
    <s v="High CTR"/>
    <s v="High"/>
    <s v="Afternoon"/>
    <n v="3"/>
  </r>
  <r>
    <s v="8d01ceb9-ac99-4f12-a951-79734de27089"/>
    <s v="a4688fa8-7cf2-46f2-8e15-8256a9c5752e"/>
    <n v="3441"/>
    <n v="4630"/>
    <n v="1787"/>
    <n v="84.65"/>
    <n v="17448"/>
    <n v="59705"/>
    <n v="5.08"/>
    <s v="Text"/>
    <x v="459"/>
    <d v="1899-12-30T14:40:53"/>
    <n v="0.84650000000000003"/>
    <n v="5.0799999999999998E-2"/>
    <n v="9858"/>
    <n v="0.1651117996817687"/>
    <s v="High CTR"/>
    <s v="High"/>
    <s v="Afternoon"/>
    <n v="3"/>
  </r>
  <r>
    <s v="8d01ceb9-ac99-4f12-a951-79734de27089"/>
    <s v="a4688fa8-7cf2-46f2-8e15-8256a9c5752e"/>
    <n v="3441"/>
    <n v="4630"/>
    <n v="1787"/>
    <n v="84.65"/>
    <n v="17448"/>
    <n v="59705"/>
    <n v="5.08"/>
    <s v="Text"/>
    <x v="278"/>
    <d v="1899-12-30T14:40:53"/>
    <n v="0.84650000000000003"/>
    <n v="5.0799999999999998E-2"/>
    <n v="9858"/>
    <n v="0.1651117996817687"/>
    <s v="High CTR"/>
    <s v="High"/>
    <s v="Afternoon"/>
    <n v="3"/>
  </r>
  <r>
    <s v="376842b0-b7f9-4756-a1b0-de97587e1397"/>
    <s v="ac12d74b-30e0-4ba2-9dc4-e21e5f620c1e"/>
    <n v="3031"/>
    <n v="714"/>
    <n v="1834"/>
    <n v="42.25"/>
    <n v="79177"/>
    <n v="32000"/>
    <n v="8.68"/>
    <s v="Image"/>
    <x v="365"/>
    <d v="1899-12-30T17:08:23"/>
    <n v="0.42249999999999999"/>
    <n v="8.6800000000000002E-2"/>
    <n v="5579"/>
    <n v="0.17434374999999999"/>
    <s v="High CTR"/>
    <s v="High"/>
    <s v="Evening"/>
    <n v="3"/>
  </r>
  <r>
    <s v="376842b0-b7f9-4756-a1b0-de97587e1397"/>
    <s v="ac12d74b-30e0-4ba2-9dc4-e21e5f620c1e"/>
    <n v="3031"/>
    <n v="714"/>
    <n v="1834"/>
    <n v="42.25"/>
    <n v="79177"/>
    <n v="32000"/>
    <n v="8.68"/>
    <s v="Image"/>
    <x v="300"/>
    <d v="1899-12-30T17:08:23"/>
    <n v="0.42249999999999999"/>
    <n v="8.6800000000000002E-2"/>
    <n v="5579"/>
    <n v="0.17434374999999999"/>
    <s v="High CTR"/>
    <s v="High"/>
    <s v="Evening"/>
    <n v="3"/>
  </r>
  <r>
    <s v="376842b0-b7f9-4756-a1b0-de97587e1397"/>
    <s v="ac12d74b-30e0-4ba2-9dc4-e21e5f620c1e"/>
    <n v="3031"/>
    <n v="714"/>
    <n v="1834"/>
    <n v="42.25"/>
    <n v="79177"/>
    <n v="32000"/>
    <n v="8.68"/>
    <s v="Image"/>
    <x v="404"/>
    <d v="1899-12-30T17:08:23"/>
    <n v="0.42249999999999999"/>
    <n v="8.6800000000000002E-2"/>
    <n v="5579"/>
    <n v="0.17434374999999999"/>
    <s v="High CTR"/>
    <s v="High"/>
    <s v="Evening"/>
    <n v="3"/>
  </r>
  <r>
    <s v="c3ac5957-f972-42b5-b092-cb537e141357"/>
    <s v="fd9dfd20-707a-4eb0-8aa6-ef341e7b1395"/>
    <n v="713"/>
    <n v="1709"/>
    <n v="816"/>
    <n v="99.73"/>
    <n v="73765"/>
    <n v="81805"/>
    <n v="8.5399999999999991"/>
    <s v="Text"/>
    <x v="460"/>
    <d v="1899-12-30T20:57:56"/>
    <n v="0.99730000000000008"/>
    <n v="8.539999999999999E-2"/>
    <n v="3238"/>
    <n v="3.9581932644703867E-2"/>
    <s v="High CTR"/>
    <s v="High"/>
    <s v="Evening"/>
    <n v="3"/>
  </r>
  <r>
    <s v="c3ac5957-f972-42b5-b092-cb537e141357"/>
    <s v="fd9dfd20-707a-4eb0-8aa6-ef341e7b1395"/>
    <n v="713"/>
    <n v="1709"/>
    <n v="816"/>
    <n v="99.73"/>
    <n v="73765"/>
    <n v="81805"/>
    <n v="8.5399999999999991"/>
    <s v="Text"/>
    <x v="461"/>
    <d v="1899-12-30T20:57:56"/>
    <n v="0.99730000000000008"/>
    <n v="8.539999999999999E-2"/>
    <n v="3238"/>
    <n v="3.9581932644703867E-2"/>
    <s v="High CTR"/>
    <s v="High"/>
    <s v="Evening"/>
    <n v="3"/>
  </r>
  <r>
    <s v="c3ac5957-f972-42b5-b092-cb537e141357"/>
    <s v="fd9dfd20-707a-4eb0-8aa6-ef341e7b1395"/>
    <n v="713"/>
    <n v="1709"/>
    <n v="816"/>
    <n v="99.73"/>
    <n v="73765"/>
    <n v="81805"/>
    <n v="8.5399999999999991"/>
    <s v="Text"/>
    <x v="297"/>
    <d v="1899-12-30T20:57:56"/>
    <n v="0.99730000000000008"/>
    <n v="8.539999999999999E-2"/>
    <n v="3238"/>
    <n v="3.9581932644703867E-2"/>
    <s v="High CTR"/>
    <s v="High"/>
    <s v="Evening"/>
    <n v="3"/>
  </r>
  <r>
    <s v="db1a52f5-8bf6-4a29-a3be-18df354d1972"/>
    <s v="416b2547-89f8-4119-8677-9b7fd976cc7d"/>
    <n v="5580"/>
    <n v="2434"/>
    <n v="1633"/>
    <n v="17.760000000000002"/>
    <n v="29601"/>
    <n v="16291"/>
    <n v="3.84"/>
    <s v="Poll"/>
    <x v="462"/>
    <d v="1899-12-30T00:00:50"/>
    <n v="0.17760000000000001"/>
    <n v="3.8399999999999997E-2"/>
    <n v="9647"/>
    <n v="0.59216745442268737"/>
    <s v="High CTR"/>
    <s v="High"/>
    <s v="Morning"/>
    <n v="3"/>
  </r>
  <r>
    <s v="db1a52f5-8bf6-4a29-a3be-18df354d1972"/>
    <s v="416b2547-89f8-4119-8677-9b7fd976cc7d"/>
    <n v="5580"/>
    <n v="2434"/>
    <n v="1633"/>
    <n v="17.760000000000002"/>
    <n v="29601"/>
    <n v="16291"/>
    <n v="3.84"/>
    <s v="Poll"/>
    <x v="463"/>
    <d v="1899-12-30T00:00:50"/>
    <n v="0.17760000000000001"/>
    <n v="3.8399999999999997E-2"/>
    <n v="9647"/>
    <n v="0.59216745442268737"/>
    <s v="High CTR"/>
    <s v="High"/>
    <s v="Morning"/>
    <n v="3"/>
  </r>
  <r>
    <s v="db1a52f5-8bf6-4a29-a3be-18df354d1972"/>
    <s v="416b2547-89f8-4119-8677-9b7fd976cc7d"/>
    <n v="5580"/>
    <n v="2434"/>
    <n v="1633"/>
    <n v="17.760000000000002"/>
    <n v="29601"/>
    <n v="16291"/>
    <n v="3.84"/>
    <s v="Poll"/>
    <x v="263"/>
    <d v="1899-12-30T00:00:50"/>
    <n v="0.17760000000000001"/>
    <n v="3.8399999999999997E-2"/>
    <n v="9647"/>
    <n v="0.59216745442268737"/>
    <s v="High CTR"/>
    <s v="High"/>
    <s v="Morning"/>
    <n v="3"/>
  </r>
  <r>
    <s v="e38d60d7-8439-450d-ae43-1d9b7facb3fa"/>
    <s v="70105cd1-69fe-471e-a0ad-f7afc71d3529"/>
    <n v="4334"/>
    <n v="1014"/>
    <n v="276"/>
    <n v="86.63"/>
    <n v="70412"/>
    <n v="68601"/>
    <n v="3.38"/>
    <s v="Text"/>
    <x v="401"/>
    <d v="1899-12-30T12:33:27"/>
    <n v="0.86629999999999996"/>
    <n v="3.3799999999999997E-2"/>
    <n v="5624"/>
    <n v="8.1981312225769307E-2"/>
    <s v="High CTR"/>
    <s v="High"/>
    <s v="Afternoon"/>
    <n v="3"/>
  </r>
  <r>
    <s v="e38d60d7-8439-450d-ae43-1d9b7facb3fa"/>
    <s v="70105cd1-69fe-471e-a0ad-f7afc71d3529"/>
    <n v="4334"/>
    <n v="1014"/>
    <n v="276"/>
    <n v="86.63"/>
    <n v="70412"/>
    <n v="68601"/>
    <n v="3.38"/>
    <s v="Text"/>
    <x v="464"/>
    <d v="1899-12-30T12:33:27"/>
    <n v="0.86629999999999996"/>
    <n v="3.3799999999999997E-2"/>
    <n v="5624"/>
    <n v="8.1981312225769307E-2"/>
    <s v="High CTR"/>
    <s v="High"/>
    <s v="Afternoon"/>
    <n v="3"/>
  </r>
  <r>
    <s v="e38d60d7-8439-450d-ae43-1d9b7facb3fa"/>
    <s v="70105cd1-69fe-471e-a0ad-f7afc71d3529"/>
    <n v="4334"/>
    <n v="1014"/>
    <n v="276"/>
    <n v="86.63"/>
    <n v="70412"/>
    <n v="68601"/>
    <n v="3.38"/>
    <s v="Text"/>
    <x v="465"/>
    <d v="1899-12-30T12:33:27"/>
    <n v="0.86629999999999996"/>
    <n v="3.3799999999999997E-2"/>
    <n v="5624"/>
    <n v="8.1981312225769307E-2"/>
    <s v="High CTR"/>
    <s v="High"/>
    <s v="Afternoon"/>
    <n v="3"/>
  </r>
  <r>
    <s v="1e06ac56-a83c-4cce-a02f-0ff592d7d543"/>
    <s v="c7dd51ac-cbb7-41c1-9c15-2712f5601e20"/>
    <n v="7083"/>
    <n v="4530"/>
    <n v="313"/>
    <n v="56.79"/>
    <n v="68978"/>
    <n v="77089"/>
    <n v="7.09"/>
    <s v="Text"/>
    <x v="466"/>
    <d v="1899-12-30T04:45:27"/>
    <n v="0.56789999999999996"/>
    <n v="7.0900000000000005E-2"/>
    <n v="11926"/>
    <n v="0.15470430281881981"/>
    <s v="High CTR"/>
    <s v="High"/>
    <s v="Morning"/>
    <n v="3"/>
  </r>
  <r>
    <s v="1e06ac56-a83c-4cce-a02f-0ff592d7d543"/>
    <s v="c7dd51ac-cbb7-41c1-9c15-2712f5601e20"/>
    <n v="7083"/>
    <n v="4530"/>
    <n v="313"/>
    <n v="56.79"/>
    <n v="68978"/>
    <n v="77089"/>
    <n v="7.09"/>
    <s v="Text"/>
    <x v="467"/>
    <d v="1899-12-30T04:45:27"/>
    <n v="0.56789999999999996"/>
    <n v="7.0900000000000005E-2"/>
    <n v="11926"/>
    <n v="0.15470430281881981"/>
    <s v="High CTR"/>
    <s v="High"/>
    <s v="Morning"/>
    <n v="3"/>
  </r>
  <r>
    <s v="1e06ac56-a83c-4cce-a02f-0ff592d7d543"/>
    <s v="c7dd51ac-cbb7-41c1-9c15-2712f5601e20"/>
    <n v="7083"/>
    <n v="4530"/>
    <n v="313"/>
    <n v="56.79"/>
    <n v="68978"/>
    <n v="77089"/>
    <n v="7.09"/>
    <s v="Text"/>
    <x v="468"/>
    <d v="1899-12-30T04:45:27"/>
    <n v="0.56789999999999996"/>
    <n v="7.0900000000000005E-2"/>
    <n v="11926"/>
    <n v="0.15470430281881981"/>
    <s v="High CTR"/>
    <s v="High"/>
    <s v="Morning"/>
    <n v="3"/>
  </r>
  <r>
    <s v="9c206bd1-297f-4f9e-9875-5ea7aca33b44"/>
    <s v="ec12ab48-9c80-4057-a22b-39238b842356"/>
    <n v="3724"/>
    <n v="3964"/>
    <n v="940"/>
    <n v="94.15"/>
    <n v="53298"/>
    <n v="5335"/>
    <n v="3.23"/>
    <s v="Image"/>
    <x v="469"/>
    <d v="1899-12-30T20:21:51"/>
    <n v="0.9415"/>
    <n v="3.2300000000000002E-2"/>
    <n v="8628"/>
    <n v="1"/>
    <s v="High CTR"/>
    <s v="High"/>
    <s v="Evening"/>
    <n v="3"/>
  </r>
  <r>
    <s v="9c206bd1-297f-4f9e-9875-5ea7aca33b44"/>
    <s v="ec12ab48-9c80-4057-a22b-39238b842356"/>
    <n v="3724"/>
    <n v="3964"/>
    <n v="940"/>
    <n v="94.15"/>
    <n v="53298"/>
    <n v="5335"/>
    <n v="3.23"/>
    <s v="Image"/>
    <x v="470"/>
    <d v="1899-12-30T20:21:51"/>
    <n v="0.9415"/>
    <n v="3.2300000000000002E-2"/>
    <n v="8628"/>
    <n v="1"/>
    <s v="High CTR"/>
    <s v="High"/>
    <s v="Evening"/>
    <n v="3"/>
  </r>
  <r>
    <s v="9c206bd1-297f-4f9e-9875-5ea7aca33b44"/>
    <s v="ec12ab48-9c80-4057-a22b-39238b842356"/>
    <n v="3724"/>
    <n v="3964"/>
    <n v="940"/>
    <n v="94.15"/>
    <n v="53298"/>
    <n v="5335"/>
    <n v="3.23"/>
    <s v="Image"/>
    <x v="471"/>
    <d v="1899-12-30T20:21:51"/>
    <n v="0.9415"/>
    <n v="3.2300000000000002E-2"/>
    <n v="8628"/>
    <n v="1"/>
    <s v="High CTR"/>
    <s v="High"/>
    <s v="Evening"/>
    <n v="3"/>
  </r>
  <r>
    <s v="381a4be5-3df9-413a-aed7-8bc844cc9f6a"/>
    <s v="d80ffdb3-7967-49c0-8e32-1b645188d4c4"/>
    <n v="8882"/>
    <n v="4594"/>
    <n v="1049"/>
    <n v="79.66"/>
    <n v="21998"/>
    <n v="69725"/>
    <n v="2.0099999999999998"/>
    <s v="Poll"/>
    <x v="472"/>
    <d v="1899-12-30T19:37:03"/>
    <n v="0.79659999999999997"/>
    <n v="2.0099999999999996E-2"/>
    <n v="14525"/>
    <n v="0.20831839368949445"/>
    <s v="High CTR"/>
    <s v="High"/>
    <s v="Evening"/>
    <n v="3"/>
  </r>
  <r>
    <s v="381a4be5-3df9-413a-aed7-8bc844cc9f6a"/>
    <s v="d80ffdb3-7967-49c0-8e32-1b645188d4c4"/>
    <n v="8882"/>
    <n v="4594"/>
    <n v="1049"/>
    <n v="79.66"/>
    <n v="21998"/>
    <n v="69725"/>
    <n v="2.0099999999999998"/>
    <s v="Poll"/>
    <x v="473"/>
    <d v="1899-12-30T19:37:03"/>
    <n v="0.79659999999999997"/>
    <n v="2.0099999999999996E-2"/>
    <n v="14525"/>
    <n v="0.20831839368949445"/>
    <s v="High CTR"/>
    <s v="High"/>
    <s v="Evening"/>
    <n v="3"/>
  </r>
  <r>
    <s v="381a4be5-3df9-413a-aed7-8bc844cc9f6a"/>
    <s v="d80ffdb3-7967-49c0-8e32-1b645188d4c4"/>
    <n v="8882"/>
    <n v="4594"/>
    <n v="1049"/>
    <n v="79.66"/>
    <n v="21998"/>
    <n v="69725"/>
    <n v="2.0099999999999998"/>
    <s v="Poll"/>
    <x v="474"/>
    <d v="1899-12-30T19:37:03"/>
    <n v="0.79659999999999997"/>
    <n v="2.0099999999999996E-2"/>
    <n v="14525"/>
    <n v="0.20831839368949445"/>
    <s v="High CTR"/>
    <s v="High"/>
    <s v="Evening"/>
    <n v="3"/>
  </r>
  <r>
    <s v="d518727e-2952-4349-ae6e-86d028773e30"/>
    <s v="c52f51d1-067b-4b94-b6e9-beea97e9380c"/>
    <n v="894"/>
    <n v="963"/>
    <n v="1225"/>
    <n v="65.010000000000005"/>
    <n v="79522"/>
    <n v="13447"/>
    <n v="6.86"/>
    <s v="Video"/>
    <x v="475"/>
    <d v="1899-12-30T12:20:32"/>
    <n v="0.65010000000000001"/>
    <n v="6.8600000000000008E-2"/>
    <n v="3082"/>
    <n v="0.22919610322004907"/>
    <s v="High CTR"/>
    <s v="High"/>
    <s v="Afternoon"/>
    <n v="3"/>
  </r>
  <r>
    <s v="d518727e-2952-4349-ae6e-86d028773e30"/>
    <s v="c52f51d1-067b-4b94-b6e9-beea97e9380c"/>
    <n v="894"/>
    <n v="963"/>
    <n v="1225"/>
    <n v="65.010000000000005"/>
    <n v="79522"/>
    <n v="13447"/>
    <n v="6.86"/>
    <s v="Video"/>
    <x v="221"/>
    <d v="1899-12-30T12:20:32"/>
    <n v="0.65010000000000001"/>
    <n v="6.8600000000000008E-2"/>
    <n v="3082"/>
    <n v="0.22919610322004907"/>
    <s v="High CTR"/>
    <s v="High"/>
    <s v="Afternoon"/>
    <n v="3"/>
  </r>
  <r>
    <s v="d518727e-2952-4349-ae6e-86d028773e30"/>
    <s v="c52f51d1-067b-4b94-b6e9-beea97e9380c"/>
    <n v="894"/>
    <n v="963"/>
    <n v="1225"/>
    <n v="65.010000000000005"/>
    <n v="79522"/>
    <n v="13447"/>
    <n v="6.86"/>
    <s v="Video"/>
    <x v="476"/>
    <d v="1899-12-30T12:20:32"/>
    <n v="0.65010000000000001"/>
    <n v="6.8600000000000008E-2"/>
    <n v="3082"/>
    <n v="0.22919610322004907"/>
    <s v="High CTR"/>
    <s v="High"/>
    <s v="Afternoon"/>
    <n v="3"/>
  </r>
  <r>
    <s v="58abc8be-60de-4802-b9a4-7b733e64b51a"/>
    <s v="b42520f3-df7a-4c43-b0e9-23295eaffa2e"/>
    <n v="8894"/>
    <n v="575"/>
    <n v="1166"/>
    <n v="5.15"/>
    <n v="88909"/>
    <n v="719"/>
    <n v="7.17"/>
    <s v="Poll"/>
    <x v="477"/>
    <d v="1899-12-30T02:17:09"/>
    <n v="5.1500000000000004E-2"/>
    <n v="7.17E-2"/>
    <n v="10635"/>
    <n v="1"/>
    <s v="High CTR"/>
    <s v="High"/>
    <s v="Morning"/>
    <n v="3"/>
  </r>
  <r>
    <s v="58abc8be-60de-4802-b9a4-7b733e64b51a"/>
    <s v="b42520f3-df7a-4c43-b0e9-23295eaffa2e"/>
    <n v="8894"/>
    <n v="575"/>
    <n v="1166"/>
    <n v="5.15"/>
    <n v="88909"/>
    <n v="719"/>
    <n v="7.17"/>
    <s v="Poll"/>
    <x v="478"/>
    <d v="1899-12-30T02:17:09"/>
    <n v="5.1500000000000004E-2"/>
    <n v="7.17E-2"/>
    <n v="10635"/>
    <n v="1"/>
    <s v="High CTR"/>
    <s v="High"/>
    <s v="Morning"/>
    <n v="3"/>
  </r>
  <r>
    <s v="58abc8be-60de-4802-b9a4-7b733e64b51a"/>
    <s v="b42520f3-df7a-4c43-b0e9-23295eaffa2e"/>
    <n v="8894"/>
    <n v="575"/>
    <n v="1166"/>
    <n v="5.15"/>
    <n v="88909"/>
    <n v="719"/>
    <n v="7.17"/>
    <s v="Poll"/>
    <x v="14"/>
    <d v="1899-12-30T02:17:09"/>
    <n v="5.1500000000000004E-2"/>
    <n v="7.17E-2"/>
    <n v="10635"/>
    <n v="1"/>
    <s v="High CTR"/>
    <s v="High"/>
    <s v="Morning"/>
    <n v="3"/>
  </r>
  <r>
    <s v="16c57c0d-10b1-4699-9709-1a42b652577b"/>
    <s v="13e8b911-e8fe-4693-bb68-186c4de29fd8"/>
    <n v="1352"/>
    <n v="8"/>
    <n v="410"/>
    <n v="60.66"/>
    <n v="95191"/>
    <n v="78060"/>
    <n v="1.31"/>
    <s v="Video"/>
    <x v="231"/>
    <d v="1899-12-30T07:14:21"/>
    <n v="0.60659999999999992"/>
    <n v="1.3100000000000001E-2"/>
    <n v="1770"/>
    <n v="2.2674865488086088E-2"/>
    <s v="High CTR"/>
    <s v="High"/>
    <s v="Morning"/>
    <n v="3"/>
  </r>
  <r>
    <s v="16c57c0d-10b1-4699-9709-1a42b652577b"/>
    <s v="13e8b911-e8fe-4693-bb68-186c4de29fd8"/>
    <n v="1352"/>
    <n v="8"/>
    <n v="410"/>
    <n v="60.66"/>
    <n v="95191"/>
    <n v="78060"/>
    <n v="1.31"/>
    <s v="Video"/>
    <x v="256"/>
    <d v="1899-12-30T07:14:21"/>
    <n v="0.60659999999999992"/>
    <n v="1.3100000000000001E-2"/>
    <n v="1770"/>
    <n v="2.2674865488086088E-2"/>
    <s v="High CTR"/>
    <s v="High"/>
    <s v="Morning"/>
    <n v="3"/>
  </r>
  <r>
    <s v="16c57c0d-10b1-4699-9709-1a42b652577b"/>
    <s v="13e8b911-e8fe-4693-bb68-186c4de29fd8"/>
    <n v="1352"/>
    <n v="8"/>
    <n v="410"/>
    <n v="60.66"/>
    <n v="95191"/>
    <n v="78060"/>
    <n v="1.31"/>
    <s v="Video"/>
    <x v="479"/>
    <d v="1899-12-30T07:14:21"/>
    <n v="0.60659999999999992"/>
    <n v="1.3100000000000001E-2"/>
    <n v="1770"/>
    <n v="2.2674865488086088E-2"/>
    <s v="High CTR"/>
    <s v="High"/>
    <s v="Morning"/>
    <n v="3"/>
  </r>
  <r>
    <s v="18f6d122-40db-4f24-8941-e52960d94714"/>
    <s v="bfda55ec-24f8-4384-94c4-805a402c8bf9"/>
    <n v="9901"/>
    <n v="1722"/>
    <n v="555"/>
    <n v="0.44"/>
    <n v="34645"/>
    <n v="89666"/>
    <n v="4.3099999999999996"/>
    <s v="Text"/>
    <x v="281"/>
    <d v="1899-12-30T03:43:35"/>
    <n v="4.4000000000000003E-3"/>
    <n v="4.3099999999999999E-2"/>
    <n v="12178"/>
    <n v="0.13581513617201615"/>
    <s v="High CTR"/>
    <s v="High"/>
    <s v="Morning"/>
    <n v="3"/>
  </r>
  <r>
    <s v="18f6d122-40db-4f24-8941-e52960d94714"/>
    <s v="bfda55ec-24f8-4384-94c4-805a402c8bf9"/>
    <n v="9901"/>
    <n v="1722"/>
    <n v="555"/>
    <n v="0.44"/>
    <n v="34645"/>
    <n v="89666"/>
    <n v="4.3099999999999996"/>
    <s v="Text"/>
    <x v="480"/>
    <d v="1899-12-30T03:43:35"/>
    <n v="4.4000000000000003E-3"/>
    <n v="4.3099999999999999E-2"/>
    <n v="12178"/>
    <n v="0.13581513617201615"/>
    <s v="High CTR"/>
    <s v="High"/>
    <s v="Morning"/>
    <n v="3"/>
  </r>
  <r>
    <s v="18f6d122-40db-4f24-8941-e52960d94714"/>
    <s v="bfda55ec-24f8-4384-94c4-805a402c8bf9"/>
    <n v="9901"/>
    <n v="1722"/>
    <n v="555"/>
    <n v="0.44"/>
    <n v="34645"/>
    <n v="89666"/>
    <n v="4.3099999999999996"/>
    <s v="Text"/>
    <x v="481"/>
    <d v="1899-12-30T03:43:35"/>
    <n v="4.4000000000000003E-3"/>
    <n v="4.3099999999999999E-2"/>
    <n v="12178"/>
    <n v="0.13581513617201615"/>
    <s v="High CTR"/>
    <s v="High"/>
    <s v="Morning"/>
    <n v="3"/>
  </r>
  <r>
    <s v="b7ee8462-8b49-4c43-b63d-71f77ec607d3"/>
    <s v="29d3466b-3727-46fa-825e-3ba36d9d625b"/>
    <n v="4697"/>
    <n v="3189"/>
    <n v="1140"/>
    <n v="69.930000000000007"/>
    <n v="30907"/>
    <n v="12838"/>
    <n v="0.46"/>
    <s v="Poll"/>
    <x v="482"/>
    <d v="1899-12-30T22:07:23"/>
    <n v="0.69930000000000003"/>
    <n v="4.5999999999999999E-3"/>
    <n v="9026"/>
    <n v="0.70306901386508802"/>
    <s v="High CTR"/>
    <s v="High"/>
    <s v="Night"/>
    <n v="3"/>
  </r>
  <r>
    <s v="b7ee8462-8b49-4c43-b63d-71f77ec607d3"/>
    <s v="29d3466b-3727-46fa-825e-3ba36d9d625b"/>
    <n v="4697"/>
    <n v="3189"/>
    <n v="1140"/>
    <n v="69.930000000000007"/>
    <n v="30907"/>
    <n v="12838"/>
    <n v="0.46"/>
    <s v="Poll"/>
    <x v="483"/>
    <d v="1899-12-30T22:07:23"/>
    <n v="0.69930000000000003"/>
    <n v="4.5999999999999999E-3"/>
    <n v="9026"/>
    <n v="0.70306901386508802"/>
    <s v="High CTR"/>
    <s v="High"/>
    <s v="Night"/>
    <n v="3"/>
  </r>
  <r>
    <s v="b7ee8462-8b49-4c43-b63d-71f77ec607d3"/>
    <s v="29d3466b-3727-46fa-825e-3ba36d9d625b"/>
    <n v="4697"/>
    <n v="3189"/>
    <n v="1140"/>
    <n v="69.930000000000007"/>
    <n v="30907"/>
    <n v="12838"/>
    <n v="0.46"/>
    <s v="Poll"/>
    <x v="105"/>
    <d v="1899-12-30T22:07:23"/>
    <n v="0.69930000000000003"/>
    <n v="4.5999999999999999E-3"/>
    <n v="9026"/>
    <n v="0.70306901386508802"/>
    <s v="High CTR"/>
    <s v="High"/>
    <s v="Night"/>
    <n v="3"/>
  </r>
  <r>
    <s v="96645eac-866e-4e50-8e4a-c7375baa2a21"/>
    <s v="50a9e322-279d-4318-a4dd-dbe247c7b44d"/>
    <n v="6673"/>
    <n v="404"/>
    <n v="514"/>
    <n v="99.01"/>
    <n v="74337"/>
    <n v="973"/>
    <n v="5.47"/>
    <s v="Text"/>
    <x v="259"/>
    <d v="1899-12-30T18:49:58"/>
    <n v="0.99010000000000009"/>
    <n v="5.4699999999999999E-2"/>
    <n v="7591"/>
    <n v="1"/>
    <s v="High CTR"/>
    <s v="High"/>
    <s v="Evening"/>
    <n v="3"/>
  </r>
  <r>
    <s v="96645eac-866e-4e50-8e4a-c7375baa2a21"/>
    <s v="50a9e322-279d-4318-a4dd-dbe247c7b44d"/>
    <n v="6673"/>
    <n v="404"/>
    <n v="514"/>
    <n v="99.01"/>
    <n v="74337"/>
    <n v="973"/>
    <n v="5.47"/>
    <s v="Text"/>
    <x v="238"/>
    <d v="1899-12-30T18:49:58"/>
    <n v="0.99010000000000009"/>
    <n v="5.4699999999999999E-2"/>
    <n v="7591"/>
    <n v="1"/>
    <s v="High CTR"/>
    <s v="High"/>
    <s v="Evening"/>
    <n v="3"/>
  </r>
  <r>
    <s v="96645eac-866e-4e50-8e4a-c7375baa2a21"/>
    <s v="50a9e322-279d-4318-a4dd-dbe247c7b44d"/>
    <n v="6673"/>
    <n v="404"/>
    <n v="514"/>
    <n v="99.01"/>
    <n v="74337"/>
    <n v="973"/>
    <n v="5.47"/>
    <s v="Text"/>
    <x v="484"/>
    <d v="1899-12-30T18:49:58"/>
    <n v="0.99010000000000009"/>
    <n v="5.4699999999999999E-2"/>
    <n v="7591"/>
    <n v="1"/>
    <s v="High CTR"/>
    <s v="High"/>
    <s v="Evening"/>
    <n v="3"/>
  </r>
  <r>
    <s v="08cac43c-76f7-4da5-87e4-ceca3da74ae3"/>
    <s v="74ae7313-1ab5-4c3d-8a0c-10e3e532eb33"/>
    <n v="3574"/>
    <n v="3588"/>
    <n v="715"/>
    <n v="6.28"/>
    <n v="21709"/>
    <n v="31635"/>
    <n v="9.23"/>
    <s v="Video"/>
    <x v="450"/>
    <d v="1899-12-30T12:11:34"/>
    <n v="6.2800000000000009E-2"/>
    <n v="9.2300000000000007E-2"/>
    <n v="7877"/>
    <n v="0.24899636478583848"/>
    <s v="High CTR"/>
    <s v="High"/>
    <s v="Afternoon"/>
    <n v="3"/>
  </r>
  <r>
    <s v="08cac43c-76f7-4da5-87e4-ceca3da74ae3"/>
    <s v="74ae7313-1ab5-4c3d-8a0c-10e3e532eb33"/>
    <n v="3574"/>
    <n v="3588"/>
    <n v="715"/>
    <n v="6.28"/>
    <n v="21709"/>
    <n v="31635"/>
    <n v="9.23"/>
    <s v="Video"/>
    <x v="485"/>
    <d v="1899-12-30T12:11:34"/>
    <n v="6.2800000000000009E-2"/>
    <n v="9.2300000000000007E-2"/>
    <n v="7877"/>
    <n v="0.24899636478583848"/>
    <s v="High CTR"/>
    <s v="High"/>
    <s v="Afternoon"/>
    <n v="3"/>
  </r>
  <r>
    <s v="08cac43c-76f7-4da5-87e4-ceca3da74ae3"/>
    <s v="74ae7313-1ab5-4c3d-8a0c-10e3e532eb33"/>
    <n v="3574"/>
    <n v="3588"/>
    <n v="715"/>
    <n v="6.28"/>
    <n v="21709"/>
    <n v="31635"/>
    <n v="9.23"/>
    <s v="Video"/>
    <x v="486"/>
    <d v="1899-12-30T12:11:34"/>
    <n v="6.2800000000000009E-2"/>
    <n v="9.2300000000000007E-2"/>
    <n v="7877"/>
    <n v="0.24899636478583848"/>
    <s v="High CTR"/>
    <s v="High"/>
    <s v="Afternoon"/>
    <n v="3"/>
  </r>
  <r>
    <s v="feab625f-51ff-4fd6-b32d-cd328c6e4035"/>
    <s v="a4034789-9583-46af-b20b-ab62ba5768bc"/>
    <n v="9012"/>
    <n v="3592"/>
    <n v="876"/>
    <n v="20.74"/>
    <n v="46898"/>
    <n v="35538"/>
    <n v="1.1599999999999999"/>
    <s v="Video"/>
    <x v="443"/>
    <d v="1899-12-30T07:15:14"/>
    <n v="0.20739999999999997"/>
    <n v="1.1599999999999999E-2"/>
    <n v="13480"/>
    <n v="0.37931228544093648"/>
    <s v="High CTR"/>
    <s v="High"/>
    <s v="Morning"/>
    <n v="3"/>
  </r>
  <r>
    <s v="feab625f-51ff-4fd6-b32d-cd328c6e4035"/>
    <s v="a4034789-9583-46af-b20b-ab62ba5768bc"/>
    <n v="9012"/>
    <n v="3592"/>
    <n v="876"/>
    <n v="20.74"/>
    <n v="46898"/>
    <n v="35538"/>
    <n v="1.1599999999999999"/>
    <s v="Video"/>
    <x v="356"/>
    <d v="1899-12-30T07:15:14"/>
    <n v="0.20739999999999997"/>
    <n v="1.1599999999999999E-2"/>
    <n v="13480"/>
    <n v="0.37931228544093648"/>
    <s v="High CTR"/>
    <s v="High"/>
    <s v="Morning"/>
    <n v="3"/>
  </r>
  <r>
    <s v="feab625f-51ff-4fd6-b32d-cd328c6e4035"/>
    <s v="a4034789-9583-46af-b20b-ab62ba5768bc"/>
    <n v="9012"/>
    <n v="3592"/>
    <n v="876"/>
    <n v="20.74"/>
    <n v="46898"/>
    <n v="35538"/>
    <n v="1.1599999999999999"/>
    <s v="Video"/>
    <x v="81"/>
    <d v="1899-12-30T07:15:14"/>
    <n v="0.20739999999999997"/>
    <n v="1.1599999999999999E-2"/>
    <n v="13480"/>
    <n v="0.37931228544093648"/>
    <s v="High CTR"/>
    <s v="High"/>
    <s v="Morning"/>
    <n v="3"/>
  </r>
  <r>
    <s v="aa82fe0c-dc73-4c00-bbf8-9e1da96a981c"/>
    <s v="29a3df4c-63e8-4acc-804b-40fa4a8a4711"/>
    <n v="7048"/>
    <n v="4924"/>
    <n v="1296"/>
    <n v="13.76"/>
    <n v="34700"/>
    <n v="38502"/>
    <n v="6.98"/>
    <s v="Poll"/>
    <x v="438"/>
    <d v="1899-12-30T19:44:45"/>
    <n v="0.1376"/>
    <n v="6.9800000000000001E-2"/>
    <n v="13268"/>
    <n v="0.34460547504025762"/>
    <s v="High CTR"/>
    <s v="High"/>
    <s v="Evening"/>
    <n v="3"/>
  </r>
  <r>
    <s v="aa82fe0c-dc73-4c00-bbf8-9e1da96a981c"/>
    <s v="29a3df4c-63e8-4acc-804b-40fa4a8a4711"/>
    <n v="7048"/>
    <n v="4924"/>
    <n v="1296"/>
    <n v="13.76"/>
    <n v="34700"/>
    <n v="38502"/>
    <n v="6.98"/>
    <s v="Poll"/>
    <x v="487"/>
    <d v="1899-12-30T19:44:45"/>
    <n v="0.1376"/>
    <n v="6.9800000000000001E-2"/>
    <n v="13268"/>
    <n v="0.34460547504025762"/>
    <s v="High CTR"/>
    <s v="High"/>
    <s v="Evening"/>
    <n v="3"/>
  </r>
  <r>
    <s v="aa82fe0c-dc73-4c00-bbf8-9e1da96a981c"/>
    <s v="29a3df4c-63e8-4acc-804b-40fa4a8a4711"/>
    <n v="7048"/>
    <n v="4924"/>
    <n v="1296"/>
    <n v="13.76"/>
    <n v="34700"/>
    <n v="38502"/>
    <n v="6.98"/>
    <s v="Poll"/>
    <x v="488"/>
    <d v="1899-12-30T19:44:45"/>
    <n v="0.1376"/>
    <n v="6.9800000000000001E-2"/>
    <n v="13268"/>
    <n v="0.34460547504025762"/>
    <s v="High CTR"/>
    <s v="High"/>
    <s v="Evening"/>
    <n v="3"/>
  </r>
  <r>
    <s v="c9f01437-02e2-4409-b3fb-cdcb18f72b25"/>
    <s v="53121224-8d66-483f-9321-f91c48c04a48"/>
    <n v="2700"/>
    <n v="1444"/>
    <n v="347"/>
    <n v="53.85"/>
    <n v="88774"/>
    <n v="59000"/>
    <n v="1.91"/>
    <s v="Video"/>
    <x v="238"/>
    <d v="1899-12-30T08:34:20"/>
    <n v="0.53849999999999998"/>
    <n v="1.9099999999999999E-2"/>
    <n v="4491"/>
    <n v="7.6118644067796615E-2"/>
    <s v="High CTR"/>
    <s v="High"/>
    <s v="Morning"/>
    <n v="3"/>
  </r>
  <r>
    <s v="c9f01437-02e2-4409-b3fb-cdcb18f72b25"/>
    <s v="53121224-8d66-483f-9321-f91c48c04a48"/>
    <n v="2700"/>
    <n v="1444"/>
    <n v="347"/>
    <n v="53.85"/>
    <n v="88774"/>
    <n v="59000"/>
    <n v="1.91"/>
    <s v="Video"/>
    <x v="178"/>
    <d v="1899-12-30T08:34:20"/>
    <n v="0.53849999999999998"/>
    <n v="1.9099999999999999E-2"/>
    <n v="4491"/>
    <n v="7.6118644067796615E-2"/>
    <s v="High CTR"/>
    <s v="High"/>
    <s v="Morning"/>
    <n v="3"/>
  </r>
  <r>
    <s v="c9f01437-02e2-4409-b3fb-cdcb18f72b25"/>
    <s v="53121224-8d66-483f-9321-f91c48c04a48"/>
    <n v="2700"/>
    <n v="1444"/>
    <n v="347"/>
    <n v="53.85"/>
    <n v="88774"/>
    <n v="59000"/>
    <n v="1.91"/>
    <s v="Video"/>
    <x v="489"/>
    <d v="1899-12-30T08:34:20"/>
    <n v="0.53849999999999998"/>
    <n v="1.9099999999999999E-2"/>
    <n v="4491"/>
    <n v="7.6118644067796615E-2"/>
    <s v="High CTR"/>
    <s v="High"/>
    <s v="Morning"/>
    <n v="3"/>
  </r>
  <r>
    <s v="2d40d0bc-b066-4647-a782-b452e3562247"/>
    <s v="8a109bb5-6ce3-4824-a8e4-692cbed9be2d"/>
    <n v="6749"/>
    <n v="1429"/>
    <n v="1093"/>
    <n v="25.82"/>
    <n v="66350"/>
    <n v="2271"/>
    <n v="9.67"/>
    <s v="Image"/>
    <x v="271"/>
    <d v="1899-12-30T01:30:31"/>
    <n v="0.25819999999999999"/>
    <n v="9.6699999999999994E-2"/>
    <n v="9271"/>
    <n v="1"/>
    <s v="High CTR"/>
    <s v="High"/>
    <s v="Morning"/>
    <n v="3"/>
  </r>
  <r>
    <s v="2d40d0bc-b066-4647-a782-b452e3562247"/>
    <s v="8a109bb5-6ce3-4824-a8e4-692cbed9be2d"/>
    <n v="6749"/>
    <n v="1429"/>
    <n v="1093"/>
    <n v="25.82"/>
    <n v="66350"/>
    <n v="2271"/>
    <n v="9.67"/>
    <s v="Image"/>
    <x v="214"/>
    <d v="1899-12-30T01:30:31"/>
    <n v="0.25819999999999999"/>
    <n v="9.6699999999999994E-2"/>
    <n v="9271"/>
    <n v="1"/>
    <s v="High CTR"/>
    <s v="High"/>
    <s v="Morning"/>
    <n v="3"/>
  </r>
  <r>
    <s v="2d40d0bc-b066-4647-a782-b452e3562247"/>
    <s v="8a109bb5-6ce3-4824-a8e4-692cbed9be2d"/>
    <n v="6749"/>
    <n v="1429"/>
    <n v="1093"/>
    <n v="25.82"/>
    <n v="66350"/>
    <n v="2271"/>
    <n v="9.67"/>
    <s v="Image"/>
    <x v="296"/>
    <d v="1899-12-30T01:30:31"/>
    <n v="0.25819999999999999"/>
    <n v="9.6699999999999994E-2"/>
    <n v="9271"/>
    <n v="1"/>
    <s v="High CTR"/>
    <s v="High"/>
    <s v="Morning"/>
    <n v="3"/>
  </r>
  <r>
    <s v="d1d09bcf-4d79-4366-b908-e29dc7a915f0"/>
    <s v="dd9160cb-c50a-4afa-8316-25a82f879342"/>
    <n v="7232"/>
    <n v="1691"/>
    <n v="1876"/>
    <n v="88.67"/>
    <n v="81572"/>
    <n v="81800"/>
    <n v="6.04"/>
    <s v="Video"/>
    <x v="490"/>
    <d v="1899-12-30T18:05:57"/>
    <n v="0.88670000000000004"/>
    <n v="6.0400000000000002E-2"/>
    <n v="10799"/>
    <n v="0.13201711491442542"/>
    <s v="High CTR"/>
    <s v="High"/>
    <s v="Evening"/>
    <n v="3"/>
  </r>
  <r>
    <s v="d1d09bcf-4d79-4366-b908-e29dc7a915f0"/>
    <s v="dd9160cb-c50a-4afa-8316-25a82f879342"/>
    <n v="7232"/>
    <n v="1691"/>
    <n v="1876"/>
    <n v="88.67"/>
    <n v="81572"/>
    <n v="81800"/>
    <n v="6.04"/>
    <s v="Video"/>
    <x v="491"/>
    <d v="1899-12-30T18:05:57"/>
    <n v="0.88670000000000004"/>
    <n v="6.0400000000000002E-2"/>
    <n v="10799"/>
    <n v="0.13201711491442542"/>
    <s v="High CTR"/>
    <s v="High"/>
    <s v="Evening"/>
    <n v="3"/>
  </r>
  <r>
    <s v="d1d09bcf-4d79-4366-b908-e29dc7a915f0"/>
    <s v="dd9160cb-c50a-4afa-8316-25a82f879342"/>
    <n v="7232"/>
    <n v="1691"/>
    <n v="1876"/>
    <n v="88.67"/>
    <n v="81572"/>
    <n v="81800"/>
    <n v="6.04"/>
    <s v="Video"/>
    <x v="364"/>
    <d v="1899-12-30T18:05:57"/>
    <n v="0.88670000000000004"/>
    <n v="6.0400000000000002E-2"/>
    <n v="10799"/>
    <n v="0.13201711491442542"/>
    <s v="High CTR"/>
    <s v="High"/>
    <s v="Evening"/>
    <n v="3"/>
  </r>
  <r>
    <s v="1b67ff3d-aaa2-447a-a0a2-4396c4bcd893"/>
    <s v="61b9b507-ac13-4b5e-a192-4dabbf3309a3"/>
    <n v="2860"/>
    <n v="700"/>
    <n v="1114"/>
    <n v="1.1499999999999999"/>
    <n v="31226"/>
    <n v="26227"/>
    <n v="2.5299999999999998"/>
    <s v="Video"/>
    <x v="492"/>
    <d v="1899-12-30T15:39:21"/>
    <n v="1.15E-2"/>
    <n v="2.53E-2"/>
    <n v="4674"/>
    <n v="0.17821329164601366"/>
    <s v="High CTR"/>
    <s v="High"/>
    <s v="Afternoon"/>
    <n v="3"/>
  </r>
  <r>
    <s v="1b67ff3d-aaa2-447a-a0a2-4396c4bcd893"/>
    <s v="61b9b507-ac13-4b5e-a192-4dabbf3309a3"/>
    <n v="2860"/>
    <n v="700"/>
    <n v="1114"/>
    <n v="1.1499999999999999"/>
    <n v="31226"/>
    <n v="26227"/>
    <n v="2.5299999999999998"/>
    <s v="Video"/>
    <x v="493"/>
    <d v="1899-12-30T15:39:21"/>
    <n v="1.15E-2"/>
    <n v="2.53E-2"/>
    <n v="4674"/>
    <n v="0.17821329164601366"/>
    <s v="High CTR"/>
    <s v="High"/>
    <s v="Afternoon"/>
    <n v="3"/>
  </r>
  <r>
    <s v="1b67ff3d-aaa2-447a-a0a2-4396c4bcd893"/>
    <s v="61b9b507-ac13-4b5e-a192-4dabbf3309a3"/>
    <n v="2860"/>
    <n v="700"/>
    <n v="1114"/>
    <n v="1.1499999999999999"/>
    <n v="31226"/>
    <n v="26227"/>
    <n v="2.5299999999999998"/>
    <s v="Video"/>
    <x v="273"/>
    <d v="1899-12-30T15:39:21"/>
    <n v="1.15E-2"/>
    <n v="2.53E-2"/>
    <n v="4674"/>
    <n v="0.17821329164601366"/>
    <s v="High CTR"/>
    <s v="High"/>
    <s v="Afternoon"/>
    <n v="3"/>
  </r>
  <r>
    <s v="49ffc989-daa3-4ca8-ae2d-68cdd2c7609b"/>
    <s v="933bfc79-a663-43d5-ab37-1d708560627a"/>
    <n v="5003"/>
    <n v="4755"/>
    <n v="446"/>
    <n v="3.17"/>
    <n v="36833"/>
    <n v="32161"/>
    <n v="5.51"/>
    <s v="Image"/>
    <x v="56"/>
    <d v="1899-12-30T11:18:08"/>
    <n v="3.1699999999999999E-2"/>
    <n v="5.5099999999999996E-2"/>
    <n v="10204"/>
    <n v="0.31727869158297317"/>
    <s v="High CTR"/>
    <s v="High"/>
    <s v="Morning"/>
    <n v="3"/>
  </r>
  <r>
    <s v="49ffc989-daa3-4ca8-ae2d-68cdd2c7609b"/>
    <s v="933bfc79-a663-43d5-ab37-1d708560627a"/>
    <n v="5003"/>
    <n v="4755"/>
    <n v="446"/>
    <n v="3.17"/>
    <n v="36833"/>
    <n v="32161"/>
    <n v="5.51"/>
    <s v="Image"/>
    <x v="292"/>
    <d v="1899-12-30T11:18:08"/>
    <n v="3.1699999999999999E-2"/>
    <n v="5.5099999999999996E-2"/>
    <n v="10204"/>
    <n v="0.31727869158297317"/>
    <s v="High CTR"/>
    <s v="High"/>
    <s v="Morning"/>
    <n v="3"/>
  </r>
  <r>
    <s v="49ffc989-daa3-4ca8-ae2d-68cdd2c7609b"/>
    <s v="933bfc79-a663-43d5-ab37-1d708560627a"/>
    <n v="5003"/>
    <n v="4755"/>
    <n v="446"/>
    <n v="3.17"/>
    <n v="36833"/>
    <n v="32161"/>
    <n v="5.51"/>
    <s v="Image"/>
    <x v="101"/>
    <d v="1899-12-30T11:18:08"/>
    <n v="3.1699999999999999E-2"/>
    <n v="5.5099999999999996E-2"/>
    <n v="10204"/>
    <n v="0.31727869158297317"/>
    <s v="High CTR"/>
    <s v="High"/>
    <s v="Morning"/>
    <n v="3"/>
  </r>
  <r>
    <s v="dc3400bb-81d6-42ec-8f7d-79169ad5b8c0"/>
    <s v="2acbd990-6161-489d-aed5-ff325ad21ba4"/>
    <n v="3009"/>
    <n v="3101"/>
    <n v="1638"/>
    <n v="18.920000000000002"/>
    <n v="33748"/>
    <n v="1091"/>
    <n v="3.57"/>
    <s v="Image"/>
    <x v="281"/>
    <d v="1899-12-30T14:57:35"/>
    <n v="0.18920000000000001"/>
    <n v="3.5699999999999996E-2"/>
    <n v="7748"/>
    <n v="1"/>
    <s v="High CTR"/>
    <s v="High"/>
    <s v="Afternoon"/>
    <n v="3"/>
  </r>
  <r>
    <s v="dc3400bb-81d6-42ec-8f7d-79169ad5b8c0"/>
    <s v="2acbd990-6161-489d-aed5-ff325ad21ba4"/>
    <n v="3009"/>
    <n v="3101"/>
    <n v="1638"/>
    <n v="18.920000000000002"/>
    <n v="33748"/>
    <n v="1091"/>
    <n v="3.57"/>
    <s v="Image"/>
    <x v="346"/>
    <d v="1899-12-30T14:57:35"/>
    <n v="0.18920000000000001"/>
    <n v="3.5699999999999996E-2"/>
    <n v="7748"/>
    <n v="1"/>
    <s v="High CTR"/>
    <s v="High"/>
    <s v="Afternoon"/>
    <n v="3"/>
  </r>
  <r>
    <s v="dc3400bb-81d6-42ec-8f7d-79169ad5b8c0"/>
    <s v="2acbd990-6161-489d-aed5-ff325ad21ba4"/>
    <n v="3009"/>
    <n v="3101"/>
    <n v="1638"/>
    <n v="18.920000000000002"/>
    <n v="33748"/>
    <n v="1091"/>
    <n v="3.57"/>
    <s v="Image"/>
    <x v="494"/>
    <d v="1899-12-30T14:57:35"/>
    <n v="0.18920000000000001"/>
    <n v="3.5699999999999996E-2"/>
    <n v="7748"/>
    <n v="1"/>
    <s v="High CTR"/>
    <s v="High"/>
    <s v="Afternoon"/>
    <n v="3"/>
  </r>
  <r>
    <s v="bcad8789-fd40-48af-bb23-b921d84c1f7a"/>
    <s v="7a5e37c8-87d7-4c1b-bb16-0866096616cd"/>
    <n v="9440"/>
    <n v="4079"/>
    <n v="1682"/>
    <n v="30.89"/>
    <n v="96131"/>
    <n v="51206"/>
    <n v="1.01"/>
    <s v="Text"/>
    <x v="495"/>
    <d v="1899-12-30T14:01:19"/>
    <n v="0.30890000000000001"/>
    <n v="1.01E-2"/>
    <n v="15201"/>
    <n v="0.2968597429988673"/>
    <s v="High CTR"/>
    <s v="High"/>
    <s v="Afternoon"/>
    <n v="3"/>
  </r>
  <r>
    <s v="bcad8789-fd40-48af-bb23-b921d84c1f7a"/>
    <s v="7a5e37c8-87d7-4c1b-bb16-0866096616cd"/>
    <n v="9440"/>
    <n v="4079"/>
    <n v="1682"/>
    <n v="30.89"/>
    <n v="96131"/>
    <n v="51206"/>
    <n v="1.01"/>
    <s v="Text"/>
    <x v="391"/>
    <d v="1899-12-30T14:01:19"/>
    <n v="0.30890000000000001"/>
    <n v="1.01E-2"/>
    <n v="15201"/>
    <n v="0.2968597429988673"/>
    <s v="High CTR"/>
    <s v="High"/>
    <s v="Afternoon"/>
    <n v="3"/>
  </r>
  <r>
    <s v="bcad8789-fd40-48af-bb23-b921d84c1f7a"/>
    <s v="7a5e37c8-87d7-4c1b-bb16-0866096616cd"/>
    <n v="9440"/>
    <n v="4079"/>
    <n v="1682"/>
    <n v="30.89"/>
    <n v="96131"/>
    <n v="51206"/>
    <n v="1.01"/>
    <s v="Text"/>
    <x v="401"/>
    <d v="1899-12-30T14:01:19"/>
    <n v="0.30890000000000001"/>
    <n v="1.01E-2"/>
    <n v="15201"/>
    <n v="0.2968597429988673"/>
    <s v="High CTR"/>
    <s v="High"/>
    <s v="Afternoon"/>
    <n v="3"/>
  </r>
  <r>
    <s v="c07cfdd4-e208-4fc2-a517-ef17b046cd3f"/>
    <s v="3563f4c8-ac61-4902-bbaf-62c3f1b088e3"/>
    <n v="5297"/>
    <n v="3089"/>
    <n v="1148"/>
    <n v="6.2"/>
    <n v="88112"/>
    <n v="86304"/>
    <n v="7.25"/>
    <s v="Image"/>
    <x v="489"/>
    <d v="1899-12-30T00:01:17"/>
    <n v="6.2E-2"/>
    <n v="7.2499999999999995E-2"/>
    <n v="9534"/>
    <n v="0.11046996662958843"/>
    <s v="High CTR"/>
    <s v="High"/>
    <s v="Morning"/>
    <n v="3"/>
  </r>
  <r>
    <s v="c07cfdd4-e208-4fc2-a517-ef17b046cd3f"/>
    <s v="3563f4c8-ac61-4902-bbaf-62c3f1b088e3"/>
    <n v="5297"/>
    <n v="3089"/>
    <n v="1148"/>
    <n v="6.2"/>
    <n v="88112"/>
    <n v="86304"/>
    <n v="7.25"/>
    <s v="Image"/>
    <x v="492"/>
    <d v="1899-12-30T00:01:17"/>
    <n v="6.2E-2"/>
    <n v="7.2499999999999995E-2"/>
    <n v="9534"/>
    <n v="0.11046996662958843"/>
    <s v="High CTR"/>
    <s v="High"/>
    <s v="Morning"/>
    <n v="3"/>
  </r>
  <r>
    <s v="c07cfdd4-e208-4fc2-a517-ef17b046cd3f"/>
    <s v="3563f4c8-ac61-4902-bbaf-62c3f1b088e3"/>
    <n v="5297"/>
    <n v="3089"/>
    <n v="1148"/>
    <n v="6.2"/>
    <n v="88112"/>
    <n v="86304"/>
    <n v="7.25"/>
    <s v="Image"/>
    <x v="496"/>
    <d v="1899-12-30T00:01:17"/>
    <n v="6.2E-2"/>
    <n v="7.2499999999999995E-2"/>
    <n v="9534"/>
    <n v="0.11046996662958843"/>
    <s v="High CTR"/>
    <s v="High"/>
    <s v="Morning"/>
    <n v="3"/>
  </r>
  <r>
    <s v="8d69a287-5637-4448-8903-cf4431f42b6b"/>
    <s v="32d77682-5ad9-4b02-8aaf-1d4e9f4641d5"/>
    <n v="9556"/>
    <n v="372"/>
    <n v="1439"/>
    <n v="34.5"/>
    <n v="3854"/>
    <n v="11293"/>
    <n v="3.55"/>
    <s v="Image"/>
    <x v="497"/>
    <d v="1899-12-30T19:46:35"/>
    <n v="0.34499999999999997"/>
    <n v="3.5499999999999997E-2"/>
    <n v="11367"/>
    <n v="1"/>
    <s v="High CTR"/>
    <s v="High"/>
    <s v="Evening"/>
    <n v="3"/>
  </r>
  <r>
    <s v="8d69a287-5637-4448-8903-cf4431f42b6b"/>
    <s v="32d77682-5ad9-4b02-8aaf-1d4e9f4641d5"/>
    <n v="9556"/>
    <n v="372"/>
    <n v="1439"/>
    <n v="34.5"/>
    <n v="3854"/>
    <n v="11293"/>
    <n v="3.55"/>
    <s v="Image"/>
    <x v="498"/>
    <d v="1899-12-30T19:46:35"/>
    <n v="0.34499999999999997"/>
    <n v="3.5499999999999997E-2"/>
    <n v="11367"/>
    <n v="1"/>
    <s v="High CTR"/>
    <s v="High"/>
    <s v="Evening"/>
    <n v="3"/>
  </r>
  <r>
    <s v="8d69a287-5637-4448-8903-cf4431f42b6b"/>
    <s v="32d77682-5ad9-4b02-8aaf-1d4e9f4641d5"/>
    <n v="9556"/>
    <n v="372"/>
    <n v="1439"/>
    <n v="34.5"/>
    <n v="3854"/>
    <n v="11293"/>
    <n v="3.55"/>
    <s v="Image"/>
    <x v="320"/>
    <d v="1899-12-30T19:46:35"/>
    <n v="0.34499999999999997"/>
    <n v="3.5499999999999997E-2"/>
    <n v="11367"/>
    <n v="1"/>
    <s v="High CTR"/>
    <s v="High"/>
    <s v="Evening"/>
    <n v="3"/>
  </r>
  <r>
    <s v="acfcb7b9-c52c-4c8c-99cd-3184ca20c137"/>
    <s v="c07ebcd1-ad1f-4d69-bba9-60c41314ce8a"/>
    <n v="4327"/>
    <n v="3972"/>
    <n v="1901"/>
    <n v="61.3"/>
    <n v="92646"/>
    <n v="56699"/>
    <n v="0.02"/>
    <s v="Poll"/>
    <x v="499"/>
    <d v="1899-12-30T03:55:30"/>
    <n v="0.61299999999999999"/>
    <n v="2.0000000000000001E-4"/>
    <n v="10200"/>
    <n v="0.17989735268699625"/>
    <s v="Low CTR"/>
    <s v="High"/>
    <s v="Morning"/>
    <n v="3"/>
  </r>
  <r>
    <s v="acfcb7b9-c52c-4c8c-99cd-3184ca20c137"/>
    <s v="c07ebcd1-ad1f-4d69-bba9-60c41314ce8a"/>
    <n v="4327"/>
    <n v="3972"/>
    <n v="1901"/>
    <n v="61.3"/>
    <n v="92646"/>
    <n v="56699"/>
    <n v="0.02"/>
    <s v="Poll"/>
    <x v="32"/>
    <d v="1899-12-30T03:55:30"/>
    <n v="0.61299999999999999"/>
    <n v="2.0000000000000001E-4"/>
    <n v="10200"/>
    <n v="0.17989735268699625"/>
    <s v="Low CTR"/>
    <s v="High"/>
    <s v="Morning"/>
    <n v="3"/>
  </r>
  <r>
    <s v="acfcb7b9-c52c-4c8c-99cd-3184ca20c137"/>
    <s v="c07ebcd1-ad1f-4d69-bba9-60c41314ce8a"/>
    <n v="4327"/>
    <n v="3972"/>
    <n v="1901"/>
    <n v="61.3"/>
    <n v="92646"/>
    <n v="56699"/>
    <n v="0.02"/>
    <s v="Poll"/>
    <x v="500"/>
    <d v="1899-12-30T03:55:30"/>
    <n v="0.61299999999999999"/>
    <n v="2.0000000000000001E-4"/>
    <n v="10200"/>
    <n v="0.17989735268699625"/>
    <s v="Low CTR"/>
    <s v="High"/>
    <s v="Morning"/>
    <n v="3"/>
  </r>
  <r>
    <s v="fad41d09-4182-4b78-8409-74ad535eb35e"/>
    <s v="7562a98f-a9fd-44fc-9323-0cbcd927b3a2"/>
    <n v="6045"/>
    <n v="1838"/>
    <n v="584"/>
    <n v="91.93"/>
    <n v="15802"/>
    <n v="15821"/>
    <n v="0.19"/>
    <s v="Poll"/>
    <x v="39"/>
    <d v="1899-12-30T04:40:03"/>
    <n v="0.91930000000000012"/>
    <n v="1.9E-3"/>
    <n v="8467"/>
    <n v="0.53517476771379813"/>
    <s v="High CTR"/>
    <s v="High"/>
    <s v="Morning"/>
    <n v="3"/>
  </r>
  <r>
    <s v="fad41d09-4182-4b78-8409-74ad535eb35e"/>
    <s v="7562a98f-a9fd-44fc-9323-0cbcd927b3a2"/>
    <n v="6045"/>
    <n v="1838"/>
    <n v="584"/>
    <n v="91.93"/>
    <n v="15802"/>
    <n v="15821"/>
    <n v="0.19"/>
    <s v="Poll"/>
    <x v="501"/>
    <d v="1899-12-30T04:40:03"/>
    <n v="0.91930000000000012"/>
    <n v="1.9E-3"/>
    <n v="8467"/>
    <n v="0.53517476771379813"/>
    <s v="High CTR"/>
    <s v="High"/>
    <s v="Morning"/>
    <n v="3"/>
  </r>
  <r>
    <s v="fad41d09-4182-4b78-8409-74ad535eb35e"/>
    <s v="7562a98f-a9fd-44fc-9323-0cbcd927b3a2"/>
    <n v="6045"/>
    <n v="1838"/>
    <n v="584"/>
    <n v="91.93"/>
    <n v="15802"/>
    <n v="15821"/>
    <n v="0.19"/>
    <s v="Poll"/>
    <x v="80"/>
    <d v="1899-12-30T04:40:03"/>
    <n v="0.91930000000000012"/>
    <n v="1.9E-3"/>
    <n v="8467"/>
    <n v="0.53517476771379813"/>
    <s v="High CTR"/>
    <s v="High"/>
    <s v="Morning"/>
    <n v="3"/>
  </r>
  <r>
    <s v="21ba918c-b19a-4239-8b4c-8bf60ca0309e"/>
    <s v="ed8df587-ed2b-4d2c-a7ec-a7c6fd4521c6"/>
    <n v="4512"/>
    <n v="2340"/>
    <n v="177"/>
    <n v="67.08"/>
    <n v="47521"/>
    <n v="63084"/>
    <n v="7.53"/>
    <s v="Video"/>
    <x v="467"/>
    <d v="1899-12-30T15:26:10"/>
    <n v="0.67079999999999995"/>
    <n v="7.5300000000000006E-2"/>
    <n v="7029"/>
    <n v="0.11142286475175955"/>
    <s v="High CTR"/>
    <s v="High"/>
    <s v="Afternoon"/>
    <n v="3"/>
  </r>
  <r>
    <s v="21ba918c-b19a-4239-8b4c-8bf60ca0309e"/>
    <s v="ed8df587-ed2b-4d2c-a7ec-a7c6fd4521c6"/>
    <n v="4512"/>
    <n v="2340"/>
    <n v="177"/>
    <n v="67.08"/>
    <n v="47521"/>
    <n v="63084"/>
    <n v="7.53"/>
    <s v="Video"/>
    <x v="502"/>
    <d v="1899-12-30T15:26:10"/>
    <n v="0.67079999999999995"/>
    <n v="7.5300000000000006E-2"/>
    <n v="7029"/>
    <n v="0.11142286475175955"/>
    <s v="High CTR"/>
    <s v="High"/>
    <s v="Afternoon"/>
    <n v="3"/>
  </r>
  <r>
    <s v="21ba918c-b19a-4239-8b4c-8bf60ca0309e"/>
    <s v="ed8df587-ed2b-4d2c-a7ec-a7c6fd4521c6"/>
    <n v="4512"/>
    <n v="2340"/>
    <n v="177"/>
    <n v="67.08"/>
    <n v="47521"/>
    <n v="63084"/>
    <n v="7.53"/>
    <s v="Video"/>
    <x v="303"/>
    <d v="1899-12-30T15:26:10"/>
    <n v="0.67079999999999995"/>
    <n v="7.5300000000000006E-2"/>
    <n v="7029"/>
    <n v="0.11142286475175955"/>
    <s v="High CTR"/>
    <s v="High"/>
    <s v="Afternoon"/>
    <n v="3"/>
  </r>
  <r>
    <s v="cdbe474f-ea5c-43c3-b0f4-5b279c40b48b"/>
    <s v="23ed5a4b-6f57-4e3a-9204-bfd1fda53f76"/>
    <n v="9844"/>
    <n v="2274"/>
    <n v="1913"/>
    <n v="78.37"/>
    <n v="96316"/>
    <n v="73320"/>
    <n v="4.6500000000000004"/>
    <s v="Text"/>
    <x v="118"/>
    <d v="1899-12-30T11:15:45"/>
    <n v="0.78370000000000006"/>
    <n v="4.6500000000000007E-2"/>
    <n v="14031"/>
    <n v="0.19136661211129297"/>
    <s v="High CTR"/>
    <s v="High"/>
    <s v="Morning"/>
    <n v="3"/>
  </r>
  <r>
    <s v="cdbe474f-ea5c-43c3-b0f4-5b279c40b48b"/>
    <s v="23ed5a4b-6f57-4e3a-9204-bfd1fda53f76"/>
    <n v="9844"/>
    <n v="2274"/>
    <n v="1913"/>
    <n v="78.37"/>
    <n v="96316"/>
    <n v="73320"/>
    <n v="4.6500000000000004"/>
    <s v="Text"/>
    <x v="503"/>
    <d v="1899-12-30T11:15:45"/>
    <n v="0.78370000000000006"/>
    <n v="4.6500000000000007E-2"/>
    <n v="14031"/>
    <n v="0.19136661211129297"/>
    <s v="High CTR"/>
    <s v="High"/>
    <s v="Morning"/>
    <n v="3"/>
  </r>
  <r>
    <s v="cdbe474f-ea5c-43c3-b0f4-5b279c40b48b"/>
    <s v="23ed5a4b-6f57-4e3a-9204-bfd1fda53f76"/>
    <n v="9844"/>
    <n v="2274"/>
    <n v="1913"/>
    <n v="78.37"/>
    <n v="96316"/>
    <n v="73320"/>
    <n v="4.6500000000000004"/>
    <s v="Text"/>
    <x v="325"/>
    <d v="1899-12-30T11:15:45"/>
    <n v="0.78370000000000006"/>
    <n v="4.6500000000000007E-2"/>
    <n v="14031"/>
    <n v="0.19136661211129297"/>
    <s v="High CTR"/>
    <s v="High"/>
    <s v="Morning"/>
    <n v="3"/>
  </r>
  <r>
    <s v="2b4f0af8-70d1-49a5-a78d-b62b03ac9743"/>
    <s v="194a7f12-1e89-4d38-a93e-f96160f8df28"/>
    <n v="1795"/>
    <n v="1931"/>
    <n v="505"/>
    <n v="63.94"/>
    <n v="58257"/>
    <n v="20132"/>
    <n v="8.52"/>
    <s v="Image"/>
    <x v="504"/>
    <d v="1899-12-30T01:33:00"/>
    <n v="0.63939999999999997"/>
    <n v="8.5199999999999998E-2"/>
    <n v="4231"/>
    <n v="0.21016292469699979"/>
    <s v="High CTR"/>
    <s v="High"/>
    <s v="Morning"/>
    <n v="3"/>
  </r>
  <r>
    <s v="2b4f0af8-70d1-49a5-a78d-b62b03ac9743"/>
    <s v="194a7f12-1e89-4d38-a93e-f96160f8df28"/>
    <n v="1795"/>
    <n v="1931"/>
    <n v="505"/>
    <n v="63.94"/>
    <n v="58257"/>
    <n v="20132"/>
    <n v="8.52"/>
    <s v="Image"/>
    <x v="505"/>
    <d v="1899-12-30T01:33:00"/>
    <n v="0.63939999999999997"/>
    <n v="8.5199999999999998E-2"/>
    <n v="4231"/>
    <n v="0.21016292469699979"/>
    <s v="High CTR"/>
    <s v="High"/>
    <s v="Morning"/>
    <n v="3"/>
  </r>
  <r>
    <s v="2b4f0af8-70d1-49a5-a78d-b62b03ac9743"/>
    <s v="194a7f12-1e89-4d38-a93e-f96160f8df28"/>
    <n v="1795"/>
    <n v="1931"/>
    <n v="505"/>
    <n v="63.94"/>
    <n v="58257"/>
    <n v="20132"/>
    <n v="8.52"/>
    <s v="Image"/>
    <x v="506"/>
    <d v="1899-12-30T01:33:00"/>
    <n v="0.63939999999999997"/>
    <n v="8.5199999999999998E-2"/>
    <n v="4231"/>
    <n v="0.21016292469699979"/>
    <s v="High CTR"/>
    <s v="High"/>
    <s v="Morning"/>
    <n v="3"/>
  </r>
  <r>
    <s v="b7523474-a54f-46b9-bd9f-b4015d060f5c"/>
    <s v="38c5ebe9-8f53-44dd-9bb6-1a5a28f667dc"/>
    <n v="5001"/>
    <n v="164"/>
    <n v="1015"/>
    <n v="69.39"/>
    <n v="72358"/>
    <n v="15647"/>
    <n v="1.31"/>
    <s v="Poll"/>
    <x v="123"/>
    <d v="1899-12-30T05:02:05"/>
    <n v="0.69389999999999996"/>
    <n v="1.3100000000000001E-2"/>
    <n v="6180"/>
    <n v="0.39496389084169492"/>
    <s v="High CTR"/>
    <s v="High"/>
    <s v="Morning"/>
    <n v="3"/>
  </r>
  <r>
    <s v="b7523474-a54f-46b9-bd9f-b4015d060f5c"/>
    <s v="38c5ebe9-8f53-44dd-9bb6-1a5a28f667dc"/>
    <n v="5001"/>
    <n v="164"/>
    <n v="1015"/>
    <n v="69.39"/>
    <n v="72358"/>
    <n v="15647"/>
    <n v="1.31"/>
    <s v="Poll"/>
    <x v="507"/>
    <d v="1899-12-30T05:02:05"/>
    <n v="0.69389999999999996"/>
    <n v="1.3100000000000001E-2"/>
    <n v="6180"/>
    <n v="0.39496389084169492"/>
    <s v="High CTR"/>
    <s v="High"/>
    <s v="Morning"/>
    <n v="3"/>
  </r>
  <r>
    <s v="b7523474-a54f-46b9-bd9f-b4015d060f5c"/>
    <s v="38c5ebe9-8f53-44dd-9bb6-1a5a28f667dc"/>
    <n v="5001"/>
    <n v="164"/>
    <n v="1015"/>
    <n v="69.39"/>
    <n v="72358"/>
    <n v="15647"/>
    <n v="1.31"/>
    <s v="Poll"/>
    <x v="508"/>
    <d v="1899-12-30T05:02:05"/>
    <n v="0.69389999999999996"/>
    <n v="1.3100000000000001E-2"/>
    <n v="6180"/>
    <n v="0.39496389084169492"/>
    <s v="High CTR"/>
    <s v="High"/>
    <s v="Morning"/>
    <n v="3"/>
  </r>
  <r>
    <s v="35a39509-378b-4e83-b858-7ab3353a7d7a"/>
    <s v="73f8b9f1-6c07-4cf0-9fc5-aa53a8a1a22d"/>
    <n v="6149"/>
    <n v="2017"/>
    <n v="1625"/>
    <n v="67.510000000000005"/>
    <n v="76262"/>
    <n v="70539"/>
    <n v="9.17"/>
    <s v="Image"/>
    <x v="4"/>
    <d v="1899-12-30T19:55:05"/>
    <n v="0.67510000000000003"/>
    <n v="9.1700000000000004E-2"/>
    <n v="9791"/>
    <n v="0.13880264818043919"/>
    <s v="High CTR"/>
    <s v="High"/>
    <s v="Evening"/>
    <n v="3"/>
  </r>
  <r>
    <s v="35a39509-378b-4e83-b858-7ab3353a7d7a"/>
    <s v="73f8b9f1-6c07-4cf0-9fc5-aa53a8a1a22d"/>
    <n v="6149"/>
    <n v="2017"/>
    <n v="1625"/>
    <n v="67.510000000000005"/>
    <n v="76262"/>
    <n v="70539"/>
    <n v="9.17"/>
    <s v="Image"/>
    <x v="509"/>
    <d v="1899-12-30T19:55:05"/>
    <n v="0.67510000000000003"/>
    <n v="9.1700000000000004E-2"/>
    <n v="9791"/>
    <n v="0.13880264818043919"/>
    <s v="High CTR"/>
    <s v="High"/>
    <s v="Evening"/>
    <n v="3"/>
  </r>
  <r>
    <s v="35a39509-378b-4e83-b858-7ab3353a7d7a"/>
    <s v="73f8b9f1-6c07-4cf0-9fc5-aa53a8a1a22d"/>
    <n v="6149"/>
    <n v="2017"/>
    <n v="1625"/>
    <n v="67.510000000000005"/>
    <n v="76262"/>
    <n v="70539"/>
    <n v="9.17"/>
    <s v="Image"/>
    <x v="123"/>
    <d v="1899-12-30T19:55:05"/>
    <n v="0.67510000000000003"/>
    <n v="9.1700000000000004E-2"/>
    <n v="9791"/>
    <n v="0.13880264818043919"/>
    <s v="High CTR"/>
    <s v="High"/>
    <s v="Evening"/>
    <n v="3"/>
  </r>
  <r>
    <s v="f25a23b4-9787-4e54-ac35-70c69f9479c3"/>
    <s v="b594624c-458a-4e87-b27d-227b6161c0c7"/>
    <n v="2805"/>
    <n v="100"/>
    <n v="623"/>
    <n v="88.44"/>
    <n v="39463"/>
    <n v="85889"/>
    <n v="3.12"/>
    <s v="Poll"/>
    <x v="510"/>
    <d v="1899-12-30T06:02:09"/>
    <n v="0.88439999999999996"/>
    <n v="3.1200000000000002E-2"/>
    <n v="3528"/>
    <n v="4.1076272863812595E-2"/>
    <s v="High CTR"/>
    <s v="High"/>
    <s v="Morning"/>
    <n v="3"/>
  </r>
  <r>
    <s v="f25a23b4-9787-4e54-ac35-70c69f9479c3"/>
    <s v="b594624c-458a-4e87-b27d-227b6161c0c7"/>
    <n v="2805"/>
    <n v="100"/>
    <n v="623"/>
    <n v="88.44"/>
    <n v="39463"/>
    <n v="85889"/>
    <n v="3.12"/>
    <s v="Poll"/>
    <x v="376"/>
    <d v="1899-12-30T06:02:09"/>
    <n v="0.88439999999999996"/>
    <n v="3.1200000000000002E-2"/>
    <n v="3528"/>
    <n v="4.1076272863812595E-2"/>
    <s v="High CTR"/>
    <s v="High"/>
    <s v="Morning"/>
    <n v="3"/>
  </r>
  <r>
    <s v="f25a23b4-9787-4e54-ac35-70c69f9479c3"/>
    <s v="b594624c-458a-4e87-b27d-227b6161c0c7"/>
    <n v="2805"/>
    <n v="100"/>
    <n v="623"/>
    <n v="88.44"/>
    <n v="39463"/>
    <n v="85889"/>
    <n v="3.12"/>
    <s v="Poll"/>
    <x v="258"/>
    <d v="1899-12-30T06:02:09"/>
    <n v="0.88439999999999996"/>
    <n v="3.1200000000000002E-2"/>
    <n v="3528"/>
    <n v="4.1076272863812595E-2"/>
    <s v="High CTR"/>
    <s v="High"/>
    <s v="Morning"/>
    <n v="3"/>
  </r>
  <r>
    <s v="c114af7b-e304-4401-9fff-e505e584f156"/>
    <s v="23f80f63-3af6-494e-ba7c-92d8409dec2d"/>
    <n v="4016"/>
    <n v="2730"/>
    <n v="1301"/>
    <n v="57.56"/>
    <n v="22146"/>
    <n v="20631"/>
    <n v="4.71"/>
    <s v="Video"/>
    <x v="302"/>
    <d v="1899-12-30T06:15:22"/>
    <n v="0.5756"/>
    <n v="4.7100000000000003E-2"/>
    <n v="8047"/>
    <n v="0.39004410838059234"/>
    <s v="High CTR"/>
    <s v="High"/>
    <s v="Morning"/>
    <n v="3"/>
  </r>
  <r>
    <s v="c114af7b-e304-4401-9fff-e505e584f156"/>
    <s v="23f80f63-3af6-494e-ba7c-92d8409dec2d"/>
    <n v="4016"/>
    <n v="2730"/>
    <n v="1301"/>
    <n v="57.56"/>
    <n v="22146"/>
    <n v="20631"/>
    <n v="4.71"/>
    <s v="Video"/>
    <x v="511"/>
    <d v="1899-12-30T06:15:22"/>
    <n v="0.5756"/>
    <n v="4.7100000000000003E-2"/>
    <n v="8047"/>
    <n v="0.39004410838059234"/>
    <s v="High CTR"/>
    <s v="High"/>
    <s v="Morning"/>
    <n v="3"/>
  </r>
  <r>
    <s v="c114af7b-e304-4401-9fff-e505e584f156"/>
    <s v="23f80f63-3af6-494e-ba7c-92d8409dec2d"/>
    <n v="4016"/>
    <n v="2730"/>
    <n v="1301"/>
    <n v="57.56"/>
    <n v="22146"/>
    <n v="20631"/>
    <n v="4.71"/>
    <s v="Video"/>
    <x v="512"/>
    <d v="1899-12-30T06:15:22"/>
    <n v="0.5756"/>
    <n v="4.7100000000000003E-2"/>
    <n v="8047"/>
    <n v="0.39004410838059234"/>
    <s v="High CTR"/>
    <s v="High"/>
    <s v="Morning"/>
    <n v="3"/>
  </r>
  <r>
    <s v="7e8b992c-16c0-4ef7-baab-f8aaff1f544b"/>
    <s v="a8f55188-c9aa-4f69-b086-8e05af92ffd6"/>
    <n v="6670"/>
    <n v="2685"/>
    <n v="461"/>
    <n v="21.41"/>
    <n v="60376"/>
    <n v="50728"/>
    <n v="7.22"/>
    <s v="Text"/>
    <x v="320"/>
    <d v="1899-12-30T02:21:16"/>
    <n v="0.21410000000000001"/>
    <n v="7.22E-2"/>
    <n v="9816"/>
    <n v="0.19350260211323136"/>
    <s v="High CTR"/>
    <s v="High"/>
    <s v="Morning"/>
    <n v="3"/>
  </r>
  <r>
    <s v="7e8b992c-16c0-4ef7-baab-f8aaff1f544b"/>
    <s v="a8f55188-c9aa-4f69-b086-8e05af92ffd6"/>
    <n v="6670"/>
    <n v="2685"/>
    <n v="461"/>
    <n v="21.41"/>
    <n v="60376"/>
    <n v="50728"/>
    <n v="7.22"/>
    <s v="Text"/>
    <x v="292"/>
    <d v="1899-12-30T02:21:16"/>
    <n v="0.21410000000000001"/>
    <n v="7.22E-2"/>
    <n v="9816"/>
    <n v="0.19350260211323136"/>
    <s v="High CTR"/>
    <s v="High"/>
    <s v="Morning"/>
    <n v="3"/>
  </r>
  <r>
    <s v="7e8b992c-16c0-4ef7-baab-f8aaff1f544b"/>
    <s v="a8f55188-c9aa-4f69-b086-8e05af92ffd6"/>
    <n v="6670"/>
    <n v="2685"/>
    <n v="461"/>
    <n v="21.41"/>
    <n v="60376"/>
    <n v="50728"/>
    <n v="7.22"/>
    <s v="Text"/>
    <x v="179"/>
    <d v="1899-12-30T02:21:16"/>
    <n v="0.21410000000000001"/>
    <n v="7.22E-2"/>
    <n v="9816"/>
    <n v="0.19350260211323136"/>
    <s v="High CTR"/>
    <s v="High"/>
    <s v="Morning"/>
    <n v="3"/>
  </r>
  <r>
    <s v="70692973-9498-40c8-ae47-765bf749ebf9"/>
    <s v="e5596b23-f01f-46a9-b004-0b6d9d325023"/>
    <n v="9112"/>
    <n v="2000"/>
    <n v="1282"/>
    <n v="97.73"/>
    <n v="87694"/>
    <n v="71893"/>
    <n v="3.51"/>
    <s v="Poll"/>
    <x v="513"/>
    <d v="1899-12-30T01:52:42"/>
    <n v="0.97730000000000006"/>
    <n v="3.5099999999999999E-2"/>
    <n v="12394"/>
    <n v="0.17239508714339366"/>
    <s v="High CTR"/>
    <s v="High"/>
    <s v="Morning"/>
    <n v="3"/>
  </r>
  <r>
    <s v="70692973-9498-40c8-ae47-765bf749ebf9"/>
    <s v="e5596b23-f01f-46a9-b004-0b6d9d325023"/>
    <n v="9112"/>
    <n v="2000"/>
    <n v="1282"/>
    <n v="97.73"/>
    <n v="87694"/>
    <n v="71893"/>
    <n v="3.51"/>
    <s v="Poll"/>
    <x v="381"/>
    <d v="1899-12-30T01:52:42"/>
    <n v="0.97730000000000006"/>
    <n v="3.5099999999999999E-2"/>
    <n v="12394"/>
    <n v="0.17239508714339366"/>
    <s v="High CTR"/>
    <s v="High"/>
    <s v="Morning"/>
    <n v="3"/>
  </r>
  <r>
    <s v="70692973-9498-40c8-ae47-765bf749ebf9"/>
    <s v="e5596b23-f01f-46a9-b004-0b6d9d325023"/>
    <n v="9112"/>
    <n v="2000"/>
    <n v="1282"/>
    <n v="97.73"/>
    <n v="87694"/>
    <n v="71893"/>
    <n v="3.51"/>
    <s v="Poll"/>
    <x v="405"/>
    <d v="1899-12-30T01:52:42"/>
    <n v="0.97730000000000006"/>
    <n v="3.5099999999999999E-2"/>
    <n v="12394"/>
    <n v="0.17239508714339366"/>
    <s v="High CTR"/>
    <s v="High"/>
    <s v="Morning"/>
    <n v="3"/>
  </r>
  <r>
    <s v="c8be09bf-8ec0-46e5-b485-942a180d4fd8"/>
    <s v="923ba8e3-db8a-45c0-97be-5dbff67fecd0"/>
    <n v="2737"/>
    <n v="223"/>
    <n v="1038"/>
    <n v="11"/>
    <n v="10052"/>
    <n v="58900"/>
    <n v="6.62"/>
    <s v="Video"/>
    <x v="298"/>
    <d v="1899-12-30T07:32:43"/>
    <n v="0.11"/>
    <n v="6.6199999999999995E-2"/>
    <n v="3998"/>
    <n v="6.7877758913412564E-2"/>
    <s v="High CTR"/>
    <s v="High"/>
    <s v="Morning"/>
    <n v="3"/>
  </r>
  <r>
    <s v="c8be09bf-8ec0-46e5-b485-942a180d4fd8"/>
    <s v="923ba8e3-db8a-45c0-97be-5dbff67fecd0"/>
    <n v="2737"/>
    <n v="223"/>
    <n v="1038"/>
    <n v="11"/>
    <n v="10052"/>
    <n v="58900"/>
    <n v="6.62"/>
    <s v="Video"/>
    <x v="251"/>
    <d v="1899-12-30T07:32:43"/>
    <n v="0.11"/>
    <n v="6.6199999999999995E-2"/>
    <n v="3998"/>
    <n v="6.7877758913412564E-2"/>
    <s v="High CTR"/>
    <s v="High"/>
    <s v="Morning"/>
    <n v="3"/>
  </r>
  <r>
    <s v="c8be09bf-8ec0-46e5-b485-942a180d4fd8"/>
    <s v="923ba8e3-db8a-45c0-97be-5dbff67fecd0"/>
    <n v="2737"/>
    <n v="223"/>
    <n v="1038"/>
    <n v="11"/>
    <n v="10052"/>
    <n v="58900"/>
    <n v="6.62"/>
    <s v="Video"/>
    <x v="514"/>
    <d v="1899-12-30T07:32:43"/>
    <n v="0.11"/>
    <n v="6.6199999999999995E-2"/>
    <n v="3998"/>
    <n v="6.7877758913412564E-2"/>
    <s v="High CTR"/>
    <s v="High"/>
    <s v="Morning"/>
    <n v="3"/>
  </r>
  <r>
    <s v="74df5709-fa64-4234-a07d-4ead5d86b440"/>
    <s v="1053dcdc-99fe-4253-ae4d-6b92de95c605"/>
    <n v="1871"/>
    <n v="1772"/>
    <n v="1381"/>
    <n v="56.16"/>
    <n v="81999"/>
    <n v="13471"/>
    <n v="6.05"/>
    <s v="Image"/>
    <x v="126"/>
    <d v="1899-12-30T15:48:20"/>
    <n v="0.56159999999999999"/>
    <n v="6.0499999999999998E-2"/>
    <n v="5024"/>
    <n v="0.37294929849305919"/>
    <s v="High CTR"/>
    <s v="High"/>
    <s v="Afternoon"/>
    <n v="3"/>
  </r>
  <r>
    <s v="74df5709-fa64-4234-a07d-4ead5d86b440"/>
    <s v="1053dcdc-99fe-4253-ae4d-6b92de95c605"/>
    <n v="1871"/>
    <n v="1772"/>
    <n v="1381"/>
    <n v="56.16"/>
    <n v="81999"/>
    <n v="13471"/>
    <n v="6.05"/>
    <s v="Image"/>
    <x v="515"/>
    <d v="1899-12-30T15:48:20"/>
    <n v="0.56159999999999999"/>
    <n v="6.0499999999999998E-2"/>
    <n v="5024"/>
    <n v="0.37294929849305919"/>
    <s v="High CTR"/>
    <s v="High"/>
    <s v="Afternoon"/>
    <n v="3"/>
  </r>
  <r>
    <s v="74df5709-fa64-4234-a07d-4ead5d86b440"/>
    <s v="1053dcdc-99fe-4253-ae4d-6b92de95c605"/>
    <n v="1871"/>
    <n v="1772"/>
    <n v="1381"/>
    <n v="56.16"/>
    <n v="81999"/>
    <n v="13471"/>
    <n v="6.05"/>
    <s v="Image"/>
    <x v="468"/>
    <d v="1899-12-30T15:48:20"/>
    <n v="0.56159999999999999"/>
    <n v="6.0499999999999998E-2"/>
    <n v="5024"/>
    <n v="0.37294929849305919"/>
    <s v="High CTR"/>
    <s v="High"/>
    <s v="Afternoon"/>
    <n v="3"/>
  </r>
  <r>
    <s v="f2c61481-7a01-4103-ae89-b0b8dd590d42"/>
    <s v="7ed090c9-1101-4a44-b20a-4d69174d74fe"/>
    <n v="6080"/>
    <n v="4663"/>
    <n v="1226"/>
    <n v="86.12"/>
    <n v="2043"/>
    <n v="44856"/>
    <n v="7.81"/>
    <s v="Image"/>
    <x v="516"/>
    <d v="1899-12-30T00:29:26"/>
    <n v="0.86120000000000008"/>
    <n v="7.8100000000000003E-2"/>
    <n v="11969"/>
    <n v="0.26683163902265028"/>
    <s v="High CTR"/>
    <s v="High"/>
    <s v="Morning"/>
    <n v="3"/>
  </r>
  <r>
    <s v="f2c61481-7a01-4103-ae89-b0b8dd590d42"/>
    <s v="7ed090c9-1101-4a44-b20a-4d69174d74fe"/>
    <n v="6080"/>
    <n v="4663"/>
    <n v="1226"/>
    <n v="86.12"/>
    <n v="2043"/>
    <n v="44856"/>
    <n v="7.81"/>
    <s v="Image"/>
    <x v="314"/>
    <d v="1899-12-30T00:29:26"/>
    <n v="0.86120000000000008"/>
    <n v="7.8100000000000003E-2"/>
    <n v="11969"/>
    <n v="0.26683163902265028"/>
    <s v="High CTR"/>
    <s v="High"/>
    <s v="Morning"/>
    <n v="3"/>
  </r>
  <r>
    <s v="f2c61481-7a01-4103-ae89-b0b8dd590d42"/>
    <s v="7ed090c9-1101-4a44-b20a-4d69174d74fe"/>
    <n v="6080"/>
    <n v="4663"/>
    <n v="1226"/>
    <n v="86.12"/>
    <n v="2043"/>
    <n v="44856"/>
    <n v="7.81"/>
    <s v="Image"/>
    <x v="111"/>
    <d v="1899-12-30T00:29:26"/>
    <n v="0.86120000000000008"/>
    <n v="7.8100000000000003E-2"/>
    <n v="11969"/>
    <n v="0.26683163902265028"/>
    <s v="High CTR"/>
    <s v="High"/>
    <s v="Morning"/>
    <n v="3"/>
  </r>
  <r>
    <s v="b0f576a8-d73f-487f-93da-846e585d0442"/>
    <s v="a02c53f3-681e-4966-a610-030e1f462351"/>
    <n v="8161"/>
    <n v="2503"/>
    <n v="1541"/>
    <n v="8.0299999999999994"/>
    <n v="5033"/>
    <n v="60807"/>
    <n v="3.95"/>
    <s v="Text"/>
    <x v="325"/>
    <d v="1899-12-30T23:10:35"/>
    <n v="8.0299999999999996E-2"/>
    <n v="3.95E-2"/>
    <n v="12205"/>
    <n v="0.20071702271120101"/>
    <s v="High CTR"/>
    <s v="High"/>
    <s v="Night"/>
    <n v="3"/>
  </r>
  <r>
    <s v="b0f576a8-d73f-487f-93da-846e585d0442"/>
    <s v="a02c53f3-681e-4966-a610-030e1f462351"/>
    <n v="8161"/>
    <n v="2503"/>
    <n v="1541"/>
    <n v="8.0299999999999994"/>
    <n v="5033"/>
    <n v="60807"/>
    <n v="3.95"/>
    <s v="Text"/>
    <x v="499"/>
    <d v="1899-12-30T23:10:35"/>
    <n v="8.0299999999999996E-2"/>
    <n v="3.95E-2"/>
    <n v="12205"/>
    <n v="0.20071702271120101"/>
    <s v="High CTR"/>
    <s v="High"/>
    <s v="Night"/>
    <n v="3"/>
  </r>
  <r>
    <s v="b0f576a8-d73f-487f-93da-846e585d0442"/>
    <s v="a02c53f3-681e-4966-a610-030e1f462351"/>
    <n v="8161"/>
    <n v="2503"/>
    <n v="1541"/>
    <n v="8.0299999999999994"/>
    <n v="5033"/>
    <n v="60807"/>
    <n v="3.95"/>
    <s v="Text"/>
    <x v="517"/>
    <d v="1899-12-30T23:10:35"/>
    <n v="8.0299999999999996E-2"/>
    <n v="3.95E-2"/>
    <n v="12205"/>
    <n v="0.20071702271120101"/>
    <s v="High CTR"/>
    <s v="High"/>
    <s v="Night"/>
    <n v="3"/>
  </r>
  <r>
    <s v="c9bb3f22-552f-4de8-b5a1-69866cb648b9"/>
    <s v="050583e2-a1ec-4e6d-a876-f9d25452a67c"/>
    <n v="4182"/>
    <n v="1994"/>
    <n v="731"/>
    <n v="31.14"/>
    <n v="90266"/>
    <n v="84254"/>
    <n v="9.02"/>
    <s v="Video"/>
    <x v="344"/>
    <d v="1899-12-30T05:44:21"/>
    <n v="0.31140000000000001"/>
    <n v="9.0200000000000002E-2"/>
    <n v="6907"/>
    <n v="8.1978303700714503E-2"/>
    <s v="High CTR"/>
    <s v="High"/>
    <s v="Morning"/>
    <n v="3"/>
  </r>
  <r>
    <s v="c9bb3f22-552f-4de8-b5a1-69866cb648b9"/>
    <s v="050583e2-a1ec-4e6d-a876-f9d25452a67c"/>
    <n v="4182"/>
    <n v="1994"/>
    <n v="731"/>
    <n v="31.14"/>
    <n v="90266"/>
    <n v="84254"/>
    <n v="9.02"/>
    <s v="Video"/>
    <x v="518"/>
    <d v="1899-12-30T05:44:21"/>
    <n v="0.31140000000000001"/>
    <n v="9.0200000000000002E-2"/>
    <n v="6907"/>
    <n v="8.1978303700714503E-2"/>
    <s v="High CTR"/>
    <s v="High"/>
    <s v="Morning"/>
    <n v="3"/>
  </r>
  <r>
    <s v="c9bb3f22-552f-4de8-b5a1-69866cb648b9"/>
    <s v="050583e2-a1ec-4e6d-a876-f9d25452a67c"/>
    <n v="4182"/>
    <n v="1994"/>
    <n v="731"/>
    <n v="31.14"/>
    <n v="90266"/>
    <n v="84254"/>
    <n v="9.02"/>
    <s v="Video"/>
    <x v="302"/>
    <d v="1899-12-30T05:44:21"/>
    <n v="0.31140000000000001"/>
    <n v="9.0200000000000002E-2"/>
    <n v="6907"/>
    <n v="8.1978303700714503E-2"/>
    <s v="High CTR"/>
    <s v="High"/>
    <s v="Morning"/>
    <n v="3"/>
  </r>
  <r>
    <s v="e8a97c8c-0a09-477a-9c31-7d8b6948faa4"/>
    <s v="e5e03737-fa92-4888-8937-a461f23a9513"/>
    <n v="7544"/>
    <n v="1081"/>
    <n v="1513"/>
    <n v="29.49"/>
    <n v="89903"/>
    <n v="99787"/>
    <n v="2.0299999999999998"/>
    <s v="Poll"/>
    <x v="108"/>
    <d v="1899-12-30T22:26:15"/>
    <n v="0.2949"/>
    <n v="2.0299999999999999E-2"/>
    <n v="10138"/>
    <n v="0.10159640033270867"/>
    <s v="High CTR"/>
    <s v="High"/>
    <s v="Night"/>
    <n v="3"/>
  </r>
  <r>
    <s v="e8a97c8c-0a09-477a-9c31-7d8b6948faa4"/>
    <s v="e5e03737-fa92-4888-8937-a461f23a9513"/>
    <n v="7544"/>
    <n v="1081"/>
    <n v="1513"/>
    <n v="29.49"/>
    <n v="89903"/>
    <n v="99787"/>
    <n v="2.0299999999999998"/>
    <s v="Poll"/>
    <x v="181"/>
    <d v="1899-12-30T22:26:15"/>
    <n v="0.2949"/>
    <n v="2.0299999999999999E-2"/>
    <n v="10138"/>
    <n v="0.10159640033270867"/>
    <s v="High CTR"/>
    <s v="High"/>
    <s v="Night"/>
    <n v="3"/>
  </r>
  <r>
    <s v="e8a97c8c-0a09-477a-9c31-7d8b6948faa4"/>
    <s v="e5e03737-fa92-4888-8937-a461f23a9513"/>
    <n v="7544"/>
    <n v="1081"/>
    <n v="1513"/>
    <n v="29.49"/>
    <n v="89903"/>
    <n v="99787"/>
    <n v="2.0299999999999998"/>
    <s v="Poll"/>
    <x v="415"/>
    <d v="1899-12-30T22:26:15"/>
    <n v="0.2949"/>
    <n v="2.0299999999999999E-2"/>
    <n v="10138"/>
    <n v="0.10159640033270867"/>
    <s v="High CTR"/>
    <s v="High"/>
    <s v="Night"/>
    <n v="3"/>
  </r>
  <r>
    <s v="9d28da6f-879e-486a-88b1-dde9e26cca66"/>
    <s v="4a26be93-7b8b-4fe8-9ca6-15c440a1c9f0"/>
    <n v="9758"/>
    <n v="4028"/>
    <n v="1871"/>
    <n v="52.35"/>
    <n v="29653"/>
    <n v="8511"/>
    <n v="2.1"/>
    <s v="Poll"/>
    <x v="519"/>
    <d v="1899-12-30T22:20:54"/>
    <n v="0.52349999999999997"/>
    <n v="2.1000000000000001E-2"/>
    <n v="15657"/>
    <n v="1"/>
    <s v="High CTR"/>
    <s v="High"/>
    <s v="Night"/>
    <n v="3"/>
  </r>
  <r>
    <s v="9d28da6f-879e-486a-88b1-dde9e26cca66"/>
    <s v="4a26be93-7b8b-4fe8-9ca6-15c440a1c9f0"/>
    <n v="9758"/>
    <n v="4028"/>
    <n v="1871"/>
    <n v="52.35"/>
    <n v="29653"/>
    <n v="8511"/>
    <n v="2.1"/>
    <s v="Poll"/>
    <x v="520"/>
    <d v="1899-12-30T22:20:54"/>
    <n v="0.52349999999999997"/>
    <n v="2.1000000000000001E-2"/>
    <n v="15657"/>
    <n v="1"/>
    <s v="High CTR"/>
    <s v="High"/>
    <s v="Night"/>
    <n v="3"/>
  </r>
  <r>
    <s v="9d28da6f-879e-486a-88b1-dde9e26cca66"/>
    <s v="4a26be93-7b8b-4fe8-9ca6-15c440a1c9f0"/>
    <n v="9758"/>
    <n v="4028"/>
    <n v="1871"/>
    <n v="52.35"/>
    <n v="29653"/>
    <n v="8511"/>
    <n v="2.1"/>
    <s v="Poll"/>
    <x v="173"/>
    <d v="1899-12-30T22:20:54"/>
    <n v="0.52349999999999997"/>
    <n v="2.1000000000000001E-2"/>
    <n v="15657"/>
    <n v="1"/>
    <s v="High CTR"/>
    <s v="High"/>
    <s v="Night"/>
    <n v="3"/>
  </r>
  <r>
    <s v="b28723fc-c3a5-4385-bc74-474abda0ec6b"/>
    <s v="83c6e8a3-cce5-47ff-b7a3-c0eff645dadb"/>
    <n v="8778"/>
    <n v="1157"/>
    <n v="1736"/>
    <n v="72.930000000000007"/>
    <n v="31627"/>
    <n v="97389"/>
    <n v="9.44"/>
    <s v="Poll"/>
    <x v="249"/>
    <d v="1899-12-30T22:38:17"/>
    <n v="0.72930000000000006"/>
    <n v="9.4399999999999998E-2"/>
    <n v="11671"/>
    <n v="0.11983899619053487"/>
    <s v="High CTR"/>
    <s v="High"/>
    <s v="Night"/>
    <n v="3"/>
  </r>
  <r>
    <s v="b28723fc-c3a5-4385-bc74-474abda0ec6b"/>
    <s v="83c6e8a3-cce5-47ff-b7a3-c0eff645dadb"/>
    <n v="8778"/>
    <n v="1157"/>
    <n v="1736"/>
    <n v="72.930000000000007"/>
    <n v="31627"/>
    <n v="97389"/>
    <n v="9.44"/>
    <s v="Poll"/>
    <x v="504"/>
    <d v="1899-12-30T22:38:17"/>
    <n v="0.72930000000000006"/>
    <n v="9.4399999999999998E-2"/>
    <n v="11671"/>
    <n v="0.11983899619053487"/>
    <s v="High CTR"/>
    <s v="High"/>
    <s v="Night"/>
    <n v="3"/>
  </r>
  <r>
    <s v="b28723fc-c3a5-4385-bc74-474abda0ec6b"/>
    <s v="83c6e8a3-cce5-47ff-b7a3-c0eff645dadb"/>
    <n v="8778"/>
    <n v="1157"/>
    <n v="1736"/>
    <n v="72.930000000000007"/>
    <n v="31627"/>
    <n v="97389"/>
    <n v="9.44"/>
    <s v="Poll"/>
    <x v="391"/>
    <d v="1899-12-30T22:38:17"/>
    <n v="0.72930000000000006"/>
    <n v="9.4399999999999998E-2"/>
    <n v="11671"/>
    <n v="0.11983899619053487"/>
    <s v="High CTR"/>
    <s v="High"/>
    <s v="Night"/>
    <n v="3"/>
  </r>
  <r>
    <s v="2da15e6e-0e93-45a2-bce6-b7af316503f7"/>
    <s v="6a53041c-cafa-4238-bfc5-8329172a6e38"/>
    <n v="1337"/>
    <n v="2971"/>
    <n v="291"/>
    <n v="82.09"/>
    <n v="25937"/>
    <n v="32127"/>
    <n v="4.67"/>
    <s v="Poll"/>
    <x v="333"/>
    <d v="1899-12-30T08:48:37"/>
    <n v="0.82090000000000007"/>
    <n v="4.6699999999999998E-2"/>
    <n v="4599"/>
    <n v="0.14315062097301334"/>
    <s v="High CTR"/>
    <s v="High"/>
    <s v="Morning"/>
    <n v="3"/>
  </r>
  <r>
    <s v="2da15e6e-0e93-45a2-bce6-b7af316503f7"/>
    <s v="6a53041c-cafa-4238-bfc5-8329172a6e38"/>
    <n v="1337"/>
    <n v="2971"/>
    <n v="291"/>
    <n v="82.09"/>
    <n v="25937"/>
    <n v="32127"/>
    <n v="4.67"/>
    <s v="Poll"/>
    <x v="521"/>
    <d v="1899-12-30T08:48:37"/>
    <n v="0.82090000000000007"/>
    <n v="4.6699999999999998E-2"/>
    <n v="4599"/>
    <n v="0.14315062097301334"/>
    <s v="High CTR"/>
    <s v="High"/>
    <s v="Morning"/>
    <n v="3"/>
  </r>
  <r>
    <s v="2da15e6e-0e93-45a2-bce6-b7af316503f7"/>
    <s v="6a53041c-cafa-4238-bfc5-8329172a6e38"/>
    <n v="1337"/>
    <n v="2971"/>
    <n v="291"/>
    <n v="82.09"/>
    <n v="25937"/>
    <n v="32127"/>
    <n v="4.67"/>
    <s v="Poll"/>
    <x v="522"/>
    <d v="1899-12-30T08:48:37"/>
    <n v="0.82090000000000007"/>
    <n v="4.6699999999999998E-2"/>
    <n v="4599"/>
    <n v="0.14315062097301334"/>
    <s v="High CTR"/>
    <s v="High"/>
    <s v="Morning"/>
    <n v="3"/>
  </r>
  <r>
    <s v="2320e466-58af-4f5a-bb05-7df83e9b9f28"/>
    <s v="0d8cbdcc-ff22-4e71-8f33-a268abfb5a2f"/>
    <n v="5041"/>
    <n v="3667"/>
    <n v="970"/>
    <n v="35.799999999999997"/>
    <n v="46770"/>
    <n v="88983"/>
    <n v="6.18"/>
    <s v="Text"/>
    <x v="523"/>
    <d v="1899-12-30T22:52:08"/>
    <n v="0.35799999999999998"/>
    <n v="6.1799999999999994E-2"/>
    <n v="9678"/>
    <n v="0.10876234786419878"/>
    <s v="High CTR"/>
    <s v="High"/>
    <s v="Night"/>
    <n v="3"/>
  </r>
  <r>
    <s v="2320e466-58af-4f5a-bb05-7df83e9b9f28"/>
    <s v="0d8cbdcc-ff22-4e71-8f33-a268abfb5a2f"/>
    <n v="5041"/>
    <n v="3667"/>
    <n v="970"/>
    <n v="35.799999999999997"/>
    <n v="46770"/>
    <n v="88983"/>
    <n v="6.18"/>
    <s v="Text"/>
    <x v="524"/>
    <d v="1899-12-30T22:52:08"/>
    <n v="0.35799999999999998"/>
    <n v="6.1799999999999994E-2"/>
    <n v="9678"/>
    <n v="0.10876234786419878"/>
    <s v="High CTR"/>
    <s v="High"/>
    <s v="Night"/>
    <n v="3"/>
  </r>
  <r>
    <s v="2320e466-58af-4f5a-bb05-7df83e9b9f28"/>
    <s v="0d8cbdcc-ff22-4e71-8f33-a268abfb5a2f"/>
    <n v="5041"/>
    <n v="3667"/>
    <n v="970"/>
    <n v="35.799999999999997"/>
    <n v="46770"/>
    <n v="88983"/>
    <n v="6.18"/>
    <s v="Text"/>
    <x v="525"/>
    <d v="1899-12-30T22:52:08"/>
    <n v="0.35799999999999998"/>
    <n v="6.1799999999999994E-2"/>
    <n v="9678"/>
    <n v="0.10876234786419878"/>
    <s v="High CTR"/>
    <s v="High"/>
    <s v="Night"/>
    <n v="3"/>
  </r>
  <r>
    <s v="c38848f6-3952-463e-9887-dd83b8817a84"/>
    <s v="c809ef96-a2be-4609-9668-fbaaf7fa3ed4"/>
    <n v="4784"/>
    <n v="3753"/>
    <n v="604"/>
    <n v="17.38"/>
    <n v="89205"/>
    <n v="33068"/>
    <n v="3.56"/>
    <s v="Video"/>
    <x v="526"/>
    <d v="1899-12-30T22:58:56"/>
    <n v="0.17379999999999998"/>
    <n v="3.56E-2"/>
    <n v="9141"/>
    <n v="0.27643038587153745"/>
    <s v="High CTR"/>
    <s v="High"/>
    <s v="Night"/>
    <n v="3"/>
  </r>
  <r>
    <s v="c38848f6-3952-463e-9887-dd83b8817a84"/>
    <s v="c809ef96-a2be-4609-9668-fbaaf7fa3ed4"/>
    <n v="4784"/>
    <n v="3753"/>
    <n v="604"/>
    <n v="17.38"/>
    <n v="89205"/>
    <n v="33068"/>
    <n v="3.56"/>
    <s v="Video"/>
    <x v="402"/>
    <d v="1899-12-30T22:58:56"/>
    <n v="0.17379999999999998"/>
    <n v="3.56E-2"/>
    <n v="9141"/>
    <n v="0.27643038587153745"/>
    <s v="High CTR"/>
    <s v="High"/>
    <s v="Night"/>
    <n v="3"/>
  </r>
  <r>
    <s v="c38848f6-3952-463e-9887-dd83b8817a84"/>
    <s v="c809ef96-a2be-4609-9668-fbaaf7fa3ed4"/>
    <n v="4784"/>
    <n v="3753"/>
    <n v="604"/>
    <n v="17.38"/>
    <n v="89205"/>
    <n v="33068"/>
    <n v="3.56"/>
    <s v="Video"/>
    <x v="244"/>
    <d v="1899-12-30T22:58:56"/>
    <n v="0.17379999999999998"/>
    <n v="3.56E-2"/>
    <n v="9141"/>
    <n v="0.27643038587153745"/>
    <s v="High CTR"/>
    <s v="High"/>
    <s v="Night"/>
    <n v="3"/>
  </r>
  <r>
    <s v="5ad7bc49-9d6f-4699-9396-566d8789bb80"/>
    <s v="c648bc52-6278-4ddd-b20e-68cda64ad568"/>
    <n v="7678"/>
    <n v="2596"/>
    <n v="1637"/>
    <n v="29.5"/>
    <n v="48405"/>
    <n v="14117"/>
    <n v="4.78"/>
    <s v="Poll"/>
    <x v="413"/>
    <d v="1899-12-30T19:21:37"/>
    <n v="0.29499999999999998"/>
    <n v="4.7800000000000002E-2"/>
    <n v="11911"/>
    <n v="0.84373450449812282"/>
    <s v="High CTR"/>
    <s v="High"/>
    <s v="Evening"/>
    <n v="3"/>
  </r>
  <r>
    <s v="5ad7bc49-9d6f-4699-9396-566d8789bb80"/>
    <s v="c648bc52-6278-4ddd-b20e-68cda64ad568"/>
    <n v="7678"/>
    <n v="2596"/>
    <n v="1637"/>
    <n v="29.5"/>
    <n v="48405"/>
    <n v="14117"/>
    <n v="4.78"/>
    <s v="Poll"/>
    <x v="342"/>
    <d v="1899-12-30T19:21:37"/>
    <n v="0.29499999999999998"/>
    <n v="4.7800000000000002E-2"/>
    <n v="11911"/>
    <n v="0.84373450449812282"/>
    <s v="High CTR"/>
    <s v="High"/>
    <s v="Evening"/>
    <n v="3"/>
  </r>
  <r>
    <s v="5ad7bc49-9d6f-4699-9396-566d8789bb80"/>
    <s v="c648bc52-6278-4ddd-b20e-68cda64ad568"/>
    <n v="7678"/>
    <n v="2596"/>
    <n v="1637"/>
    <n v="29.5"/>
    <n v="48405"/>
    <n v="14117"/>
    <n v="4.78"/>
    <s v="Poll"/>
    <x v="416"/>
    <d v="1899-12-30T19:21:37"/>
    <n v="0.29499999999999998"/>
    <n v="4.7800000000000002E-2"/>
    <n v="11911"/>
    <n v="0.84373450449812282"/>
    <s v="High CTR"/>
    <s v="High"/>
    <s v="Evening"/>
    <n v="3"/>
  </r>
  <r>
    <s v="20ebd8af-a813-4768-8fee-7d1968f75e1f"/>
    <s v="066814bc-1135-44f6-81a3-11304562f983"/>
    <n v="75"/>
    <n v="1337"/>
    <n v="1936"/>
    <n v="81.569999999999993"/>
    <n v="79365"/>
    <n v="34275"/>
    <n v="4.6900000000000004"/>
    <s v="Text"/>
    <x v="527"/>
    <d v="1899-12-30T14:04:22"/>
    <n v="0.81569999999999998"/>
    <n v="4.6900000000000004E-2"/>
    <n v="3348"/>
    <n v="9.7680525164113782E-2"/>
    <s v="High CTR"/>
    <s v="High"/>
    <s v="Afternoon"/>
    <n v="3"/>
  </r>
  <r>
    <s v="20ebd8af-a813-4768-8fee-7d1968f75e1f"/>
    <s v="066814bc-1135-44f6-81a3-11304562f983"/>
    <n v="75"/>
    <n v="1337"/>
    <n v="1936"/>
    <n v="81.569999999999993"/>
    <n v="79365"/>
    <n v="34275"/>
    <n v="4.6900000000000004"/>
    <s v="Text"/>
    <x v="300"/>
    <d v="1899-12-30T14:04:22"/>
    <n v="0.81569999999999998"/>
    <n v="4.6900000000000004E-2"/>
    <n v="3348"/>
    <n v="9.7680525164113782E-2"/>
    <s v="High CTR"/>
    <s v="High"/>
    <s v="Afternoon"/>
    <n v="3"/>
  </r>
  <r>
    <s v="20ebd8af-a813-4768-8fee-7d1968f75e1f"/>
    <s v="066814bc-1135-44f6-81a3-11304562f983"/>
    <n v="75"/>
    <n v="1337"/>
    <n v="1936"/>
    <n v="81.569999999999993"/>
    <n v="79365"/>
    <n v="34275"/>
    <n v="4.6900000000000004"/>
    <s v="Text"/>
    <x v="196"/>
    <d v="1899-12-30T14:04:22"/>
    <n v="0.81569999999999998"/>
    <n v="4.6900000000000004E-2"/>
    <n v="3348"/>
    <n v="9.7680525164113782E-2"/>
    <s v="High CTR"/>
    <s v="High"/>
    <s v="Afternoon"/>
    <n v="3"/>
  </r>
  <r>
    <s v="ab09cd90-7b08-4a8b-a388-bdf665076cfe"/>
    <s v="179b0438-2152-44b0-b62d-b4f1f05d63a8"/>
    <n v="9984"/>
    <n v="1217"/>
    <n v="172"/>
    <n v="57.88"/>
    <n v="26000"/>
    <n v="11284"/>
    <n v="8.16"/>
    <s v="Poll"/>
    <x v="528"/>
    <d v="1899-12-30T06:23:17"/>
    <n v="0.57879999999999998"/>
    <n v="8.1600000000000006E-2"/>
    <n v="11373"/>
    <n v="1"/>
    <s v="High CTR"/>
    <s v="High"/>
    <s v="Morning"/>
    <n v="3"/>
  </r>
  <r>
    <s v="ab09cd90-7b08-4a8b-a388-bdf665076cfe"/>
    <s v="179b0438-2152-44b0-b62d-b4f1f05d63a8"/>
    <n v="9984"/>
    <n v="1217"/>
    <n v="172"/>
    <n v="57.88"/>
    <n v="26000"/>
    <n v="11284"/>
    <n v="8.16"/>
    <s v="Poll"/>
    <x v="30"/>
    <d v="1899-12-30T06:23:17"/>
    <n v="0.57879999999999998"/>
    <n v="8.1600000000000006E-2"/>
    <n v="11373"/>
    <n v="1"/>
    <s v="High CTR"/>
    <s v="High"/>
    <s v="Morning"/>
    <n v="3"/>
  </r>
  <r>
    <s v="ab09cd90-7b08-4a8b-a388-bdf665076cfe"/>
    <s v="179b0438-2152-44b0-b62d-b4f1f05d63a8"/>
    <n v="9984"/>
    <n v="1217"/>
    <n v="172"/>
    <n v="57.88"/>
    <n v="26000"/>
    <n v="11284"/>
    <n v="8.16"/>
    <s v="Poll"/>
    <x v="529"/>
    <d v="1899-12-30T06:23:17"/>
    <n v="0.57879999999999998"/>
    <n v="8.1600000000000006E-2"/>
    <n v="11373"/>
    <n v="1"/>
    <s v="High CTR"/>
    <s v="High"/>
    <s v="Morning"/>
    <n v="3"/>
  </r>
  <r>
    <s v="6d4b765e-e0f6-4f07-af8e-c1ca2c427574"/>
    <s v="d06daea0-e007-4517-afb5-afe14925fbd8"/>
    <n v="9842"/>
    <n v="3834"/>
    <n v="1942"/>
    <n v="15.06"/>
    <n v="49092"/>
    <n v="83743"/>
    <n v="2.37"/>
    <s v="Image"/>
    <x v="291"/>
    <d v="1899-12-30T20:01:23"/>
    <n v="0.15060000000000001"/>
    <n v="2.3700000000000002E-2"/>
    <n v="15618"/>
    <n v="0.18649917007988728"/>
    <s v="High CTR"/>
    <s v="High"/>
    <s v="Evening"/>
    <n v="3"/>
  </r>
  <r>
    <s v="6d4b765e-e0f6-4f07-af8e-c1ca2c427574"/>
    <s v="d06daea0-e007-4517-afb5-afe14925fbd8"/>
    <n v="9842"/>
    <n v="3834"/>
    <n v="1942"/>
    <n v="15.06"/>
    <n v="49092"/>
    <n v="83743"/>
    <n v="2.37"/>
    <s v="Image"/>
    <x v="325"/>
    <d v="1899-12-30T20:01:23"/>
    <n v="0.15060000000000001"/>
    <n v="2.3700000000000002E-2"/>
    <n v="15618"/>
    <n v="0.18649917007988728"/>
    <s v="High CTR"/>
    <s v="High"/>
    <s v="Evening"/>
    <n v="3"/>
  </r>
  <r>
    <s v="6d4b765e-e0f6-4f07-af8e-c1ca2c427574"/>
    <s v="d06daea0-e007-4517-afb5-afe14925fbd8"/>
    <n v="9842"/>
    <n v="3834"/>
    <n v="1942"/>
    <n v="15.06"/>
    <n v="49092"/>
    <n v="83743"/>
    <n v="2.37"/>
    <s v="Image"/>
    <x v="502"/>
    <d v="1899-12-30T20:01:23"/>
    <n v="0.15060000000000001"/>
    <n v="2.3700000000000002E-2"/>
    <n v="15618"/>
    <n v="0.18649917007988728"/>
    <s v="High CTR"/>
    <s v="High"/>
    <s v="Evening"/>
    <n v="3"/>
  </r>
  <r>
    <s v="56f00943-8bfd-4727-8e76-5c9f2de482b0"/>
    <s v="98841dc6-a5b3-48d6-9a6a-9fc1bd9978b7"/>
    <n v="550"/>
    <n v="2006"/>
    <n v="431"/>
    <n v="80.209999999999994"/>
    <n v="97534"/>
    <n v="95411"/>
    <n v="1.51"/>
    <s v="Video"/>
    <x v="451"/>
    <d v="1899-12-30T01:07:22"/>
    <n v="0.80209999999999992"/>
    <n v="1.5100000000000001E-2"/>
    <n v="2987"/>
    <n v="3.1306662753770531E-2"/>
    <s v="High CTR"/>
    <s v="High"/>
    <s v="Morning"/>
    <n v="3"/>
  </r>
  <r>
    <s v="56f00943-8bfd-4727-8e76-5c9f2de482b0"/>
    <s v="98841dc6-a5b3-48d6-9a6a-9fc1bd9978b7"/>
    <n v="550"/>
    <n v="2006"/>
    <n v="431"/>
    <n v="80.209999999999994"/>
    <n v="97534"/>
    <n v="95411"/>
    <n v="1.51"/>
    <s v="Video"/>
    <x v="530"/>
    <d v="1899-12-30T01:07:22"/>
    <n v="0.80209999999999992"/>
    <n v="1.5100000000000001E-2"/>
    <n v="2987"/>
    <n v="3.1306662753770531E-2"/>
    <s v="High CTR"/>
    <s v="High"/>
    <s v="Morning"/>
    <n v="3"/>
  </r>
  <r>
    <s v="56f00943-8bfd-4727-8e76-5c9f2de482b0"/>
    <s v="98841dc6-a5b3-48d6-9a6a-9fc1bd9978b7"/>
    <n v="550"/>
    <n v="2006"/>
    <n v="431"/>
    <n v="80.209999999999994"/>
    <n v="97534"/>
    <n v="95411"/>
    <n v="1.51"/>
    <s v="Video"/>
    <x v="181"/>
    <d v="1899-12-30T01:07:22"/>
    <n v="0.80209999999999992"/>
    <n v="1.5100000000000001E-2"/>
    <n v="2987"/>
    <n v="3.1306662753770531E-2"/>
    <s v="High CTR"/>
    <s v="High"/>
    <s v="Morning"/>
    <n v="3"/>
  </r>
  <r>
    <s v="4eb2a80e-3b16-4212-9595-5261c2a7c17f"/>
    <s v="284e2b70-2998-4c03-b75d-0b1c8a8f8089"/>
    <n v="4847"/>
    <n v="2125"/>
    <n v="1590"/>
    <n v="24.42"/>
    <n v="13729"/>
    <n v="70766"/>
    <n v="6.65"/>
    <s v="Image"/>
    <x v="322"/>
    <d v="1899-12-30T05:43:28"/>
    <n v="0.24420000000000003"/>
    <n v="6.6500000000000004E-2"/>
    <n v="8562"/>
    <n v="0.12099030607919058"/>
    <s v="High CTR"/>
    <s v="High"/>
    <s v="Morning"/>
    <n v="3"/>
  </r>
  <r>
    <s v="4eb2a80e-3b16-4212-9595-5261c2a7c17f"/>
    <s v="284e2b70-2998-4c03-b75d-0b1c8a8f8089"/>
    <n v="4847"/>
    <n v="2125"/>
    <n v="1590"/>
    <n v="24.42"/>
    <n v="13729"/>
    <n v="70766"/>
    <n v="6.65"/>
    <s v="Image"/>
    <x v="277"/>
    <d v="1899-12-30T05:43:28"/>
    <n v="0.24420000000000003"/>
    <n v="6.6500000000000004E-2"/>
    <n v="8562"/>
    <n v="0.12099030607919058"/>
    <s v="High CTR"/>
    <s v="High"/>
    <s v="Morning"/>
    <n v="3"/>
  </r>
  <r>
    <s v="4eb2a80e-3b16-4212-9595-5261c2a7c17f"/>
    <s v="284e2b70-2998-4c03-b75d-0b1c8a8f8089"/>
    <n v="4847"/>
    <n v="2125"/>
    <n v="1590"/>
    <n v="24.42"/>
    <n v="13729"/>
    <n v="70766"/>
    <n v="6.65"/>
    <s v="Image"/>
    <x v="531"/>
    <d v="1899-12-30T05:43:28"/>
    <n v="0.24420000000000003"/>
    <n v="6.6500000000000004E-2"/>
    <n v="8562"/>
    <n v="0.12099030607919058"/>
    <s v="High CTR"/>
    <s v="High"/>
    <s v="Morning"/>
    <n v="3"/>
  </r>
  <r>
    <s v="83f6b9fc-7c7c-4597-8b60-72022bcefb31"/>
    <s v="b9a83e2e-14d9-4dee-a43f-849808d8ec17"/>
    <n v="4345"/>
    <n v="3411"/>
    <n v="581"/>
    <n v="88.17"/>
    <n v="4490"/>
    <n v="51661"/>
    <n v="6.18"/>
    <s v="Image"/>
    <x v="532"/>
    <d v="1899-12-30T09:18:04"/>
    <n v="0.88170000000000004"/>
    <n v="6.1799999999999994E-2"/>
    <n v="8337"/>
    <n v="0.16137898995373687"/>
    <s v="High CTR"/>
    <s v="High"/>
    <s v="Morning"/>
    <n v="3"/>
  </r>
  <r>
    <s v="83f6b9fc-7c7c-4597-8b60-72022bcefb31"/>
    <s v="b9a83e2e-14d9-4dee-a43f-849808d8ec17"/>
    <n v="4345"/>
    <n v="3411"/>
    <n v="581"/>
    <n v="88.17"/>
    <n v="4490"/>
    <n v="51661"/>
    <n v="6.18"/>
    <s v="Image"/>
    <x v="296"/>
    <d v="1899-12-30T09:18:04"/>
    <n v="0.88170000000000004"/>
    <n v="6.1799999999999994E-2"/>
    <n v="8337"/>
    <n v="0.16137898995373687"/>
    <s v="High CTR"/>
    <s v="High"/>
    <s v="Morning"/>
    <n v="3"/>
  </r>
  <r>
    <s v="83f6b9fc-7c7c-4597-8b60-72022bcefb31"/>
    <s v="b9a83e2e-14d9-4dee-a43f-849808d8ec17"/>
    <n v="4345"/>
    <n v="3411"/>
    <n v="581"/>
    <n v="88.17"/>
    <n v="4490"/>
    <n v="51661"/>
    <n v="6.18"/>
    <s v="Image"/>
    <x v="533"/>
    <d v="1899-12-30T09:18:04"/>
    <n v="0.88170000000000004"/>
    <n v="6.1799999999999994E-2"/>
    <n v="8337"/>
    <n v="0.16137898995373687"/>
    <s v="High CTR"/>
    <s v="High"/>
    <s v="Morning"/>
    <n v="3"/>
  </r>
  <r>
    <s v="ad071ecc-7103-475b-8ebf-79f1780153b3"/>
    <s v="11a12968-6dd3-45aa-9e19-8ef7602cc491"/>
    <n v="289"/>
    <n v="4590"/>
    <n v="1393"/>
    <n v="94.71"/>
    <n v="22679"/>
    <n v="79543"/>
    <n v="7.16"/>
    <s v="Text"/>
    <x v="534"/>
    <d v="1899-12-30T05:31:46"/>
    <n v="0.94709999999999994"/>
    <n v="7.1599999999999997E-2"/>
    <n v="6272"/>
    <n v="7.8850433099078479E-2"/>
    <s v="High CTR"/>
    <s v="High"/>
    <s v="Morning"/>
    <n v="3"/>
  </r>
  <r>
    <s v="ad071ecc-7103-475b-8ebf-79f1780153b3"/>
    <s v="11a12968-6dd3-45aa-9e19-8ef7602cc491"/>
    <n v="289"/>
    <n v="4590"/>
    <n v="1393"/>
    <n v="94.71"/>
    <n v="22679"/>
    <n v="79543"/>
    <n v="7.16"/>
    <s v="Text"/>
    <x v="535"/>
    <d v="1899-12-30T05:31:46"/>
    <n v="0.94709999999999994"/>
    <n v="7.1599999999999997E-2"/>
    <n v="6272"/>
    <n v="7.8850433099078479E-2"/>
    <s v="High CTR"/>
    <s v="High"/>
    <s v="Morning"/>
    <n v="3"/>
  </r>
  <r>
    <s v="ad071ecc-7103-475b-8ebf-79f1780153b3"/>
    <s v="11a12968-6dd3-45aa-9e19-8ef7602cc491"/>
    <n v="289"/>
    <n v="4590"/>
    <n v="1393"/>
    <n v="94.71"/>
    <n v="22679"/>
    <n v="79543"/>
    <n v="7.16"/>
    <s v="Text"/>
    <x v="277"/>
    <d v="1899-12-30T05:31:46"/>
    <n v="0.94709999999999994"/>
    <n v="7.1599999999999997E-2"/>
    <n v="6272"/>
    <n v="7.8850433099078479E-2"/>
    <s v="High CTR"/>
    <s v="High"/>
    <s v="Morning"/>
    <n v="3"/>
  </r>
  <r>
    <s v="0736d107-50a9-49b3-988e-3b5d01b33a5d"/>
    <s v="3135cab6-e107-40de-aa61-835352a6cdc4"/>
    <n v="3083"/>
    <n v="4807"/>
    <n v="0"/>
    <n v="95.49"/>
    <n v="92451"/>
    <n v="70826"/>
    <n v="4.92"/>
    <s v="Video"/>
    <x v="231"/>
    <d v="1899-12-30T10:49:05"/>
    <n v="0.95489999999999997"/>
    <n v="4.9200000000000001E-2"/>
    <n v="7890"/>
    <n v="0.11139976844661564"/>
    <s v="High CTR"/>
    <s v="High"/>
    <s v="Morning"/>
    <n v="3"/>
  </r>
  <r>
    <s v="0736d107-50a9-49b3-988e-3b5d01b33a5d"/>
    <s v="3135cab6-e107-40de-aa61-835352a6cdc4"/>
    <n v="3083"/>
    <n v="4807"/>
    <n v="0"/>
    <n v="95.49"/>
    <n v="92451"/>
    <n v="70826"/>
    <n v="4.92"/>
    <s v="Video"/>
    <x v="536"/>
    <d v="1899-12-30T10:49:05"/>
    <n v="0.95489999999999997"/>
    <n v="4.9200000000000001E-2"/>
    <n v="7890"/>
    <n v="0.11139976844661564"/>
    <s v="High CTR"/>
    <s v="High"/>
    <s v="Morning"/>
    <n v="3"/>
  </r>
  <r>
    <s v="0736d107-50a9-49b3-988e-3b5d01b33a5d"/>
    <s v="3135cab6-e107-40de-aa61-835352a6cdc4"/>
    <n v="3083"/>
    <n v="4807"/>
    <n v="0"/>
    <n v="95.49"/>
    <n v="92451"/>
    <n v="70826"/>
    <n v="4.92"/>
    <s v="Video"/>
    <x v="537"/>
    <d v="1899-12-30T10:49:05"/>
    <n v="0.95489999999999997"/>
    <n v="4.9200000000000001E-2"/>
    <n v="7890"/>
    <n v="0.11139976844661564"/>
    <s v="High CTR"/>
    <s v="High"/>
    <s v="Morning"/>
    <n v="3"/>
  </r>
  <r>
    <s v="a4db828f-76a8-4660-a43c-3342ca5cb2b9"/>
    <s v="428e0e71-3316-4138-b4d5-457f55cea67c"/>
    <n v="9675"/>
    <n v="3091"/>
    <n v="1702"/>
    <n v="0.41"/>
    <n v="78742"/>
    <n v="82136"/>
    <n v="8.5299999999999994"/>
    <s v="Text"/>
    <x v="538"/>
    <d v="1899-12-30T05:42:32"/>
    <n v="4.0999999999999995E-3"/>
    <n v="8.5299999999999987E-2"/>
    <n v="14468"/>
    <n v="0.17614687834810558"/>
    <s v="High CTR"/>
    <s v="High"/>
    <s v="Morning"/>
    <n v="3"/>
  </r>
  <r>
    <s v="a4db828f-76a8-4660-a43c-3342ca5cb2b9"/>
    <s v="428e0e71-3316-4138-b4d5-457f55cea67c"/>
    <n v="9675"/>
    <n v="3091"/>
    <n v="1702"/>
    <n v="0.41"/>
    <n v="78742"/>
    <n v="82136"/>
    <n v="8.5299999999999994"/>
    <s v="Text"/>
    <x v="440"/>
    <d v="1899-12-30T05:42:32"/>
    <n v="4.0999999999999995E-3"/>
    <n v="8.5299999999999987E-2"/>
    <n v="14468"/>
    <n v="0.17614687834810558"/>
    <s v="High CTR"/>
    <s v="High"/>
    <s v="Morning"/>
    <n v="3"/>
  </r>
  <r>
    <s v="a4db828f-76a8-4660-a43c-3342ca5cb2b9"/>
    <s v="428e0e71-3316-4138-b4d5-457f55cea67c"/>
    <n v="9675"/>
    <n v="3091"/>
    <n v="1702"/>
    <n v="0.41"/>
    <n v="78742"/>
    <n v="82136"/>
    <n v="8.5299999999999994"/>
    <s v="Text"/>
    <x v="539"/>
    <d v="1899-12-30T05:42:32"/>
    <n v="4.0999999999999995E-3"/>
    <n v="8.5299999999999987E-2"/>
    <n v="14468"/>
    <n v="0.17614687834810558"/>
    <s v="High CTR"/>
    <s v="High"/>
    <s v="Morning"/>
    <n v="3"/>
  </r>
  <r>
    <s v="4036c2d6-75a2-4944-98df-eb4f7038e0b9"/>
    <s v="9059e876-fd36-4207-919e-f6d765f1df94"/>
    <n v="2626"/>
    <n v="1488"/>
    <n v="1704"/>
    <n v="96.18"/>
    <n v="76492"/>
    <n v="49679"/>
    <n v="5.0199999999999996"/>
    <s v="Poll"/>
    <x v="540"/>
    <d v="1899-12-30T09:21:38"/>
    <n v="0.9618000000000001"/>
    <n v="5.0199999999999995E-2"/>
    <n v="5818"/>
    <n v="0.11711185812918939"/>
    <s v="High CTR"/>
    <s v="High"/>
    <s v="Morning"/>
    <n v="3"/>
  </r>
  <r>
    <s v="4036c2d6-75a2-4944-98df-eb4f7038e0b9"/>
    <s v="9059e876-fd36-4207-919e-f6d765f1df94"/>
    <n v="2626"/>
    <n v="1488"/>
    <n v="1704"/>
    <n v="96.18"/>
    <n v="76492"/>
    <n v="49679"/>
    <n v="5.0199999999999996"/>
    <s v="Poll"/>
    <x v="541"/>
    <d v="1899-12-30T09:21:38"/>
    <n v="0.9618000000000001"/>
    <n v="5.0199999999999995E-2"/>
    <n v="5818"/>
    <n v="0.11711185812918939"/>
    <s v="High CTR"/>
    <s v="High"/>
    <s v="Morning"/>
    <n v="3"/>
  </r>
  <r>
    <s v="4036c2d6-75a2-4944-98df-eb4f7038e0b9"/>
    <s v="9059e876-fd36-4207-919e-f6d765f1df94"/>
    <n v="2626"/>
    <n v="1488"/>
    <n v="1704"/>
    <n v="96.18"/>
    <n v="76492"/>
    <n v="49679"/>
    <n v="5.0199999999999996"/>
    <s v="Poll"/>
    <x v="6"/>
    <d v="1899-12-30T09:21:38"/>
    <n v="0.9618000000000001"/>
    <n v="5.0199999999999995E-2"/>
    <n v="5818"/>
    <n v="0.11711185812918939"/>
    <s v="High CTR"/>
    <s v="High"/>
    <s v="Morning"/>
    <n v="3"/>
  </r>
  <r>
    <s v="97b255fc-1540-4449-a1f1-923893c07256"/>
    <s v="d17ca639-bd4f-44a1-8766-23724dd6f8c4"/>
    <n v="6361"/>
    <n v="215"/>
    <n v="1877"/>
    <n v="77.19"/>
    <n v="59109"/>
    <n v="73652"/>
    <n v="8.69"/>
    <s v="Video"/>
    <x v="225"/>
    <d v="1899-12-30T07:57:23"/>
    <n v="0.77190000000000003"/>
    <n v="8.6899999999999991E-2"/>
    <n v="8453"/>
    <n v="0.11476945636235268"/>
    <s v="High CTR"/>
    <s v="High"/>
    <s v="Morning"/>
    <n v="3"/>
  </r>
  <r>
    <s v="97b255fc-1540-4449-a1f1-923893c07256"/>
    <s v="d17ca639-bd4f-44a1-8766-23724dd6f8c4"/>
    <n v="6361"/>
    <n v="215"/>
    <n v="1877"/>
    <n v="77.19"/>
    <n v="59109"/>
    <n v="73652"/>
    <n v="8.69"/>
    <s v="Video"/>
    <x v="540"/>
    <d v="1899-12-30T07:57:23"/>
    <n v="0.77190000000000003"/>
    <n v="8.6899999999999991E-2"/>
    <n v="8453"/>
    <n v="0.11476945636235268"/>
    <s v="High CTR"/>
    <s v="High"/>
    <s v="Morning"/>
    <n v="3"/>
  </r>
  <r>
    <s v="97b255fc-1540-4449-a1f1-923893c07256"/>
    <s v="d17ca639-bd4f-44a1-8766-23724dd6f8c4"/>
    <n v="6361"/>
    <n v="215"/>
    <n v="1877"/>
    <n v="77.19"/>
    <n v="59109"/>
    <n v="73652"/>
    <n v="8.69"/>
    <s v="Video"/>
    <x v="542"/>
    <d v="1899-12-30T07:57:23"/>
    <n v="0.77190000000000003"/>
    <n v="8.6899999999999991E-2"/>
    <n v="8453"/>
    <n v="0.11476945636235268"/>
    <s v="High CTR"/>
    <s v="High"/>
    <s v="Morning"/>
    <n v="3"/>
  </r>
  <r>
    <s v="a4ec05ed-82a8-4fa3-a31e-4d92ff406f15"/>
    <s v="90d2a166-51fd-4c03-a5b2-c132983bb3a9"/>
    <n v="2650"/>
    <n v="2266"/>
    <n v="1053"/>
    <n v="93.68"/>
    <n v="88117"/>
    <n v="82098"/>
    <n v="4.16"/>
    <s v="Video"/>
    <x v="543"/>
    <d v="1899-12-30T08:23:17"/>
    <n v="0.93680000000000008"/>
    <n v="4.1599999999999998E-2"/>
    <n v="5969"/>
    <n v="7.2705790640454085E-2"/>
    <s v="High CTR"/>
    <s v="High"/>
    <s v="Morning"/>
    <n v="3"/>
  </r>
  <r>
    <s v="a4ec05ed-82a8-4fa3-a31e-4d92ff406f15"/>
    <s v="90d2a166-51fd-4c03-a5b2-c132983bb3a9"/>
    <n v="2650"/>
    <n v="2266"/>
    <n v="1053"/>
    <n v="93.68"/>
    <n v="88117"/>
    <n v="82098"/>
    <n v="4.16"/>
    <s v="Video"/>
    <x v="107"/>
    <d v="1899-12-30T08:23:17"/>
    <n v="0.93680000000000008"/>
    <n v="4.1599999999999998E-2"/>
    <n v="5969"/>
    <n v="7.2705790640454085E-2"/>
    <s v="High CTR"/>
    <s v="High"/>
    <s v="Morning"/>
    <n v="3"/>
  </r>
  <r>
    <s v="a4ec05ed-82a8-4fa3-a31e-4d92ff406f15"/>
    <s v="90d2a166-51fd-4c03-a5b2-c132983bb3a9"/>
    <n v="2650"/>
    <n v="2266"/>
    <n v="1053"/>
    <n v="93.68"/>
    <n v="88117"/>
    <n v="82098"/>
    <n v="4.16"/>
    <s v="Video"/>
    <x v="544"/>
    <d v="1899-12-30T08:23:17"/>
    <n v="0.93680000000000008"/>
    <n v="4.1599999999999998E-2"/>
    <n v="5969"/>
    <n v="7.2705790640454085E-2"/>
    <s v="High CTR"/>
    <s v="High"/>
    <s v="Morning"/>
    <n v="3"/>
  </r>
  <r>
    <s v="666e0fb7-7f7a-414b-b4c9-c595b9e7e223"/>
    <s v="12e20a22-0e8a-4fee-a144-0c50cc2bee62"/>
    <n v="9585"/>
    <n v="3060"/>
    <n v="1654"/>
    <n v="0.38"/>
    <n v="98870"/>
    <n v="81703"/>
    <n v="0.76"/>
    <s v="Video"/>
    <x v="447"/>
    <d v="1899-12-30T21:07:15"/>
    <n v="3.8E-3"/>
    <n v="7.6E-3"/>
    <n v="14299"/>
    <n v="0.1750119334663354"/>
    <s v="High CTR"/>
    <s v="High"/>
    <s v="Night"/>
    <n v="3"/>
  </r>
  <r>
    <s v="666e0fb7-7f7a-414b-b4c9-c595b9e7e223"/>
    <s v="12e20a22-0e8a-4fee-a144-0c50cc2bee62"/>
    <n v="9585"/>
    <n v="3060"/>
    <n v="1654"/>
    <n v="0.38"/>
    <n v="98870"/>
    <n v="81703"/>
    <n v="0.76"/>
    <s v="Video"/>
    <x v="118"/>
    <d v="1899-12-30T21:07:15"/>
    <n v="3.8E-3"/>
    <n v="7.6E-3"/>
    <n v="14299"/>
    <n v="0.1750119334663354"/>
    <s v="High CTR"/>
    <s v="High"/>
    <s v="Night"/>
    <n v="3"/>
  </r>
  <r>
    <s v="666e0fb7-7f7a-414b-b4c9-c595b9e7e223"/>
    <s v="12e20a22-0e8a-4fee-a144-0c50cc2bee62"/>
    <n v="9585"/>
    <n v="3060"/>
    <n v="1654"/>
    <n v="0.38"/>
    <n v="98870"/>
    <n v="81703"/>
    <n v="0.76"/>
    <s v="Video"/>
    <x v="545"/>
    <d v="1899-12-30T21:07:15"/>
    <n v="3.8E-3"/>
    <n v="7.6E-3"/>
    <n v="14299"/>
    <n v="0.1750119334663354"/>
    <s v="High CTR"/>
    <s v="High"/>
    <s v="Night"/>
    <n v="3"/>
  </r>
  <r>
    <s v="0687b489-4442-4200-8bfd-c6d05d511432"/>
    <s v="b497d310-6cb8-45f4-89e8-318695fd7c66"/>
    <n v="188"/>
    <n v="4868"/>
    <n v="965"/>
    <n v="67.78"/>
    <n v="55405"/>
    <n v="21310"/>
    <n v="3.93"/>
    <s v="Poll"/>
    <x v="190"/>
    <d v="1899-12-30T12:09:54"/>
    <n v="0.67779999999999996"/>
    <n v="3.9300000000000002E-2"/>
    <n v="6021"/>
    <n v="0.28254340685124357"/>
    <s v="High CTR"/>
    <s v="High"/>
    <s v="Afternoon"/>
    <n v="3"/>
  </r>
  <r>
    <s v="0687b489-4442-4200-8bfd-c6d05d511432"/>
    <s v="b497d310-6cb8-45f4-89e8-318695fd7c66"/>
    <n v="188"/>
    <n v="4868"/>
    <n v="965"/>
    <n v="67.78"/>
    <n v="55405"/>
    <n v="21310"/>
    <n v="3.93"/>
    <s v="Poll"/>
    <x v="324"/>
    <d v="1899-12-30T12:09:54"/>
    <n v="0.67779999999999996"/>
    <n v="3.9300000000000002E-2"/>
    <n v="6021"/>
    <n v="0.28254340685124357"/>
    <s v="High CTR"/>
    <s v="High"/>
    <s v="Afternoon"/>
    <n v="3"/>
  </r>
  <r>
    <s v="0687b489-4442-4200-8bfd-c6d05d511432"/>
    <s v="b497d310-6cb8-45f4-89e8-318695fd7c66"/>
    <n v="188"/>
    <n v="4868"/>
    <n v="965"/>
    <n v="67.78"/>
    <n v="55405"/>
    <n v="21310"/>
    <n v="3.93"/>
    <s v="Poll"/>
    <x v="343"/>
    <d v="1899-12-30T12:09:54"/>
    <n v="0.67779999999999996"/>
    <n v="3.9300000000000002E-2"/>
    <n v="6021"/>
    <n v="0.28254340685124357"/>
    <s v="High CTR"/>
    <s v="High"/>
    <s v="Afternoon"/>
    <n v="3"/>
  </r>
  <r>
    <s v="0b661d7c-abf2-4733-ae3e-288fd6e0ee1c"/>
    <s v="e6976cf7-7d43-4244-9bf8-6b56b13409f2"/>
    <n v="5238"/>
    <n v="865"/>
    <n v="598"/>
    <n v="27.46"/>
    <n v="34596"/>
    <n v="85357"/>
    <n v="2.37"/>
    <s v="Text"/>
    <x v="546"/>
    <d v="1899-12-30T08:20:49"/>
    <n v="0.27460000000000001"/>
    <n v="2.3700000000000002E-2"/>
    <n v="6701"/>
    <n v="7.8505570720620449E-2"/>
    <s v="High CTR"/>
    <s v="High"/>
    <s v="Morning"/>
    <n v="3"/>
  </r>
  <r>
    <s v="0b661d7c-abf2-4733-ae3e-288fd6e0ee1c"/>
    <s v="e6976cf7-7d43-4244-9bf8-6b56b13409f2"/>
    <n v="5238"/>
    <n v="865"/>
    <n v="598"/>
    <n v="27.46"/>
    <n v="34596"/>
    <n v="85357"/>
    <n v="2.37"/>
    <s v="Text"/>
    <x v="547"/>
    <d v="1899-12-30T08:20:49"/>
    <n v="0.27460000000000001"/>
    <n v="2.3700000000000002E-2"/>
    <n v="6701"/>
    <n v="7.8505570720620449E-2"/>
    <s v="High CTR"/>
    <s v="High"/>
    <s v="Morning"/>
    <n v="3"/>
  </r>
  <r>
    <s v="0b661d7c-abf2-4733-ae3e-288fd6e0ee1c"/>
    <s v="e6976cf7-7d43-4244-9bf8-6b56b13409f2"/>
    <n v="5238"/>
    <n v="865"/>
    <n v="598"/>
    <n v="27.46"/>
    <n v="34596"/>
    <n v="85357"/>
    <n v="2.37"/>
    <s v="Text"/>
    <x v="548"/>
    <d v="1899-12-30T08:20:49"/>
    <n v="0.27460000000000001"/>
    <n v="2.3700000000000002E-2"/>
    <n v="6701"/>
    <n v="7.8505570720620449E-2"/>
    <s v="High CTR"/>
    <s v="High"/>
    <s v="Morning"/>
    <n v="3"/>
  </r>
  <r>
    <s v="99a2b49c-a5f5-4d77-bfa8-d860762b2f94"/>
    <s v="7f7e567c-823a-424e-81c4-02abaee39d57"/>
    <n v="412"/>
    <n v="4365"/>
    <n v="382"/>
    <n v="88.28"/>
    <n v="13656"/>
    <n v="51287"/>
    <n v="4.4000000000000004"/>
    <s v="Poll"/>
    <x v="106"/>
    <d v="1899-12-30T02:07:28"/>
    <n v="0.88280000000000003"/>
    <n v="4.4000000000000004E-2"/>
    <n v="5159"/>
    <n v="0.10059079298847662"/>
    <s v="High CTR"/>
    <s v="High"/>
    <s v="Morning"/>
    <n v="3"/>
  </r>
  <r>
    <s v="99a2b49c-a5f5-4d77-bfa8-d860762b2f94"/>
    <s v="7f7e567c-823a-424e-81c4-02abaee39d57"/>
    <n v="412"/>
    <n v="4365"/>
    <n v="382"/>
    <n v="88.28"/>
    <n v="13656"/>
    <n v="51287"/>
    <n v="4.4000000000000004"/>
    <s v="Poll"/>
    <x v="137"/>
    <d v="1899-12-30T02:07:28"/>
    <n v="0.88280000000000003"/>
    <n v="4.4000000000000004E-2"/>
    <n v="5159"/>
    <n v="0.10059079298847662"/>
    <s v="High CTR"/>
    <s v="High"/>
    <s v="Morning"/>
    <n v="3"/>
  </r>
  <r>
    <s v="99a2b49c-a5f5-4d77-bfa8-d860762b2f94"/>
    <s v="7f7e567c-823a-424e-81c4-02abaee39d57"/>
    <n v="412"/>
    <n v="4365"/>
    <n v="382"/>
    <n v="88.28"/>
    <n v="13656"/>
    <n v="51287"/>
    <n v="4.4000000000000004"/>
    <s v="Poll"/>
    <x v="549"/>
    <d v="1899-12-30T02:07:28"/>
    <n v="0.88280000000000003"/>
    <n v="4.4000000000000004E-2"/>
    <n v="5159"/>
    <n v="0.10059079298847662"/>
    <s v="High CTR"/>
    <s v="High"/>
    <s v="Morning"/>
    <n v="3"/>
  </r>
  <r>
    <s v="38a324ab-abd7-4101-b7c2-2e479280ff50"/>
    <s v="77704c31-3c38-40ac-b690-2009189ea7d0"/>
    <n v="1565"/>
    <n v="227"/>
    <n v="1608"/>
    <n v="47.41"/>
    <n v="58265"/>
    <n v="50416"/>
    <n v="0.16"/>
    <s v="Text"/>
    <x v="264"/>
    <d v="1899-12-30T01:04:10"/>
    <n v="0.47409999999999997"/>
    <n v="1.6000000000000001E-3"/>
    <n v="3400"/>
    <n v="6.7438908283084742E-2"/>
    <s v="High CTR"/>
    <s v="High"/>
    <s v="Morning"/>
    <n v="3"/>
  </r>
  <r>
    <s v="38a324ab-abd7-4101-b7c2-2e479280ff50"/>
    <s v="77704c31-3c38-40ac-b690-2009189ea7d0"/>
    <n v="1565"/>
    <n v="227"/>
    <n v="1608"/>
    <n v="47.41"/>
    <n v="58265"/>
    <n v="50416"/>
    <n v="0.16"/>
    <s v="Text"/>
    <x v="550"/>
    <d v="1899-12-30T01:04:10"/>
    <n v="0.47409999999999997"/>
    <n v="1.6000000000000001E-3"/>
    <n v="3400"/>
    <n v="6.7438908283084742E-2"/>
    <s v="High CTR"/>
    <s v="High"/>
    <s v="Morning"/>
    <n v="3"/>
  </r>
  <r>
    <s v="38a324ab-abd7-4101-b7c2-2e479280ff50"/>
    <s v="77704c31-3c38-40ac-b690-2009189ea7d0"/>
    <n v="1565"/>
    <n v="227"/>
    <n v="1608"/>
    <n v="47.41"/>
    <n v="58265"/>
    <n v="50416"/>
    <n v="0.16"/>
    <s v="Text"/>
    <x v="256"/>
    <d v="1899-12-30T01:04:10"/>
    <n v="0.47409999999999997"/>
    <n v="1.6000000000000001E-3"/>
    <n v="3400"/>
    <n v="6.7438908283084742E-2"/>
    <s v="High CTR"/>
    <s v="High"/>
    <s v="Morning"/>
    <n v="3"/>
  </r>
  <r>
    <s v="3bbf1d13-2e9b-4935-95f2-5178884301eb"/>
    <s v="f4dc596f-1613-4399-9141-f6099af70dcc"/>
    <n v="3729"/>
    <n v="1651"/>
    <n v="900"/>
    <n v="80.92"/>
    <n v="45083"/>
    <n v="51326"/>
    <n v="2.04"/>
    <s v="Image"/>
    <x v="83"/>
    <d v="1899-12-30T23:37:05"/>
    <n v="0.80920000000000003"/>
    <n v="2.0400000000000001E-2"/>
    <n v="6280"/>
    <n v="0.12235514164361143"/>
    <s v="High CTR"/>
    <s v="High"/>
    <s v="Night"/>
    <n v="3"/>
  </r>
  <r>
    <s v="3bbf1d13-2e9b-4935-95f2-5178884301eb"/>
    <s v="f4dc596f-1613-4399-9141-f6099af70dcc"/>
    <n v="3729"/>
    <n v="1651"/>
    <n v="900"/>
    <n v="80.92"/>
    <n v="45083"/>
    <n v="51326"/>
    <n v="2.04"/>
    <s v="Image"/>
    <x v="30"/>
    <d v="1899-12-30T23:37:05"/>
    <n v="0.80920000000000003"/>
    <n v="2.0400000000000001E-2"/>
    <n v="6280"/>
    <n v="0.12235514164361143"/>
    <s v="High CTR"/>
    <s v="High"/>
    <s v="Night"/>
    <n v="3"/>
  </r>
  <r>
    <s v="3bbf1d13-2e9b-4935-95f2-5178884301eb"/>
    <s v="f4dc596f-1613-4399-9141-f6099af70dcc"/>
    <n v="3729"/>
    <n v="1651"/>
    <n v="900"/>
    <n v="80.92"/>
    <n v="45083"/>
    <n v="51326"/>
    <n v="2.04"/>
    <s v="Image"/>
    <x v="551"/>
    <d v="1899-12-30T23:37:05"/>
    <n v="0.80920000000000003"/>
    <n v="2.0400000000000001E-2"/>
    <n v="6280"/>
    <n v="0.12235514164361143"/>
    <s v="High CTR"/>
    <s v="High"/>
    <s v="Night"/>
    <n v="3"/>
  </r>
  <r>
    <s v="b86a5547-caeb-4471-b9c0-f468dbffa896"/>
    <s v="d579d7f9-307f-49cf-9d72-c13845cbf161"/>
    <n v="7749"/>
    <n v="1534"/>
    <n v="291"/>
    <n v="36.54"/>
    <n v="44665"/>
    <n v="34568"/>
    <n v="2.02"/>
    <s v="Video"/>
    <x v="552"/>
    <d v="1899-12-30T17:56:13"/>
    <n v="0.3654"/>
    <n v="2.0199999999999999E-2"/>
    <n v="9574"/>
    <n v="0.27696135153899559"/>
    <s v="High CTR"/>
    <s v="High"/>
    <s v="Evening"/>
    <n v="3"/>
  </r>
  <r>
    <s v="b86a5547-caeb-4471-b9c0-f468dbffa896"/>
    <s v="d579d7f9-307f-49cf-9d72-c13845cbf161"/>
    <n v="7749"/>
    <n v="1534"/>
    <n v="291"/>
    <n v="36.54"/>
    <n v="44665"/>
    <n v="34568"/>
    <n v="2.02"/>
    <s v="Video"/>
    <x v="544"/>
    <d v="1899-12-30T17:56:13"/>
    <n v="0.3654"/>
    <n v="2.0199999999999999E-2"/>
    <n v="9574"/>
    <n v="0.27696135153899559"/>
    <s v="High CTR"/>
    <s v="High"/>
    <s v="Evening"/>
    <n v="3"/>
  </r>
  <r>
    <s v="b86a5547-caeb-4471-b9c0-f468dbffa896"/>
    <s v="d579d7f9-307f-49cf-9d72-c13845cbf161"/>
    <n v="7749"/>
    <n v="1534"/>
    <n v="291"/>
    <n v="36.54"/>
    <n v="44665"/>
    <n v="34568"/>
    <n v="2.02"/>
    <s v="Video"/>
    <x v="58"/>
    <d v="1899-12-30T17:56:13"/>
    <n v="0.3654"/>
    <n v="2.0199999999999999E-2"/>
    <n v="9574"/>
    <n v="0.27696135153899559"/>
    <s v="High CTR"/>
    <s v="High"/>
    <s v="Evening"/>
    <n v="3"/>
  </r>
  <r>
    <s v="6dd69a31-fe94-4ab6-bc65-2a3dcdc748f8"/>
    <s v="746bf520-432c-4c92-8591-4d92fad3ba8f"/>
    <n v="6016"/>
    <n v="1634"/>
    <n v="418"/>
    <n v="83.31"/>
    <n v="48010"/>
    <n v="7353"/>
    <n v="8.06"/>
    <s v="Text"/>
    <x v="319"/>
    <d v="1899-12-30T08:29:23"/>
    <n v="0.83310000000000006"/>
    <n v="8.0600000000000005E-2"/>
    <n v="8068"/>
    <n v="1"/>
    <s v="High CTR"/>
    <s v="High"/>
    <s v="Morning"/>
    <n v="3"/>
  </r>
  <r>
    <s v="6dd69a31-fe94-4ab6-bc65-2a3dcdc748f8"/>
    <s v="746bf520-432c-4c92-8591-4d92fad3ba8f"/>
    <n v="6016"/>
    <n v="1634"/>
    <n v="418"/>
    <n v="83.31"/>
    <n v="48010"/>
    <n v="7353"/>
    <n v="8.06"/>
    <s v="Text"/>
    <x v="553"/>
    <d v="1899-12-30T08:29:23"/>
    <n v="0.83310000000000006"/>
    <n v="8.0600000000000005E-2"/>
    <n v="8068"/>
    <n v="1"/>
    <s v="High CTR"/>
    <s v="High"/>
    <s v="Morning"/>
    <n v="3"/>
  </r>
  <r>
    <s v="6dd69a31-fe94-4ab6-bc65-2a3dcdc748f8"/>
    <s v="746bf520-432c-4c92-8591-4d92fad3ba8f"/>
    <n v="6016"/>
    <n v="1634"/>
    <n v="418"/>
    <n v="83.31"/>
    <n v="48010"/>
    <n v="7353"/>
    <n v="8.06"/>
    <s v="Text"/>
    <x v="496"/>
    <d v="1899-12-30T08:29:23"/>
    <n v="0.83310000000000006"/>
    <n v="8.0600000000000005E-2"/>
    <n v="8068"/>
    <n v="1"/>
    <s v="High CTR"/>
    <s v="High"/>
    <s v="Morning"/>
    <n v="3"/>
  </r>
  <r>
    <s v="d2978a54-f88e-402e-b8b2-b1d2bb6e996a"/>
    <s v="89e93b5a-0038-4923-aa19-a050a8d9507f"/>
    <n v="7826"/>
    <n v="1973"/>
    <n v="467"/>
    <n v="59.93"/>
    <n v="68767"/>
    <n v="69313"/>
    <n v="8.34"/>
    <s v="Video"/>
    <x v="474"/>
    <d v="1899-12-30T12:54:52"/>
    <n v="0.59929999999999994"/>
    <n v="8.3400000000000002E-2"/>
    <n v="10266"/>
    <n v="0.148110744016274"/>
    <s v="High CTR"/>
    <s v="High"/>
    <s v="Afternoon"/>
    <n v="3"/>
  </r>
  <r>
    <s v="d2978a54-f88e-402e-b8b2-b1d2bb6e996a"/>
    <s v="89e93b5a-0038-4923-aa19-a050a8d9507f"/>
    <n v="7826"/>
    <n v="1973"/>
    <n v="467"/>
    <n v="59.93"/>
    <n v="68767"/>
    <n v="69313"/>
    <n v="8.34"/>
    <s v="Video"/>
    <x v="554"/>
    <d v="1899-12-30T12:54:52"/>
    <n v="0.59929999999999994"/>
    <n v="8.3400000000000002E-2"/>
    <n v="10266"/>
    <n v="0.148110744016274"/>
    <s v="High CTR"/>
    <s v="High"/>
    <s v="Afternoon"/>
    <n v="3"/>
  </r>
  <r>
    <s v="d2978a54-f88e-402e-b8b2-b1d2bb6e996a"/>
    <s v="89e93b5a-0038-4923-aa19-a050a8d9507f"/>
    <n v="7826"/>
    <n v="1973"/>
    <n v="467"/>
    <n v="59.93"/>
    <n v="68767"/>
    <n v="69313"/>
    <n v="8.34"/>
    <s v="Video"/>
    <x v="555"/>
    <d v="1899-12-30T12:54:52"/>
    <n v="0.59929999999999994"/>
    <n v="8.3400000000000002E-2"/>
    <n v="10266"/>
    <n v="0.148110744016274"/>
    <s v="High CTR"/>
    <s v="High"/>
    <s v="Afternoon"/>
    <n v="3"/>
  </r>
  <r>
    <s v="63724c5d-e37a-4d97-a84c-3bf26dc19179"/>
    <s v="40fd1efd-a958-4c70-aab0-c4f19325d765"/>
    <n v="4409"/>
    <n v="870"/>
    <n v="1482"/>
    <n v="18.309999999999999"/>
    <n v="9709"/>
    <n v="69013"/>
    <n v="0.81"/>
    <s v="Video"/>
    <x v="77"/>
    <d v="1899-12-30T10:41:23"/>
    <n v="0.18309999999999998"/>
    <n v="8.1000000000000013E-3"/>
    <n v="6761"/>
    <n v="9.7967049686290983E-2"/>
    <s v="High CTR"/>
    <s v="High"/>
    <s v="Morning"/>
    <n v="3"/>
  </r>
  <r>
    <s v="63724c5d-e37a-4d97-a84c-3bf26dc19179"/>
    <s v="40fd1efd-a958-4c70-aab0-c4f19325d765"/>
    <n v="4409"/>
    <n v="870"/>
    <n v="1482"/>
    <n v="18.309999999999999"/>
    <n v="9709"/>
    <n v="69013"/>
    <n v="0.81"/>
    <s v="Video"/>
    <x v="179"/>
    <d v="1899-12-30T10:41:23"/>
    <n v="0.18309999999999998"/>
    <n v="8.1000000000000013E-3"/>
    <n v="6761"/>
    <n v="9.7967049686290983E-2"/>
    <s v="High CTR"/>
    <s v="High"/>
    <s v="Morning"/>
    <n v="3"/>
  </r>
  <r>
    <s v="63724c5d-e37a-4d97-a84c-3bf26dc19179"/>
    <s v="40fd1efd-a958-4c70-aab0-c4f19325d765"/>
    <n v="4409"/>
    <n v="870"/>
    <n v="1482"/>
    <n v="18.309999999999999"/>
    <n v="9709"/>
    <n v="69013"/>
    <n v="0.81"/>
    <s v="Video"/>
    <x v="60"/>
    <d v="1899-12-30T10:41:23"/>
    <n v="0.18309999999999998"/>
    <n v="8.1000000000000013E-3"/>
    <n v="6761"/>
    <n v="9.7967049686290983E-2"/>
    <s v="High CTR"/>
    <s v="High"/>
    <s v="Morning"/>
    <n v="3"/>
  </r>
  <r>
    <s v="5f3f72a3-b90b-4fc5-87e9-b46266217395"/>
    <s v="961b1b9b-6256-406b-b527-693b911b7d13"/>
    <n v="7526"/>
    <n v="4400"/>
    <n v="1083"/>
    <n v="44.87"/>
    <n v="13840"/>
    <n v="32653"/>
    <n v="8.36"/>
    <s v="Image"/>
    <x v="334"/>
    <d v="1899-12-30T20:42:45"/>
    <n v="0.44869999999999999"/>
    <n v="8.3599999999999994E-2"/>
    <n v="13009"/>
    <n v="0.39840137200257253"/>
    <s v="High CTR"/>
    <s v="High"/>
    <s v="Evening"/>
    <n v="3"/>
  </r>
  <r>
    <s v="5f3f72a3-b90b-4fc5-87e9-b46266217395"/>
    <s v="961b1b9b-6256-406b-b527-693b911b7d13"/>
    <n v="7526"/>
    <n v="4400"/>
    <n v="1083"/>
    <n v="44.87"/>
    <n v="13840"/>
    <n v="32653"/>
    <n v="8.36"/>
    <s v="Image"/>
    <x v="556"/>
    <d v="1899-12-30T20:42:45"/>
    <n v="0.44869999999999999"/>
    <n v="8.3599999999999994E-2"/>
    <n v="13009"/>
    <n v="0.39840137200257253"/>
    <s v="High CTR"/>
    <s v="High"/>
    <s v="Evening"/>
    <n v="3"/>
  </r>
  <r>
    <s v="5f3f72a3-b90b-4fc5-87e9-b46266217395"/>
    <s v="961b1b9b-6256-406b-b527-693b911b7d13"/>
    <n v="7526"/>
    <n v="4400"/>
    <n v="1083"/>
    <n v="44.87"/>
    <n v="13840"/>
    <n v="32653"/>
    <n v="8.36"/>
    <s v="Image"/>
    <x v="306"/>
    <d v="1899-12-30T20:42:45"/>
    <n v="0.44869999999999999"/>
    <n v="8.3599999999999994E-2"/>
    <n v="13009"/>
    <n v="0.39840137200257253"/>
    <s v="High CTR"/>
    <s v="High"/>
    <s v="Evening"/>
    <n v="3"/>
  </r>
  <r>
    <s v="d0df210f-d285-4158-a21e-c5665e612ea3"/>
    <s v="17768b80-e9f6-4772-9473-5acb374d9b90"/>
    <n v="1114"/>
    <n v="455"/>
    <n v="1430"/>
    <n v="82.37"/>
    <n v="90245"/>
    <n v="55286"/>
    <n v="7.67"/>
    <s v="Video"/>
    <x v="475"/>
    <d v="1899-12-30T04:56:34"/>
    <n v="0.8237000000000001"/>
    <n v="7.6700000000000004E-2"/>
    <n v="2999"/>
    <n v="5.4245197699236698E-2"/>
    <s v="High CTR"/>
    <s v="High"/>
    <s v="Morning"/>
    <n v="3"/>
  </r>
  <r>
    <s v="d0df210f-d285-4158-a21e-c5665e612ea3"/>
    <s v="17768b80-e9f6-4772-9473-5acb374d9b90"/>
    <n v="1114"/>
    <n v="455"/>
    <n v="1430"/>
    <n v="82.37"/>
    <n v="90245"/>
    <n v="55286"/>
    <n v="7.67"/>
    <s v="Video"/>
    <x v="557"/>
    <d v="1899-12-30T04:56:34"/>
    <n v="0.8237000000000001"/>
    <n v="7.6700000000000004E-2"/>
    <n v="2999"/>
    <n v="5.4245197699236698E-2"/>
    <s v="High CTR"/>
    <s v="High"/>
    <s v="Morning"/>
    <n v="3"/>
  </r>
  <r>
    <s v="d0df210f-d285-4158-a21e-c5665e612ea3"/>
    <s v="17768b80-e9f6-4772-9473-5acb374d9b90"/>
    <n v="1114"/>
    <n v="455"/>
    <n v="1430"/>
    <n v="82.37"/>
    <n v="90245"/>
    <n v="55286"/>
    <n v="7.67"/>
    <s v="Video"/>
    <x v="558"/>
    <d v="1899-12-30T04:56:34"/>
    <n v="0.8237000000000001"/>
    <n v="7.6700000000000004E-2"/>
    <n v="2999"/>
    <n v="5.4245197699236698E-2"/>
    <s v="High CTR"/>
    <s v="High"/>
    <s v="Morning"/>
    <n v="3"/>
  </r>
  <r>
    <s v="906b5970-f30d-4674-a495-e43c9daa771b"/>
    <s v="a3c39884-ddf4-44aa-8778-5ab7b82b36e4"/>
    <n v="2407"/>
    <n v="104"/>
    <n v="107"/>
    <n v="60.82"/>
    <n v="19105"/>
    <n v="2185"/>
    <n v="4.1100000000000003"/>
    <s v="Text"/>
    <x v="559"/>
    <d v="1899-12-30T18:36:07"/>
    <n v="0.60819999999999996"/>
    <n v="4.1100000000000005E-2"/>
    <n v="2618"/>
    <n v="1"/>
    <s v="High CTR"/>
    <s v="High"/>
    <s v="Evening"/>
    <n v="3"/>
  </r>
  <r>
    <s v="906b5970-f30d-4674-a495-e43c9daa771b"/>
    <s v="a3c39884-ddf4-44aa-8778-5ab7b82b36e4"/>
    <n v="2407"/>
    <n v="104"/>
    <n v="107"/>
    <n v="60.82"/>
    <n v="19105"/>
    <n v="2185"/>
    <n v="4.1100000000000003"/>
    <s v="Text"/>
    <x v="560"/>
    <d v="1899-12-30T18:36:07"/>
    <n v="0.60819999999999996"/>
    <n v="4.1100000000000005E-2"/>
    <n v="2618"/>
    <n v="1"/>
    <s v="High CTR"/>
    <s v="High"/>
    <s v="Evening"/>
    <n v="3"/>
  </r>
  <r>
    <s v="906b5970-f30d-4674-a495-e43c9daa771b"/>
    <s v="a3c39884-ddf4-44aa-8778-5ab7b82b36e4"/>
    <n v="2407"/>
    <n v="104"/>
    <n v="107"/>
    <n v="60.82"/>
    <n v="19105"/>
    <n v="2185"/>
    <n v="4.1100000000000003"/>
    <s v="Text"/>
    <x v="321"/>
    <d v="1899-12-30T18:36:07"/>
    <n v="0.60819999999999996"/>
    <n v="4.1100000000000005E-2"/>
    <n v="2618"/>
    <n v="1"/>
    <s v="High CTR"/>
    <s v="High"/>
    <s v="Evening"/>
    <n v="3"/>
  </r>
  <r>
    <s v="7a7528c1-556c-45c7-a0e5-60ac531aacfb"/>
    <s v="81d7b27d-0aa1-4ee4-9397-a5ad52fc01f8"/>
    <n v="6075"/>
    <n v="3104"/>
    <n v="96"/>
    <n v="91.12"/>
    <n v="74675"/>
    <n v="79529"/>
    <n v="0.53"/>
    <s v="Text"/>
    <x v="561"/>
    <d v="1899-12-30T16:26:25"/>
    <n v="0.91120000000000001"/>
    <n v="5.3E-3"/>
    <n v="9275"/>
    <n v="0.11662412453318916"/>
    <s v="High CTR"/>
    <s v="High"/>
    <s v="Afternoon"/>
    <n v="3"/>
  </r>
  <r>
    <s v="7a7528c1-556c-45c7-a0e5-60ac531aacfb"/>
    <s v="81d7b27d-0aa1-4ee4-9397-a5ad52fc01f8"/>
    <n v="6075"/>
    <n v="3104"/>
    <n v="96"/>
    <n v="91.12"/>
    <n v="74675"/>
    <n v="79529"/>
    <n v="0.53"/>
    <s v="Text"/>
    <x v="187"/>
    <d v="1899-12-30T16:26:25"/>
    <n v="0.91120000000000001"/>
    <n v="5.3E-3"/>
    <n v="9275"/>
    <n v="0.11662412453318916"/>
    <s v="High CTR"/>
    <s v="High"/>
    <s v="Afternoon"/>
    <n v="3"/>
  </r>
  <r>
    <s v="7a7528c1-556c-45c7-a0e5-60ac531aacfb"/>
    <s v="81d7b27d-0aa1-4ee4-9397-a5ad52fc01f8"/>
    <n v="6075"/>
    <n v="3104"/>
    <n v="96"/>
    <n v="91.12"/>
    <n v="74675"/>
    <n v="79529"/>
    <n v="0.53"/>
    <s v="Text"/>
    <x v="562"/>
    <d v="1899-12-30T16:26:25"/>
    <n v="0.91120000000000001"/>
    <n v="5.3E-3"/>
    <n v="9275"/>
    <n v="0.11662412453318916"/>
    <s v="High CTR"/>
    <s v="High"/>
    <s v="Afternoon"/>
    <n v="3"/>
  </r>
  <r>
    <s v="bc20746c-b0cd-499c-a66b-c5fa52c08761"/>
    <s v="031bb6ee-d8c7-4467-94ae-0f6924c28321"/>
    <n v="6049"/>
    <n v="3769"/>
    <n v="989"/>
    <n v="14.13"/>
    <n v="45885"/>
    <n v="45469"/>
    <n v="0.81"/>
    <s v="Image"/>
    <x v="563"/>
    <d v="1899-12-30T05:43:49"/>
    <n v="0.14130000000000001"/>
    <n v="8.1000000000000013E-3"/>
    <n v="10807"/>
    <n v="0.23767841826299238"/>
    <s v="High CTR"/>
    <s v="High"/>
    <s v="Morning"/>
    <n v="3"/>
  </r>
  <r>
    <s v="bc20746c-b0cd-499c-a66b-c5fa52c08761"/>
    <s v="031bb6ee-d8c7-4467-94ae-0f6924c28321"/>
    <n v="6049"/>
    <n v="3769"/>
    <n v="989"/>
    <n v="14.13"/>
    <n v="45885"/>
    <n v="45469"/>
    <n v="0.81"/>
    <s v="Image"/>
    <x v="65"/>
    <d v="1899-12-30T05:43:49"/>
    <n v="0.14130000000000001"/>
    <n v="8.1000000000000013E-3"/>
    <n v="10807"/>
    <n v="0.23767841826299238"/>
    <s v="High CTR"/>
    <s v="High"/>
    <s v="Morning"/>
    <n v="3"/>
  </r>
  <r>
    <s v="bc20746c-b0cd-499c-a66b-c5fa52c08761"/>
    <s v="031bb6ee-d8c7-4467-94ae-0f6924c28321"/>
    <n v="6049"/>
    <n v="3769"/>
    <n v="989"/>
    <n v="14.13"/>
    <n v="45885"/>
    <n v="45469"/>
    <n v="0.81"/>
    <s v="Image"/>
    <x v="415"/>
    <d v="1899-12-30T05:43:49"/>
    <n v="0.14130000000000001"/>
    <n v="8.1000000000000013E-3"/>
    <n v="10807"/>
    <n v="0.23767841826299238"/>
    <s v="High CTR"/>
    <s v="High"/>
    <s v="Morning"/>
    <n v="3"/>
  </r>
  <r>
    <s v="ca87a8a0-3aaf-412e-9966-2f58a5042450"/>
    <s v="74d8d918-4329-4a94-8f47-b1d0862310c6"/>
    <n v="3169"/>
    <n v="2964"/>
    <n v="78"/>
    <n v="63.68"/>
    <n v="32246"/>
    <n v="61261"/>
    <n v="7.85"/>
    <s v="Poll"/>
    <x v="464"/>
    <d v="1899-12-30T12:34:16"/>
    <n v="0.63680000000000003"/>
    <n v="7.85E-2"/>
    <n v="6211"/>
    <n v="0.10138587355740193"/>
    <s v="High CTR"/>
    <s v="High"/>
    <s v="Afternoon"/>
    <n v="3"/>
  </r>
  <r>
    <s v="ca87a8a0-3aaf-412e-9966-2f58a5042450"/>
    <s v="74d8d918-4329-4a94-8f47-b1d0862310c6"/>
    <n v="3169"/>
    <n v="2964"/>
    <n v="78"/>
    <n v="63.68"/>
    <n v="32246"/>
    <n v="61261"/>
    <n v="7.85"/>
    <s v="Poll"/>
    <x v="292"/>
    <d v="1899-12-30T12:34:16"/>
    <n v="0.63680000000000003"/>
    <n v="7.85E-2"/>
    <n v="6211"/>
    <n v="0.10138587355740193"/>
    <s v="High CTR"/>
    <s v="High"/>
    <s v="Afternoon"/>
    <n v="3"/>
  </r>
  <r>
    <s v="ca87a8a0-3aaf-412e-9966-2f58a5042450"/>
    <s v="74d8d918-4329-4a94-8f47-b1d0862310c6"/>
    <n v="3169"/>
    <n v="2964"/>
    <n v="78"/>
    <n v="63.68"/>
    <n v="32246"/>
    <n v="61261"/>
    <n v="7.85"/>
    <s v="Poll"/>
    <x v="72"/>
    <d v="1899-12-30T12:34:16"/>
    <n v="0.63680000000000003"/>
    <n v="7.85E-2"/>
    <n v="6211"/>
    <n v="0.10138587355740193"/>
    <s v="High CTR"/>
    <s v="High"/>
    <s v="Afternoon"/>
    <n v="3"/>
  </r>
  <r>
    <s v="ea35a4b0-b7af-44b3-ad08-4a6f358d504c"/>
    <s v="a00e1280-275a-4f5e-9923-55d836188ec6"/>
    <n v="220"/>
    <n v="3590"/>
    <n v="1276"/>
    <n v="96.26"/>
    <n v="83475"/>
    <n v="44117"/>
    <n v="5.75"/>
    <s v="Video"/>
    <x v="564"/>
    <d v="1899-12-30T19:47:35"/>
    <n v="0.96260000000000001"/>
    <n v="5.7500000000000002E-2"/>
    <n v="5086"/>
    <n v="0.11528435750391006"/>
    <s v="High CTR"/>
    <s v="High"/>
    <s v="Evening"/>
    <n v="3"/>
  </r>
  <r>
    <s v="ea35a4b0-b7af-44b3-ad08-4a6f358d504c"/>
    <s v="a00e1280-275a-4f5e-9923-55d836188ec6"/>
    <n v="220"/>
    <n v="3590"/>
    <n v="1276"/>
    <n v="96.26"/>
    <n v="83475"/>
    <n v="44117"/>
    <n v="5.75"/>
    <s v="Video"/>
    <x v="106"/>
    <d v="1899-12-30T19:47:35"/>
    <n v="0.96260000000000001"/>
    <n v="5.7500000000000002E-2"/>
    <n v="5086"/>
    <n v="0.11528435750391006"/>
    <s v="High CTR"/>
    <s v="High"/>
    <s v="Evening"/>
    <n v="3"/>
  </r>
  <r>
    <s v="ea35a4b0-b7af-44b3-ad08-4a6f358d504c"/>
    <s v="a00e1280-275a-4f5e-9923-55d836188ec6"/>
    <n v="220"/>
    <n v="3590"/>
    <n v="1276"/>
    <n v="96.26"/>
    <n v="83475"/>
    <n v="44117"/>
    <n v="5.75"/>
    <s v="Video"/>
    <x v="476"/>
    <d v="1899-12-30T19:47:35"/>
    <n v="0.96260000000000001"/>
    <n v="5.7500000000000002E-2"/>
    <n v="5086"/>
    <n v="0.11528435750391006"/>
    <s v="High CTR"/>
    <s v="High"/>
    <s v="Evening"/>
    <n v="3"/>
  </r>
  <r>
    <s v="178ce62b-ae80-45ef-80b8-25e434445935"/>
    <s v="22ae8fe3-e46a-4459-88d9-cd77255daee8"/>
    <n v="3368"/>
    <n v="1099"/>
    <n v="1458"/>
    <n v="83.24"/>
    <n v="18400"/>
    <n v="52414"/>
    <n v="8.66"/>
    <s v="Text"/>
    <x v="390"/>
    <d v="1899-12-30T11:17:48"/>
    <n v="0.83239999999999992"/>
    <n v="8.6599999999999996E-2"/>
    <n v="5925"/>
    <n v="0.11304231693822261"/>
    <s v="High CTR"/>
    <s v="High"/>
    <s v="Morning"/>
    <n v="3"/>
  </r>
  <r>
    <s v="178ce62b-ae80-45ef-80b8-25e434445935"/>
    <s v="22ae8fe3-e46a-4459-88d9-cd77255daee8"/>
    <n v="3368"/>
    <n v="1099"/>
    <n v="1458"/>
    <n v="83.24"/>
    <n v="18400"/>
    <n v="52414"/>
    <n v="8.66"/>
    <s v="Text"/>
    <x v="59"/>
    <d v="1899-12-30T11:17:48"/>
    <n v="0.83239999999999992"/>
    <n v="8.6599999999999996E-2"/>
    <n v="5925"/>
    <n v="0.11304231693822261"/>
    <s v="High CTR"/>
    <s v="High"/>
    <s v="Morning"/>
    <n v="3"/>
  </r>
  <r>
    <s v="178ce62b-ae80-45ef-80b8-25e434445935"/>
    <s v="22ae8fe3-e46a-4459-88d9-cd77255daee8"/>
    <n v="3368"/>
    <n v="1099"/>
    <n v="1458"/>
    <n v="83.24"/>
    <n v="18400"/>
    <n v="52414"/>
    <n v="8.66"/>
    <s v="Text"/>
    <x v="392"/>
    <d v="1899-12-30T11:17:48"/>
    <n v="0.83239999999999992"/>
    <n v="8.6599999999999996E-2"/>
    <n v="5925"/>
    <n v="0.11304231693822261"/>
    <s v="High CTR"/>
    <s v="High"/>
    <s v="Morning"/>
    <n v="3"/>
  </r>
  <r>
    <s v="149bec96-362e-4f4a-931b-703355c47866"/>
    <s v="1a62a0b6-0d9b-4819-9ae7-b9f4b0b02a5e"/>
    <n v="7251"/>
    <n v="4210"/>
    <n v="766"/>
    <n v="61.32"/>
    <n v="48010"/>
    <n v="1410"/>
    <n v="2.72"/>
    <s v="Poll"/>
    <x v="565"/>
    <d v="1899-12-30T02:02:27"/>
    <n v="0.61319999999999997"/>
    <n v="2.7200000000000002E-2"/>
    <n v="12227"/>
    <n v="1"/>
    <s v="High CTR"/>
    <s v="High"/>
    <s v="Morning"/>
    <n v="3"/>
  </r>
  <r>
    <s v="149bec96-362e-4f4a-931b-703355c47866"/>
    <s v="1a62a0b6-0d9b-4819-9ae7-b9f4b0b02a5e"/>
    <n v="7251"/>
    <n v="4210"/>
    <n v="766"/>
    <n v="61.32"/>
    <n v="48010"/>
    <n v="1410"/>
    <n v="2.72"/>
    <s v="Poll"/>
    <x v="566"/>
    <d v="1899-12-30T02:02:27"/>
    <n v="0.61319999999999997"/>
    <n v="2.7200000000000002E-2"/>
    <n v="12227"/>
    <n v="1"/>
    <s v="High CTR"/>
    <s v="High"/>
    <s v="Morning"/>
    <n v="3"/>
  </r>
  <r>
    <s v="149bec96-362e-4f4a-931b-703355c47866"/>
    <s v="1a62a0b6-0d9b-4819-9ae7-b9f4b0b02a5e"/>
    <n v="7251"/>
    <n v="4210"/>
    <n v="766"/>
    <n v="61.32"/>
    <n v="48010"/>
    <n v="1410"/>
    <n v="2.72"/>
    <s v="Poll"/>
    <x v="567"/>
    <d v="1899-12-30T02:02:27"/>
    <n v="0.61319999999999997"/>
    <n v="2.7200000000000002E-2"/>
    <n v="12227"/>
    <n v="1"/>
    <s v="High CTR"/>
    <s v="High"/>
    <s v="Morning"/>
    <n v="3"/>
  </r>
  <r>
    <s v="ad5ddc51-a696-4fe4-83e3-62b6cdc60fda"/>
    <s v="8f5a80c2-6a75-40f0-9dbf-d63eeb8f9b89"/>
    <n v="6106"/>
    <n v="3379"/>
    <n v="233"/>
    <n v="52.21"/>
    <n v="49983"/>
    <n v="69328"/>
    <n v="3.23"/>
    <s v="Video"/>
    <x v="508"/>
    <d v="1899-12-30T21:44:03"/>
    <n v="0.52210000000000001"/>
    <n v="3.2300000000000002E-2"/>
    <n v="9718"/>
    <n v="0.14017424417262866"/>
    <s v="High CTR"/>
    <s v="High"/>
    <s v="Night"/>
    <n v="3"/>
  </r>
  <r>
    <s v="ad5ddc51-a696-4fe4-83e3-62b6cdc60fda"/>
    <s v="8f5a80c2-6a75-40f0-9dbf-d63eeb8f9b89"/>
    <n v="6106"/>
    <n v="3379"/>
    <n v="233"/>
    <n v="52.21"/>
    <n v="49983"/>
    <n v="69328"/>
    <n v="3.23"/>
    <s v="Video"/>
    <x v="234"/>
    <d v="1899-12-30T21:44:03"/>
    <n v="0.52210000000000001"/>
    <n v="3.2300000000000002E-2"/>
    <n v="9718"/>
    <n v="0.14017424417262866"/>
    <s v="High CTR"/>
    <s v="High"/>
    <s v="Night"/>
    <n v="3"/>
  </r>
  <r>
    <s v="ad5ddc51-a696-4fe4-83e3-62b6cdc60fda"/>
    <s v="8f5a80c2-6a75-40f0-9dbf-d63eeb8f9b89"/>
    <n v="6106"/>
    <n v="3379"/>
    <n v="233"/>
    <n v="52.21"/>
    <n v="49983"/>
    <n v="69328"/>
    <n v="3.23"/>
    <s v="Video"/>
    <x v="568"/>
    <d v="1899-12-30T21:44:03"/>
    <n v="0.52210000000000001"/>
    <n v="3.2300000000000002E-2"/>
    <n v="9718"/>
    <n v="0.14017424417262866"/>
    <s v="High CTR"/>
    <s v="High"/>
    <s v="Night"/>
    <n v="3"/>
  </r>
  <r>
    <s v="a0f27292-5842-4adb-9a76-cf7294511bd8"/>
    <s v="5ecea2e8-6c5e-43e4-ac33-07d173f20cf2"/>
    <n v="6737"/>
    <n v="352"/>
    <n v="159"/>
    <n v="97.22"/>
    <n v="42428"/>
    <n v="69770"/>
    <n v="7.94"/>
    <s v="Video"/>
    <x v="569"/>
    <d v="1899-12-30T21:22:13"/>
    <n v="0.97219999999999995"/>
    <n v="7.9399999999999998E-2"/>
    <n v="7248"/>
    <n v="0.10388419091299986"/>
    <s v="High CTR"/>
    <s v="High"/>
    <s v="Night"/>
    <n v="3"/>
  </r>
  <r>
    <s v="a0f27292-5842-4adb-9a76-cf7294511bd8"/>
    <s v="5ecea2e8-6c5e-43e4-ac33-07d173f20cf2"/>
    <n v="6737"/>
    <n v="352"/>
    <n v="159"/>
    <n v="97.22"/>
    <n v="42428"/>
    <n v="69770"/>
    <n v="7.94"/>
    <s v="Video"/>
    <x v="570"/>
    <d v="1899-12-30T21:22:13"/>
    <n v="0.97219999999999995"/>
    <n v="7.9399999999999998E-2"/>
    <n v="7248"/>
    <n v="0.10388419091299986"/>
    <s v="High CTR"/>
    <s v="High"/>
    <s v="Night"/>
    <n v="3"/>
  </r>
  <r>
    <s v="a0f27292-5842-4adb-9a76-cf7294511bd8"/>
    <s v="5ecea2e8-6c5e-43e4-ac33-07d173f20cf2"/>
    <n v="6737"/>
    <n v="352"/>
    <n v="159"/>
    <n v="97.22"/>
    <n v="42428"/>
    <n v="69770"/>
    <n v="7.94"/>
    <s v="Video"/>
    <x v="294"/>
    <d v="1899-12-30T21:22:13"/>
    <n v="0.97219999999999995"/>
    <n v="7.9399999999999998E-2"/>
    <n v="7248"/>
    <n v="0.10388419091299986"/>
    <s v="High CTR"/>
    <s v="High"/>
    <s v="Night"/>
    <n v="3"/>
  </r>
  <r>
    <s v="c591d201-6006-4227-84be-03d1bc7a917c"/>
    <s v="afcd8d43-7dbc-49ef-b081-c936ee972eb7"/>
    <n v="2258"/>
    <n v="4556"/>
    <n v="1112"/>
    <n v="76.87"/>
    <n v="35105"/>
    <n v="30815"/>
    <n v="0.27"/>
    <s v="Poll"/>
    <x v="288"/>
    <d v="1899-12-30T08:52:35"/>
    <n v="0.76870000000000005"/>
    <n v="2.7000000000000001E-3"/>
    <n v="7926"/>
    <n v="0.25721239656011685"/>
    <s v="High CTR"/>
    <s v="High"/>
    <s v="Morning"/>
    <n v="3"/>
  </r>
  <r>
    <s v="c591d201-6006-4227-84be-03d1bc7a917c"/>
    <s v="afcd8d43-7dbc-49ef-b081-c936ee972eb7"/>
    <n v="2258"/>
    <n v="4556"/>
    <n v="1112"/>
    <n v="76.87"/>
    <n v="35105"/>
    <n v="30815"/>
    <n v="0.27"/>
    <s v="Poll"/>
    <x v="571"/>
    <d v="1899-12-30T08:52:35"/>
    <n v="0.76870000000000005"/>
    <n v="2.7000000000000001E-3"/>
    <n v="7926"/>
    <n v="0.25721239656011685"/>
    <s v="High CTR"/>
    <s v="High"/>
    <s v="Morning"/>
    <n v="3"/>
  </r>
  <r>
    <s v="c591d201-6006-4227-84be-03d1bc7a917c"/>
    <s v="afcd8d43-7dbc-49ef-b081-c936ee972eb7"/>
    <n v="2258"/>
    <n v="4556"/>
    <n v="1112"/>
    <n v="76.87"/>
    <n v="35105"/>
    <n v="30815"/>
    <n v="0.27"/>
    <s v="Poll"/>
    <x v="410"/>
    <d v="1899-12-30T08:52:35"/>
    <n v="0.76870000000000005"/>
    <n v="2.7000000000000001E-3"/>
    <n v="7926"/>
    <n v="0.25721239656011685"/>
    <s v="High CTR"/>
    <s v="High"/>
    <s v="Morning"/>
    <n v="3"/>
  </r>
  <r>
    <s v="5ea3d675-9d40-49c4-a02b-d222cdc6066b"/>
    <s v="aa968236-9982-4838-97ad-9805f8882e9f"/>
    <n v="7181"/>
    <n v="3071"/>
    <n v="523"/>
    <n v="98.25"/>
    <n v="21517"/>
    <n v="658"/>
    <n v="0.2"/>
    <s v="Video"/>
    <x v="572"/>
    <d v="1899-12-30T09:05:05"/>
    <n v="0.98250000000000004"/>
    <n v="2E-3"/>
    <n v="10775"/>
    <n v="1"/>
    <s v="High CTR"/>
    <s v="High"/>
    <s v="Morning"/>
    <n v="3"/>
  </r>
  <r>
    <s v="5ea3d675-9d40-49c4-a02b-d222cdc6066b"/>
    <s v="aa968236-9982-4838-97ad-9805f8882e9f"/>
    <n v="7181"/>
    <n v="3071"/>
    <n v="523"/>
    <n v="98.25"/>
    <n v="21517"/>
    <n v="658"/>
    <n v="0.2"/>
    <s v="Video"/>
    <x v="245"/>
    <d v="1899-12-30T09:05:05"/>
    <n v="0.98250000000000004"/>
    <n v="2E-3"/>
    <n v="10775"/>
    <n v="1"/>
    <s v="High CTR"/>
    <s v="High"/>
    <s v="Morning"/>
    <n v="3"/>
  </r>
  <r>
    <s v="5ea3d675-9d40-49c4-a02b-d222cdc6066b"/>
    <s v="aa968236-9982-4838-97ad-9805f8882e9f"/>
    <n v="7181"/>
    <n v="3071"/>
    <n v="523"/>
    <n v="98.25"/>
    <n v="21517"/>
    <n v="658"/>
    <n v="0.2"/>
    <s v="Video"/>
    <x v="573"/>
    <d v="1899-12-30T09:05:05"/>
    <n v="0.98250000000000004"/>
    <n v="2E-3"/>
    <n v="10775"/>
    <n v="1"/>
    <s v="High CTR"/>
    <s v="High"/>
    <s v="Morning"/>
    <n v="3"/>
  </r>
  <r>
    <s v="01bac31e-3f87-4b8b-9925-d8b21892df3a"/>
    <s v="4aa6d9ba-2a7e-4413-90ee-a0b1a42727cd"/>
    <n v="4245"/>
    <n v="2244"/>
    <n v="776"/>
    <n v="19.05"/>
    <n v="53640"/>
    <n v="60479"/>
    <n v="5.4"/>
    <s v="Video"/>
    <x v="264"/>
    <d v="1899-12-30T07:25:29"/>
    <n v="0.1905"/>
    <n v="5.4000000000000006E-2"/>
    <n v="7265"/>
    <n v="0.12012434068023611"/>
    <s v="High CTR"/>
    <s v="High"/>
    <s v="Morning"/>
    <n v="3"/>
  </r>
  <r>
    <s v="01bac31e-3f87-4b8b-9925-d8b21892df3a"/>
    <s v="4aa6d9ba-2a7e-4413-90ee-a0b1a42727cd"/>
    <n v="4245"/>
    <n v="2244"/>
    <n v="776"/>
    <n v="19.05"/>
    <n v="53640"/>
    <n v="60479"/>
    <n v="5.4"/>
    <s v="Video"/>
    <x v="574"/>
    <d v="1899-12-30T07:25:29"/>
    <n v="0.1905"/>
    <n v="5.4000000000000006E-2"/>
    <n v="7265"/>
    <n v="0.12012434068023611"/>
    <s v="High CTR"/>
    <s v="High"/>
    <s v="Morning"/>
    <n v="3"/>
  </r>
  <r>
    <s v="01bac31e-3f87-4b8b-9925-d8b21892df3a"/>
    <s v="4aa6d9ba-2a7e-4413-90ee-a0b1a42727cd"/>
    <n v="4245"/>
    <n v="2244"/>
    <n v="776"/>
    <n v="19.05"/>
    <n v="53640"/>
    <n v="60479"/>
    <n v="5.4"/>
    <s v="Video"/>
    <x v="298"/>
    <d v="1899-12-30T07:25:29"/>
    <n v="0.1905"/>
    <n v="5.4000000000000006E-2"/>
    <n v="7265"/>
    <n v="0.12012434068023611"/>
    <s v="High CTR"/>
    <s v="High"/>
    <s v="Morning"/>
    <n v="3"/>
  </r>
  <r>
    <s v="dff72481-64b3-42f4-a04e-c97fa4ae6ab1"/>
    <s v="d165142d-f825-48bb-b13e-99544c7eca1c"/>
    <n v="1502"/>
    <n v="646"/>
    <n v="687"/>
    <n v="53.14"/>
    <n v="60281"/>
    <n v="80023"/>
    <n v="5.96"/>
    <s v="Video"/>
    <x v="380"/>
    <d v="1899-12-30T05:22:02"/>
    <n v="0.53139999999999998"/>
    <n v="5.96E-2"/>
    <n v="2835"/>
    <n v="3.5427314647038979E-2"/>
    <s v="High CTR"/>
    <s v="High"/>
    <s v="Morning"/>
    <n v="3"/>
  </r>
  <r>
    <s v="dff72481-64b3-42f4-a04e-c97fa4ae6ab1"/>
    <s v="d165142d-f825-48bb-b13e-99544c7eca1c"/>
    <n v="1502"/>
    <n v="646"/>
    <n v="687"/>
    <n v="53.14"/>
    <n v="60281"/>
    <n v="80023"/>
    <n v="5.96"/>
    <s v="Video"/>
    <x v="458"/>
    <d v="1899-12-30T05:22:02"/>
    <n v="0.53139999999999998"/>
    <n v="5.96E-2"/>
    <n v="2835"/>
    <n v="3.5427314647038979E-2"/>
    <s v="High CTR"/>
    <s v="High"/>
    <s v="Morning"/>
    <n v="3"/>
  </r>
  <r>
    <s v="dff72481-64b3-42f4-a04e-c97fa4ae6ab1"/>
    <s v="d165142d-f825-48bb-b13e-99544c7eca1c"/>
    <n v="1502"/>
    <n v="646"/>
    <n v="687"/>
    <n v="53.14"/>
    <n v="60281"/>
    <n v="80023"/>
    <n v="5.96"/>
    <s v="Video"/>
    <x v="575"/>
    <d v="1899-12-30T05:22:02"/>
    <n v="0.53139999999999998"/>
    <n v="5.96E-2"/>
    <n v="2835"/>
    <n v="3.5427314647038979E-2"/>
    <s v="High CTR"/>
    <s v="High"/>
    <s v="Morning"/>
    <n v="3"/>
  </r>
  <r>
    <s v="eac39fd7-9d24-4be8-98a3-35ff700769ee"/>
    <s v="a9442c79-93d4-4a07-8539-42642c1ca5fe"/>
    <n v="8362"/>
    <n v="1864"/>
    <n v="1049"/>
    <n v="52.37"/>
    <n v="26419"/>
    <n v="96775"/>
    <n v="6.44"/>
    <s v="Poll"/>
    <x v="576"/>
    <d v="1899-12-30T03:27:53"/>
    <n v="0.52369999999999994"/>
    <n v="6.4399999999999999E-2"/>
    <n v="11275"/>
    <n v="0.11650736243864634"/>
    <s v="High CTR"/>
    <s v="High"/>
    <s v="Morning"/>
    <n v="3"/>
  </r>
  <r>
    <s v="eac39fd7-9d24-4be8-98a3-35ff700769ee"/>
    <s v="a9442c79-93d4-4a07-8539-42642c1ca5fe"/>
    <n v="8362"/>
    <n v="1864"/>
    <n v="1049"/>
    <n v="52.37"/>
    <n v="26419"/>
    <n v="96775"/>
    <n v="6.44"/>
    <s v="Poll"/>
    <x v="577"/>
    <d v="1899-12-30T03:27:53"/>
    <n v="0.52369999999999994"/>
    <n v="6.4399999999999999E-2"/>
    <n v="11275"/>
    <n v="0.11650736243864634"/>
    <s v="High CTR"/>
    <s v="High"/>
    <s v="Morning"/>
    <n v="3"/>
  </r>
  <r>
    <s v="eac39fd7-9d24-4be8-98a3-35ff700769ee"/>
    <s v="a9442c79-93d4-4a07-8539-42642c1ca5fe"/>
    <n v="8362"/>
    <n v="1864"/>
    <n v="1049"/>
    <n v="52.37"/>
    <n v="26419"/>
    <n v="96775"/>
    <n v="6.44"/>
    <s v="Poll"/>
    <x v="578"/>
    <d v="1899-12-30T03:27:53"/>
    <n v="0.52369999999999994"/>
    <n v="6.4399999999999999E-2"/>
    <n v="11275"/>
    <n v="0.11650736243864634"/>
    <s v="High CTR"/>
    <s v="High"/>
    <s v="Morning"/>
    <n v="3"/>
  </r>
  <r>
    <s v="e4d6fef0-18e3-451d-b8b7-460f1a022bb4"/>
    <s v="3b3ff695-62c2-4673-a079-c0c8cd4bc5ec"/>
    <n v="9538"/>
    <n v="3828"/>
    <n v="1928"/>
    <n v="62.99"/>
    <n v="26815"/>
    <n v="25483"/>
    <n v="0.91"/>
    <s v="Text"/>
    <x v="464"/>
    <d v="1899-12-30T07:51:41"/>
    <n v="0.62990000000000002"/>
    <n v="9.1000000000000004E-3"/>
    <n v="15294"/>
    <n v="0.60016481575952596"/>
    <s v="High CTR"/>
    <s v="High"/>
    <s v="Morning"/>
    <n v="3"/>
  </r>
  <r>
    <s v="e4d6fef0-18e3-451d-b8b7-460f1a022bb4"/>
    <s v="3b3ff695-62c2-4673-a079-c0c8cd4bc5ec"/>
    <n v="9538"/>
    <n v="3828"/>
    <n v="1928"/>
    <n v="62.99"/>
    <n v="26815"/>
    <n v="25483"/>
    <n v="0.91"/>
    <s v="Text"/>
    <x v="579"/>
    <d v="1899-12-30T07:51:41"/>
    <n v="0.62990000000000002"/>
    <n v="9.1000000000000004E-3"/>
    <n v="15294"/>
    <n v="0.60016481575952596"/>
    <s v="High CTR"/>
    <s v="High"/>
    <s v="Morning"/>
    <n v="3"/>
  </r>
  <r>
    <s v="e4d6fef0-18e3-451d-b8b7-460f1a022bb4"/>
    <s v="3b3ff695-62c2-4673-a079-c0c8cd4bc5ec"/>
    <n v="9538"/>
    <n v="3828"/>
    <n v="1928"/>
    <n v="62.99"/>
    <n v="26815"/>
    <n v="25483"/>
    <n v="0.91"/>
    <s v="Text"/>
    <x v="336"/>
    <d v="1899-12-30T07:51:41"/>
    <n v="0.62990000000000002"/>
    <n v="9.1000000000000004E-3"/>
    <n v="15294"/>
    <n v="0.60016481575952596"/>
    <s v="High CTR"/>
    <s v="High"/>
    <s v="Morning"/>
    <n v="3"/>
  </r>
  <r>
    <s v="a77df14f-7a10-4416-8898-6b6145de442c"/>
    <s v="c8d397b3-359f-4d61-8dba-8f6f4db88757"/>
    <n v="7167"/>
    <n v="2381"/>
    <n v="1657"/>
    <n v="5.38"/>
    <n v="50136"/>
    <n v="49867"/>
    <n v="4.93"/>
    <s v="Image"/>
    <x v="580"/>
    <d v="1899-12-30T02:01:29"/>
    <n v="5.3800000000000001E-2"/>
    <n v="4.9299999999999997E-2"/>
    <n v="11205"/>
    <n v="0.2246976958710169"/>
    <s v="High CTR"/>
    <s v="High"/>
    <s v="Morning"/>
    <n v="3"/>
  </r>
  <r>
    <s v="a77df14f-7a10-4416-8898-6b6145de442c"/>
    <s v="c8d397b3-359f-4d61-8dba-8f6f4db88757"/>
    <n v="7167"/>
    <n v="2381"/>
    <n v="1657"/>
    <n v="5.38"/>
    <n v="50136"/>
    <n v="49867"/>
    <n v="4.93"/>
    <s v="Image"/>
    <x v="275"/>
    <d v="1899-12-30T02:01:29"/>
    <n v="5.3800000000000001E-2"/>
    <n v="4.9299999999999997E-2"/>
    <n v="11205"/>
    <n v="0.2246976958710169"/>
    <s v="High CTR"/>
    <s v="High"/>
    <s v="Morning"/>
    <n v="3"/>
  </r>
  <r>
    <s v="a77df14f-7a10-4416-8898-6b6145de442c"/>
    <s v="c8d397b3-359f-4d61-8dba-8f6f4db88757"/>
    <n v="7167"/>
    <n v="2381"/>
    <n v="1657"/>
    <n v="5.38"/>
    <n v="50136"/>
    <n v="49867"/>
    <n v="4.93"/>
    <s v="Image"/>
    <x v="581"/>
    <d v="1899-12-30T02:01:29"/>
    <n v="5.3800000000000001E-2"/>
    <n v="4.9299999999999997E-2"/>
    <n v="11205"/>
    <n v="0.2246976958710169"/>
    <s v="High CTR"/>
    <s v="High"/>
    <s v="Morning"/>
    <n v="3"/>
  </r>
  <r>
    <s v="1f997628-d85c-483c-9a07-05b62e2b32cd"/>
    <s v="aef6bcdc-f487-4663-9140-dbc4228c91b7"/>
    <n v="2740"/>
    <n v="2534"/>
    <n v="786"/>
    <n v="17.02"/>
    <n v="49345"/>
    <n v="43400"/>
    <n v="2.64"/>
    <s v="Text"/>
    <x v="492"/>
    <d v="1899-12-30T01:26:51"/>
    <n v="0.17019999999999999"/>
    <n v="2.64E-2"/>
    <n v="6060"/>
    <n v="0.13963133640552997"/>
    <s v="High CTR"/>
    <s v="High"/>
    <s v="Morning"/>
    <n v="3"/>
  </r>
  <r>
    <s v="1f997628-d85c-483c-9a07-05b62e2b32cd"/>
    <s v="aef6bcdc-f487-4663-9140-dbc4228c91b7"/>
    <n v="2740"/>
    <n v="2534"/>
    <n v="786"/>
    <n v="17.02"/>
    <n v="49345"/>
    <n v="43400"/>
    <n v="2.64"/>
    <s v="Text"/>
    <x v="396"/>
    <d v="1899-12-30T01:26:51"/>
    <n v="0.17019999999999999"/>
    <n v="2.64E-2"/>
    <n v="6060"/>
    <n v="0.13963133640552997"/>
    <s v="High CTR"/>
    <s v="High"/>
    <s v="Morning"/>
    <n v="3"/>
  </r>
  <r>
    <s v="1f997628-d85c-483c-9a07-05b62e2b32cd"/>
    <s v="aef6bcdc-f487-4663-9140-dbc4228c91b7"/>
    <n v="2740"/>
    <n v="2534"/>
    <n v="786"/>
    <n v="17.02"/>
    <n v="49345"/>
    <n v="43400"/>
    <n v="2.64"/>
    <s v="Text"/>
    <x v="145"/>
    <d v="1899-12-30T01:26:51"/>
    <n v="0.17019999999999999"/>
    <n v="2.64E-2"/>
    <n v="6060"/>
    <n v="0.13963133640552997"/>
    <s v="High CTR"/>
    <s v="High"/>
    <s v="Morning"/>
    <n v="3"/>
  </r>
  <r>
    <s v="151f6d97-fea5-4950-87d0-a97ea8579ced"/>
    <s v="e82974a3-a3ff-4363-8ee4-5a7ece9dd9a0"/>
    <n v="5084"/>
    <n v="1819"/>
    <n v="1264"/>
    <n v="46.19"/>
    <n v="7276"/>
    <n v="8472"/>
    <n v="6.94"/>
    <s v="Text"/>
    <x v="78"/>
    <d v="1899-12-30T08:11:12"/>
    <n v="0.46189999999999998"/>
    <n v="6.9400000000000003E-2"/>
    <n v="8167"/>
    <n v="0.96399905571293676"/>
    <s v="High CTR"/>
    <s v="High"/>
    <s v="Morning"/>
    <n v="3"/>
  </r>
  <r>
    <s v="151f6d97-fea5-4950-87d0-a97ea8579ced"/>
    <s v="e82974a3-a3ff-4363-8ee4-5a7ece9dd9a0"/>
    <n v="5084"/>
    <n v="1819"/>
    <n v="1264"/>
    <n v="46.19"/>
    <n v="7276"/>
    <n v="8472"/>
    <n v="6.94"/>
    <s v="Text"/>
    <x v="70"/>
    <d v="1899-12-30T08:11:12"/>
    <n v="0.46189999999999998"/>
    <n v="6.9400000000000003E-2"/>
    <n v="8167"/>
    <n v="0.96399905571293676"/>
    <s v="High CTR"/>
    <s v="High"/>
    <s v="Morning"/>
    <n v="3"/>
  </r>
  <r>
    <s v="151f6d97-fea5-4950-87d0-a97ea8579ced"/>
    <s v="e82974a3-a3ff-4363-8ee4-5a7ece9dd9a0"/>
    <n v="5084"/>
    <n v="1819"/>
    <n v="1264"/>
    <n v="46.19"/>
    <n v="7276"/>
    <n v="8472"/>
    <n v="6.94"/>
    <s v="Text"/>
    <x v="38"/>
    <d v="1899-12-30T08:11:12"/>
    <n v="0.46189999999999998"/>
    <n v="6.9400000000000003E-2"/>
    <n v="8167"/>
    <n v="0.96399905571293676"/>
    <s v="High CTR"/>
    <s v="High"/>
    <s v="Morning"/>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E7C1CF-3468-43F9-BC05-9F3D4618824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H1:I13" firstHeaderRow="1" firstDataRow="1" firstDataCol="1"/>
  <pivotFields count="20">
    <pivotField showAll="0"/>
    <pivotField showAll="0"/>
    <pivotField showAll="0"/>
    <pivotField showAll="0"/>
    <pivotField showAll="0"/>
    <pivotField showAll="0"/>
    <pivotField showAll="0"/>
    <pivotField showAll="0"/>
    <pivotField showAll="0"/>
    <pivotField showAll="0"/>
    <pivotField axis="axisRow" showAll="0" measureFilter="1" sortType="descending">
      <items count="583">
        <item x="488"/>
        <item x="240"/>
        <item x="129"/>
        <item x="480"/>
        <item x="10"/>
        <item x="408"/>
        <item x="89"/>
        <item x="127"/>
        <item x="70"/>
        <item x="404"/>
        <item x="246"/>
        <item x="150"/>
        <item x="143"/>
        <item x="4"/>
        <item x="471"/>
        <item x="416"/>
        <item x="152"/>
        <item x="219"/>
        <item x="519"/>
        <item x="294"/>
        <item x="493"/>
        <item x="155"/>
        <item x="22"/>
        <item x="133"/>
        <item x="78"/>
        <item x="543"/>
        <item x="40"/>
        <item x="71"/>
        <item x="235"/>
        <item x="30"/>
        <item x="325"/>
        <item x="15"/>
        <item x="313"/>
        <item x="352"/>
        <item x="506"/>
        <item x="564"/>
        <item x="220"/>
        <item x="297"/>
        <item x="315"/>
        <item x="208"/>
        <item x="348"/>
        <item x="384"/>
        <item x="304"/>
        <item x="421"/>
        <item x="521"/>
        <item x="328"/>
        <item x="525"/>
        <item x="169"/>
        <item x="25"/>
        <item x="377"/>
        <item x="400"/>
        <item x="323"/>
        <item x="164"/>
        <item x="317"/>
        <item x="247"/>
        <item x="303"/>
        <item x="387"/>
        <item x="196"/>
        <item x="213"/>
        <item x="228"/>
        <item x="111"/>
        <item x="308"/>
        <item x="373"/>
        <item x="132"/>
        <item x="298"/>
        <item x="319"/>
        <item x="562"/>
        <item x="427"/>
        <item x="8"/>
        <item x="123"/>
        <item x="411"/>
        <item x="438"/>
        <item x="338"/>
        <item x="329"/>
        <item x="43"/>
        <item x="125"/>
        <item x="174"/>
        <item x="114"/>
        <item x="50"/>
        <item x="116"/>
        <item x="19"/>
        <item x="199"/>
        <item x="112"/>
        <item x="282"/>
        <item x="275"/>
        <item x="555"/>
        <item x="379"/>
        <item x="205"/>
        <item x="92"/>
        <item x="457"/>
        <item x="508"/>
        <item x="167"/>
        <item x="193"/>
        <item x="461"/>
        <item x="430"/>
        <item x="447"/>
        <item x="81"/>
        <item x="570"/>
        <item x="369"/>
        <item x="403"/>
        <item x="375"/>
        <item x="146"/>
        <item x="376"/>
        <item x="223"/>
        <item x="80"/>
        <item x="357"/>
        <item x="394"/>
        <item x="560"/>
        <item x="563"/>
        <item x="286"/>
        <item x="362"/>
        <item x="285"/>
        <item x="34"/>
        <item x="162"/>
        <item x="277"/>
        <item x="87"/>
        <item x="118"/>
        <item x="571"/>
        <item x="378"/>
        <item x="324"/>
        <item x="351"/>
        <item x="202"/>
        <item x="559"/>
        <item x="448"/>
        <item x="154"/>
        <item x="433"/>
        <item x="14"/>
        <item x="368"/>
        <item x="556"/>
        <item x="173"/>
        <item x="436"/>
        <item x="454"/>
        <item x="335"/>
        <item x="367"/>
        <item x="539"/>
        <item x="267"/>
        <item x="549"/>
        <item x="440"/>
        <item x="144"/>
        <item x="463"/>
        <item x="226"/>
        <item x="514"/>
        <item x="192"/>
        <item x="51"/>
        <item x="417"/>
        <item x="210"/>
        <item x="390"/>
        <item x="350"/>
        <item x="566"/>
        <item x="98"/>
        <item x="458"/>
        <item x="241"/>
        <item x="204"/>
        <item x="572"/>
        <item x="517"/>
        <item x="189"/>
        <item x="244"/>
        <item x="420"/>
        <item x="466"/>
        <item x="305"/>
        <item x="577"/>
        <item x="341"/>
        <item x="550"/>
        <item x="266"/>
        <item x="464"/>
        <item x="382"/>
        <item x="26"/>
        <item x="230"/>
        <item x="113"/>
        <item x="23"/>
        <item x="355"/>
        <item x="32"/>
        <item x="188"/>
        <item x="554"/>
        <item x="510"/>
        <item x="280"/>
        <item x="56"/>
        <item x="49"/>
        <item x="75"/>
        <item x="302"/>
        <item x="523"/>
        <item x="273"/>
        <item x="107"/>
        <item x="396"/>
        <item x="41"/>
        <item x="542"/>
        <item x="85"/>
        <item x="7"/>
        <item x="524"/>
        <item x="386"/>
        <item x="486"/>
        <item x="102"/>
        <item x="131"/>
        <item x="1"/>
        <item x="366"/>
        <item x="101"/>
        <item x="446"/>
        <item x="138"/>
        <item x="214"/>
        <item x="388"/>
        <item x="293"/>
        <item x="574"/>
        <item x="265"/>
        <item x="57"/>
        <item x="44"/>
        <item x="284"/>
        <item x="59"/>
        <item x="332"/>
        <item x="360"/>
        <item x="46"/>
        <item x="45"/>
        <item x="97"/>
        <item x="229"/>
        <item x="242"/>
        <item x="575"/>
        <item x="334"/>
        <item x="371"/>
        <item x="256"/>
        <item x="259"/>
        <item x="24"/>
        <item x="103"/>
        <item x="233"/>
        <item x="527"/>
        <item x="395"/>
        <item x="142"/>
        <item x="538"/>
        <item x="383"/>
        <item x="474"/>
        <item x="412"/>
        <item x="179"/>
        <item x="405"/>
        <item x="455"/>
        <item x="221"/>
        <item x="422"/>
        <item x="533"/>
        <item x="414"/>
        <item x="327"/>
        <item x="499"/>
        <item x="274"/>
        <item x="381"/>
        <item x="322"/>
        <item x="419"/>
        <item x="473"/>
        <item x="496"/>
        <item x="346"/>
        <item x="58"/>
        <item x="354"/>
        <item x="526"/>
        <item x="206"/>
        <item x="191"/>
        <item x="122"/>
        <item x="450"/>
        <item x="353"/>
        <item x="186"/>
        <item x="439"/>
        <item x="316"/>
        <item x="278"/>
        <item x="55"/>
        <item x="490"/>
        <item x="270"/>
        <item x="225"/>
        <item x="536"/>
        <item x="69"/>
        <item x="553"/>
        <item x="190"/>
        <item x="134"/>
        <item x="534"/>
        <item x="492"/>
        <item x="279"/>
        <item x="52"/>
        <item x="262"/>
        <item x="312"/>
        <item x="124"/>
        <item x="222"/>
        <item x="340"/>
        <item x="363"/>
        <item x="120"/>
        <item x="194"/>
        <item x="176"/>
        <item x="12"/>
        <item x="82"/>
        <item x="498"/>
        <item x="48"/>
        <item x="187"/>
        <item x="271"/>
        <item x="398"/>
        <item x="495"/>
        <item x="453"/>
        <item x="299"/>
        <item x="168"/>
        <item x="424"/>
        <item x="333"/>
        <item x="456"/>
        <item x="441"/>
        <item x="410"/>
        <item x="552"/>
        <item x="437"/>
        <item x="337"/>
        <item x="35"/>
        <item x="296"/>
        <item x="425"/>
        <item x="77"/>
        <item x="185"/>
        <item x="160"/>
        <item x="251"/>
        <item x="580"/>
        <item x="42"/>
        <item x="100"/>
        <item x="254"/>
        <item x="184"/>
        <item x="528"/>
        <item x="171"/>
        <item x="166"/>
        <item x="515"/>
        <item x="217"/>
        <item x="513"/>
        <item x="145"/>
        <item x="2"/>
        <item x="53"/>
        <item x="475"/>
        <item x="432"/>
        <item x="522"/>
        <item x="260"/>
        <item x="336"/>
        <item x="62"/>
        <item x="314"/>
        <item x="5"/>
        <item x="88"/>
        <item x="65"/>
        <item x="290"/>
        <item x="445"/>
        <item x="272"/>
        <item x="38"/>
        <item x="345"/>
        <item x="156"/>
        <item x="443"/>
        <item x="264"/>
        <item x="151"/>
        <item x="429"/>
        <item x="504"/>
        <item x="215"/>
        <item x="126"/>
        <item x="320"/>
        <item x="232"/>
        <item x="163"/>
        <item x="137"/>
        <item x="159"/>
        <item x="9"/>
        <item x="130"/>
        <item x="93"/>
        <item x="67"/>
        <item x="250"/>
        <item x="21"/>
        <item x="197"/>
        <item x="64"/>
        <item x="482"/>
        <item x="20"/>
        <item x="108"/>
        <item x="321"/>
        <item x="434"/>
        <item x="121"/>
        <item x="468"/>
        <item x="558"/>
        <item x="415"/>
        <item x="370"/>
        <item x="289"/>
        <item x="418"/>
        <item x="106"/>
        <item x="547"/>
        <item x="399"/>
        <item x="165"/>
        <item x="401"/>
        <item x="342"/>
        <item x="183"/>
        <item x="276"/>
        <item x="63"/>
        <item x="170"/>
        <item x="483"/>
        <item x="95"/>
        <item x="283"/>
        <item x="269"/>
        <item x="444"/>
        <item x="6"/>
        <item x="516"/>
        <item x="487"/>
        <item x="84"/>
        <item x="39"/>
        <item x="238"/>
        <item x="281"/>
        <item x="497"/>
        <item x="505"/>
        <item x="234"/>
        <item x="47"/>
        <item x="511"/>
        <item x="460"/>
        <item x="409"/>
        <item x="467"/>
        <item x="359"/>
        <item x="509"/>
        <item x="311"/>
        <item x="148"/>
        <item x="485"/>
        <item x="252"/>
        <item x="115"/>
        <item x="29"/>
        <item x="292"/>
        <item x="472"/>
        <item x="178"/>
        <item x="140"/>
        <item x="212"/>
        <item x="402"/>
        <item x="182"/>
        <item x="518"/>
        <item x="301"/>
        <item x="180"/>
        <item x="501"/>
        <item x="356"/>
        <item x="567"/>
        <item x="535"/>
        <item x="407"/>
        <item x="158"/>
        <item x="117"/>
        <item x="545"/>
        <item x="481"/>
        <item x="500"/>
        <item x="239"/>
        <item x="119"/>
        <item x="569"/>
        <item x="200"/>
        <item x="531"/>
        <item x="105"/>
        <item x="544"/>
        <item x="104"/>
        <item x="209"/>
        <item x="141"/>
        <item x="391"/>
        <item x="349"/>
        <item x="175"/>
        <item x="557"/>
        <item x="90"/>
        <item x="287"/>
        <item x="237"/>
        <item x="36"/>
        <item x="295"/>
        <item x="568"/>
        <item x="72"/>
        <item x="406"/>
        <item x="532"/>
        <item x="494"/>
        <item x="300"/>
        <item x="435"/>
        <item x="91"/>
        <item x="243"/>
        <item x="546"/>
        <item x="344"/>
        <item x="96"/>
        <item x="426"/>
        <item x="224"/>
        <item x="389"/>
        <item x="581"/>
        <item x="86"/>
        <item x="361"/>
        <item x="358"/>
        <item x="198"/>
        <item x="462"/>
        <item x="76"/>
        <item x="218"/>
        <item x="551"/>
        <item x="397"/>
        <item x="476"/>
        <item x="503"/>
        <item x="576"/>
        <item x="172"/>
        <item x="109"/>
        <item x="477"/>
        <item x="99"/>
        <item x="573"/>
        <item x="73"/>
        <item x="380"/>
        <item x="258"/>
        <item x="231"/>
        <item x="195"/>
        <item x="478"/>
        <item x="181"/>
        <item x="561"/>
        <item x="60"/>
        <item x="263"/>
        <item x="374"/>
        <item x="261"/>
        <item x="449"/>
        <item x="31"/>
        <item x="94"/>
        <item x="309"/>
        <item x="579"/>
        <item x="451"/>
        <item x="393"/>
        <item x="520"/>
        <item x="465"/>
        <item x="245"/>
        <item x="161"/>
        <item x="489"/>
        <item x="257"/>
        <item x="268"/>
        <item x="423"/>
        <item x="307"/>
        <item x="18"/>
        <item x="565"/>
        <item x="530"/>
        <item x="16"/>
        <item x="201"/>
        <item x="33"/>
        <item x="83"/>
        <item x="227"/>
        <item x="413"/>
        <item x="291"/>
        <item x="153"/>
        <item x="541"/>
        <item x="3"/>
        <item x="339"/>
        <item x="431"/>
        <item x="288"/>
        <item x="61"/>
        <item x="392"/>
        <item x="37"/>
        <item x="442"/>
        <item x="491"/>
        <item x="139"/>
        <item x="203"/>
        <item x="347"/>
        <item x="428"/>
        <item x="54"/>
        <item x="310"/>
        <item x="236"/>
        <item x="68"/>
        <item x="502"/>
        <item x="484"/>
        <item x="128"/>
        <item x="253"/>
        <item x="11"/>
        <item x="343"/>
        <item x="364"/>
        <item x="147"/>
        <item x="479"/>
        <item x="211"/>
        <item x="216"/>
        <item x="17"/>
        <item x="529"/>
        <item x="249"/>
        <item x="469"/>
        <item x="135"/>
        <item x="330"/>
        <item x="207"/>
        <item x="110"/>
        <item x="318"/>
        <item x="540"/>
        <item x="27"/>
        <item x="177"/>
        <item x="459"/>
        <item x="13"/>
        <item x="548"/>
        <item x="385"/>
        <item x="136"/>
        <item x="0"/>
        <item x="326"/>
        <item x="149"/>
        <item x="28"/>
        <item x="74"/>
        <item x="79"/>
        <item x="537"/>
        <item x="331"/>
        <item x="452"/>
        <item x="578"/>
        <item x="306"/>
        <item x="157"/>
        <item x="255"/>
        <item x="507"/>
        <item x="66"/>
        <item x="248"/>
        <item x="470"/>
        <item x="365"/>
        <item x="512"/>
        <item x="372"/>
        <item t="default"/>
      </items>
      <autoSortScope>
        <pivotArea dataOnly="0" outline="0" fieldPosition="0">
          <references count="1">
            <reference field="4294967294" count="1" selected="0">
              <x v="0"/>
            </reference>
          </references>
        </pivotArea>
      </autoSortScope>
    </pivotField>
    <pivotField numFmtId="165" showAll="0"/>
    <pivotField showAll="0"/>
    <pivotField showAll="0"/>
    <pivotField dataField="1" showAll="0"/>
    <pivotField showAll="0"/>
    <pivotField showAll="0"/>
    <pivotField showAll="0"/>
    <pivotField showAll="0"/>
    <pivotField showAll="0"/>
  </pivotFields>
  <rowFields count="1">
    <field x="10"/>
  </rowFields>
  <rowItems count="12">
    <i>
      <x v="496"/>
    </i>
    <i>
      <x v="18"/>
    </i>
    <i>
      <x v="493"/>
    </i>
    <i>
      <x v="286"/>
    </i>
    <i>
      <x v="300"/>
    </i>
    <i>
      <x v="561"/>
    </i>
    <i>
      <x v="197"/>
    </i>
    <i>
      <x v="242"/>
    </i>
    <i>
      <x v="406"/>
    </i>
    <i>
      <x v="134"/>
    </i>
    <i>
      <x v="225"/>
    </i>
    <i t="grand">
      <x/>
    </i>
  </rowItems>
  <colItems count="1">
    <i/>
  </colItems>
  <dataFields count="1">
    <dataField name="Average of Total Engagement" fld="14" subtotal="average" baseField="10" baseItem="0"/>
  </dataFields>
  <chartFormats count="8">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CB369C-FBF7-4F11-B1B5-C8DD0492E07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3:B15" firstHeaderRow="1" firstDataRow="1" firstDataCol="1"/>
  <pivotFields count="19">
    <pivotField axis="axisRow" showAll="0" measureFilter="1" sortType="descending">
      <items count="301">
        <item x="16"/>
        <item x="99"/>
        <item x="293"/>
        <item x="115"/>
        <item x="170"/>
        <item x="30"/>
        <item x="9"/>
        <item x="271"/>
        <item x="193"/>
        <item x="265"/>
        <item x="180"/>
        <item x="123"/>
        <item x="223"/>
        <item x="132"/>
        <item x="169"/>
        <item x="127"/>
        <item x="272"/>
        <item x="149"/>
        <item x="120"/>
        <item x="2"/>
        <item x="157"/>
        <item x="190"/>
        <item x="41"/>
        <item x="55"/>
        <item x="288"/>
        <item x="299"/>
        <item x="140"/>
        <item x="22"/>
        <item x="219"/>
        <item x="287"/>
        <item x="220"/>
        <item x="36"/>
        <item x="162"/>
        <item x="24"/>
        <item x="229"/>
        <item x="61"/>
        <item x="156"/>
        <item x="214"/>
        <item x="118"/>
        <item x="188"/>
        <item x="35"/>
        <item x="298"/>
        <item x="182"/>
        <item x="110"/>
        <item x="1"/>
        <item x="258"/>
        <item x="237"/>
        <item x="34"/>
        <item x="255"/>
        <item x="101"/>
        <item x="58"/>
        <item x="21"/>
        <item x="72"/>
        <item x="135"/>
        <item x="70"/>
        <item x="239"/>
        <item x="177"/>
        <item x="25"/>
        <item x="94"/>
        <item x="195"/>
        <item x="227"/>
        <item x="254"/>
        <item x="207"/>
        <item x="28"/>
        <item x="198"/>
        <item x="130"/>
        <item x="241"/>
        <item x="210"/>
        <item x="216"/>
        <item x="96"/>
        <item x="274"/>
        <item x="275"/>
        <item x="19"/>
        <item x="75"/>
        <item x="267"/>
        <item x="187"/>
        <item x="87"/>
        <item x="20"/>
        <item x="107"/>
        <item x="29"/>
        <item x="73"/>
        <item x="208"/>
        <item x="230"/>
        <item x="262"/>
        <item x="33"/>
        <item x="39"/>
        <item x="69"/>
        <item x="261"/>
        <item x="133"/>
        <item x="106"/>
        <item x="218"/>
        <item x="8"/>
        <item x="257"/>
        <item x="185"/>
        <item x="62"/>
        <item x="148"/>
        <item x="196"/>
        <item x="145"/>
        <item x="292"/>
        <item x="48"/>
        <item x="280"/>
        <item x="86"/>
        <item x="32"/>
        <item x="173"/>
        <item x="97"/>
        <item x="279"/>
        <item x="143"/>
        <item x="23"/>
        <item x="194"/>
        <item x="83"/>
        <item x="189"/>
        <item x="270"/>
        <item x="179"/>
        <item x="139"/>
        <item x="92"/>
        <item x="260"/>
        <item x="277"/>
        <item x="171"/>
        <item x="160"/>
        <item x="245"/>
        <item x="18"/>
        <item x="64"/>
        <item x="178"/>
        <item x="124"/>
        <item x="201"/>
        <item x="247"/>
        <item x="6"/>
        <item x="114"/>
        <item x="150"/>
        <item x="53"/>
        <item x="147"/>
        <item x="283"/>
        <item x="191"/>
        <item x="137"/>
        <item x="163"/>
        <item x="117"/>
        <item x="244"/>
        <item x="100"/>
        <item x="122"/>
        <item x="5"/>
        <item x="57"/>
        <item x="52"/>
        <item x="63"/>
        <item x="263"/>
        <item x="56"/>
        <item x="79"/>
        <item x="175"/>
        <item x="65"/>
        <item x="204"/>
        <item x="138"/>
        <item x="168"/>
        <item x="151"/>
        <item x="89"/>
        <item x="209"/>
        <item x="234"/>
        <item x="76"/>
        <item x="282"/>
        <item x="74"/>
        <item x="67"/>
        <item x="167"/>
        <item x="125"/>
        <item x="82"/>
        <item x="66"/>
        <item x="222"/>
        <item x="268"/>
        <item x="152"/>
        <item x="273"/>
        <item x="215"/>
        <item x="153"/>
        <item x="252"/>
        <item x="102"/>
        <item x="47"/>
        <item x="112"/>
        <item x="290"/>
        <item x="10"/>
        <item x="85"/>
        <item x="192"/>
        <item x="266"/>
        <item x="269"/>
        <item x="15"/>
        <item x="142"/>
        <item x="297"/>
        <item x="43"/>
        <item x="225"/>
        <item x="259"/>
        <item x="128"/>
        <item x="235"/>
        <item x="264"/>
        <item x="289"/>
        <item x="3"/>
        <item x="68"/>
        <item x="108"/>
        <item x="176"/>
        <item x="183"/>
        <item x="249"/>
        <item x="253"/>
        <item x="95"/>
        <item x="165"/>
        <item x="119"/>
        <item x="181"/>
        <item x="141"/>
        <item x="13"/>
        <item x="91"/>
        <item x="81"/>
        <item x="240"/>
        <item x="221"/>
        <item x="136"/>
        <item x="276"/>
        <item x="284"/>
        <item x="166"/>
        <item x="232"/>
        <item x="78"/>
        <item x="46"/>
        <item x="203"/>
        <item x="60"/>
        <item x="233"/>
        <item x="243"/>
        <item x="126"/>
        <item x="154"/>
        <item x="256"/>
        <item x="211"/>
        <item x="0"/>
        <item x="98"/>
        <item x="291"/>
        <item x="144"/>
        <item x="84"/>
        <item x="37"/>
        <item x="80"/>
        <item x="246"/>
        <item x="250"/>
        <item x="226"/>
        <item x="285"/>
        <item x="155"/>
        <item x="42"/>
        <item x="238"/>
        <item x="104"/>
        <item x="50"/>
        <item x="281"/>
        <item x="228"/>
        <item x="278"/>
        <item x="113"/>
        <item x="199"/>
        <item x="7"/>
        <item x="45"/>
        <item x="206"/>
        <item x="217"/>
        <item x="134"/>
        <item x="11"/>
        <item x="161"/>
        <item x="184"/>
        <item x="31"/>
        <item x="158"/>
        <item x="131"/>
        <item x="116"/>
        <item x="212"/>
        <item x="231"/>
        <item x="121"/>
        <item x="14"/>
        <item x="294"/>
        <item x="111"/>
        <item x="59"/>
        <item x="213"/>
        <item x="296"/>
        <item x="44"/>
        <item x="51"/>
        <item x="105"/>
        <item x="159"/>
        <item x="200"/>
        <item x="251"/>
        <item x="38"/>
        <item x="286"/>
        <item x="174"/>
        <item x="109"/>
        <item x="295"/>
        <item x="103"/>
        <item x="88"/>
        <item x="90"/>
        <item x="49"/>
        <item x="164"/>
        <item x="54"/>
        <item x="4"/>
        <item x="242"/>
        <item x="248"/>
        <item x="27"/>
        <item x="186"/>
        <item x="172"/>
        <item x="71"/>
        <item x="12"/>
        <item x="93"/>
        <item x="17"/>
        <item x="146"/>
        <item x="129"/>
        <item x="236"/>
        <item x="197"/>
        <item x="40"/>
        <item x="77"/>
        <item x="224"/>
        <item x="26"/>
        <item x="205"/>
        <item x="202"/>
        <item t="default"/>
      </items>
      <autoSortScope>
        <pivotArea dataOnly="0" outline="0" fieldPosition="0">
          <references count="1">
            <reference field="4294967294" count="1" selected="0">
              <x v="0"/>
            </reference>
          </references>
        </pivotArea>
      </autoSortScope>
    </pivotField>
    <pivotField showAll="0"/>
    <pivotField numFmtId="2" showAll="0"/>
    <pivotField numFmtId="2" showAll="0"/>
    <pivotField numFmtId="2" showAll="0"/>
    <pivotField numFmtId="9" showAll="0"/>
    <pivotField showAll="0"/>
    <pivotField showAll="0"/>
    <pivotField numFmtId="9" showAll="0"/>
    <pivotField showAll="0">
      <items count="5">
        <item x="0"/>
        <item x="1"/>
        <item x="3"/>
        <item x="2"/>
        <item t="default"/>
      </items>
    </pivotField>
    <pivotField showAll="0">
      <items count="301">
        <item x="91"/>
        <item x="124"/>
        <item x="177"/>
        <item x="136"/>
        <item x="31"/>
        <item x="199"/>
        <item x="44"/>
        <item x="209"/>
        <item x="94"/>
        <item x="185"/>
        <item x="241"/>
        <item x="53"/>
        <item x="175"/>
        <item x="252"/>
        <item x="116"/>
        <item x="54"/>
        <item x="46"/>
        <item x="299"/>
        <item x="269"/>
        <item x="117"/>
        <item x="174"/>
        <item x="24"/>
        <item x="193"/>
        <item x="10"/>
        <item x="249"/>
        <item x="5"/>
        <item x="286"/>
        <item x="81"/>
        <item x="128"/>
        <item x="142"/>
        <item x="160"/>
        <item x="157"/>
        <item x="129"/>
        <item x="123"/>
        <item x="246"/>
        <item x="277"/>
        <item x="130"/>
        <item x="240"/>
        <item x="179"/>
        <item x="225"/>
        <item x="135"/>
        <item x="17"/>
        <item x="40"/>
        <item x="196"/>
        <item x="72"/>
        <item x="152"/>
        <item x="118"/>
        <item x="32"/>
        <item x="208"/>
        <item x="289"/>
        <item x="200"/>
        <item x="270"/>
        <item x="153"/>
        <item x="186"/>
        <item x="181"/>
        <item x="147"/>
        <item x="166"/>
        <item x="284"/>
        <item x="149"/>
        <item x="108"/>
        <item x="41"/>
        <item x="238"/>
        <item x="132"/>
        <item x="73"/>
        <item x="282"/>
        <item x="201"/>
        <item x="192"/>
        <item x="50"/>
        <item x="287"/>
        <item x="164"/>
        <item x="34"/>
        <item x="74"/>
        <item x="292"/>
        <item x="214"/>
        <item x="121"/>
        <item x="285"/>
        <item x="296"/>
        <item x="159"/>
        <item x="39"/>
        <item x="125"/>
        <item x="70"/>
        <item x="67"/>
        <item x="242"/>
        <item x="19"/>
        <item x="230"/>
        <item x="120"/>
        <item x="243"/>
        <item x="255"/>
        <item x="37"/>
        <item x="144"/>
        <item x="49"/>
        <item x="35"/>
        <item x="78"/>
        <item x="162"/>
        <item x="191"/>
        <item x="112"/>
        <item x="20"/>
        <item x="15"/>
        <item x="89"/>
        <item x="86"/>
        <item x="133"/>
        <item x="280"/>
        <item x="137"/>
        <item x="154"/>
        <item x="222"/>
        <item x="8"/>
        <item x="88"/>
        <item x="258"/>
        <item x="61"/>
        <item x="266"/>
        <item x="278"/>
        <item x="187"/>
        <item x="180"/>
        <item x="134"/>
        <item x="235"/>
        <item x="107"/>
        <item x="184"/>
        <item x="262"/>
        <item x="131"/>
        <item x="205"/>
        <item x="141"/>
        <item x="256"/>
        <item x="75"/>
        <item x="68"/>
        <item x="203"/>
        <item x="223"/>
        <item x="145"/>
        <item x="195"/>
        <item x="109"/>
        <item x="127"/>
        <item x="228"/>
        <item x="268"/>
        <item x="271"/>
        <item x="264"/>
        <item x="229"/>
        <item x="298"/>
        <item x="101"/>
        <item x="43"/>
        <item x="82"/>
        <item x="139"/>
        <item x="4"/>
        <item x="28"/>
        <item x="103"/>
        <item x="16"/>
        <item x="172"/>
        <item x="227"/>
        <item x="232"/>
        <item x="206"/>
        <item x="59"/>
        <item x="254"/>
        <item x="151"/>
        <item x="207"/>
        <item x="276"/>
        <item x="138"/>
        <item x="188"/>
        <item x="279"/>
        <item x="66"/>
        <item x="56"/>
        <item x="96"/>
        <item x="297"/>
        <item x="14"/>
        <item x="259"/>
        <item x="245"/>
        <item x="18"/>
        <item x="217"/>
        <item x="281"/>
        <item x="100"/>
        <item x="21"/>
        <item x="83"/>
        <item x="105"/>
        <item x="57"/>
        <item x="22"/>
        <item x="197"/>
        <item x="224"/>
        <item x="274"/>
        <item x="293"/>
        <item x="102"/>
        <item x="190"/>
        <item x="239"/>
        <item x="247"/>
        <item x="244"/>
        <item x="3"/>
        <item x="45"/>
        <item x="183"/>
        <item x="7"/>
        <item x="71"/>
        <item x="221"/>
        <item x="173"/>
        <item x="251"/>
        <item x="93"/>
        <item x="161"/>
        <item x="171"/>
        <item x="42"/>
        <item x="182"/>
        <item x="273"/>
        <item x="169"/>
        <item x="58"/>
        <item x="213"/>
        <item x="170"/>
        <item x="60"/>
        <item x="33"/>
        <item x="104"/>
        <item x="198"/>
        <item x="2"/>
        <item x="248"/>
        <item x="29"/>
        <item x="64"/>
        <item x="13"/>
        <item x="236"/>
        <item x="226"/>
        <item x="220"/>
        <item x="231"/>
        <item x="110"/>
        <item x="234"/>
        <item x="211"/>
        <item x="178"/>
        <item x="237"/>
        <item x="97"/>
        <item x="115"/>
        <item x="216"/>
        <item x="146"/>
        <item x="63"/>
        <item x="77"/>
        <item x="65"/>
        <item x="290"/>
        <item x="156"/>
        <item x="106"/>
        <item x="111"/>
        <item x="36"/>
        <item x="76"/>
        <item x="62"/>
        <item x="87"/>
        <item x="113"/>
        <item x="90"/>
        <item x="12"/>
        <item x="176"/>
        <item x="263"/>
        <item x="143"/>
        <item x="119"/>
        <item x="92"/>
        <item x="272"/>
        <item x="250"/>
        <item x="189"/>
        <item x="126"/>
        <item x="163"/>
        <item x="30"/>
        <item x="212"/>
        <item x="26"/>
        <item x="80"/>
        <item x="168"/>
        <item x="295"/>
        <item x="218"/>
        <item x="25"/>
        <item x="294"/>
        <item x="158"/>
        <item x="219"/>
        <item x="265"/>
        <item x="283"/>
        <item x="155"/>
        <item x="261"/>
        <item x="204"/>
        <item x="233"/>
        <item x="99"/>
        <item x="6"/>
        <item x="288"/>
        <item x="11"/>
        <item x="275"/>
        <item x="202"/>
        <item x="84"/>
        <item x="257"/>
        <item x="260"/>
        <item x="114"/>
        <item x="1"/>
        <item x="148"/>
        <item x="291"/>
        <item x="165"/>
        <item x="48"/>
        <item x="194"/>
        <item x="23"/>
        <item x="140"/>
        <item x="150"/>
        <item x="51"/>
        <item x="79"/>
        <item x="69"/>
        <item x="253"/>
        <item x="215"/>
        <item x="38"/>
        <item x="167"/>
        <item x="267"/>
        <item x="9"/>
        <item x="47"/>
        <item x="0"/>
        <item x="52"/>
        <item x="27"/>
        <item x="122"/>
        <item x="55"/>
        <item x="98"/>
        <item x="85"/>
        <item x="95"/>
        <item x="210"/>
        <item t="default"/>
      </items>
    </pivotField>
    <pivotField showAll="0">
      <items count="301">
        <item h="1" x="212"/>
        <item h="1" x="233"/>
        <item h="1" x="102"/>
        <item h="1" x="127"/>
        <item h="1" x="88"/>
        <item h="1" x="25"/>
        <item h="1" x="96"/>
        <item h="1" x="248"/>
        <item h="1" x="191"/>
        <item h="1" x="158"/>
        <item h="1" x="164"/>
        <item h="1" x="274"/>
        <item h="1" x="261"/>
        <item h="1" x="177"/>
        <item h="1" x="298"/>
        <item h="1" x="202"/>
        <item h="1" x="227"/>
        <item h="1" x="239"/>
        <item h="1" x="63"/>
        <item h="1" x="160"/>
        <item h="1" x="245"/>
        <item h="1" x="208"/>
        <item h="1" x="170"/>
        <item h="1" x="297"/>
        <item h="1" x="288"/>
        <item h="1" x="273"/>
        <item h="1" x="204"/>
        <item h="1" x="196"/>
        <item h="1" x="119"/>
        <item h="1" x="35"/>
        <item h="1" x="218"/>
        <item h="1" x="17"/>
        <item h="1" x="244"/>
        <item h="1" x="39"/>
        <item h="1" x="9"/>
        <item h="1" x="138"/>
        <item h="1" x="66"/>
        <item h="1" x="10"/>
        <item h="1" x="201"/>
        <item h="1" x="126"/>
        <item h="1" x="162"/>
        <item h="1" x="81"/>
        <item h="1" x="295"/>
        <item h="1" x="220"/>
        <item h="1" x="27"/>
        <item h="1" x="4"/>
        <item h="1" x="235"/>
        <item h="1" x="156"/>
        <item h="1" x="87"/>
        <item h="1" x="194"/>
        <item h="1" x="20"/>
        <item h="1" x="159"/>
        <item h="1" x="68"/>
        <item h="1" x="165"/>
        <item h="1" x="236"/>
        <item h="1" x="171"/>
        <item h="1" x="50"/>
        <item h="1" x="214"/>
        <item h="1" x="58"/>
        <item h="1" x="48"/>
        <item h="1" x="281"/>
        <item h="1" x="49"/>
        <item h="1" x="61"/>
        <item h="1" x="240"/>
        <item h="1" x="142"/>
        <item h="1" x="55"/>
        <item h="1" x="294"/>
        <item h="1" x="264"/>
        <item h="1" x="70"/>
        <item h="1" x="266"/>
        <item h="1" x="262"/>
        <item h="1" x="284"/>
        <item h="1" x="11"/>
        <item h="1" x="121"/>
        <item h="1" x="250"/>
        <item h="1" x="47"/>
        <item h="1" x="95"/>
        <item h="1" x="242"/>
        <item h="1" x="8"/>
        <item h="1" x="195"/>
        <item h="1" x="123"/>
        <item h="1" x="166"/>
        <item h="1" x="243"/>
        <item h="1" x="259"/>
        <item h="1" x="125"/>
        <item h="1" x="24"/>
        <item h="1" x="150"/>
        <item h="1" x="38"/>
        <item h="1" x="219"/>
        <item h="1" x="224"/>
        <item x="293"/>
        <item h="1" x="29"/>
        <item h="1" x="246"/>
        <item h="1" x="83"/>
        <item h="1" x="72"/>
        <item h="1" x="137"/>
        <item h="1" x="30"/>
        <item h="1" x="296"/>
        <item h="1" x="110"/>
        <item h="1" x="135"/>
        <item h="1" x="107"/>
        <item h="1" x="89"/>
        <item h="1" x="268"/>
        <item h="1" x="31"/>
        <item h="1" x="129"/>
        <item h="1" x="92"/>
        <item h="1" x="299"/>
        <item h="1" x="57"/>
        <item h="1" x="199"/>
        <item h="1" x="122"/>
        <item h="1" x="207"/>
        <item h="1" x="272"/>
        <item h="1" x="94"/>
        <item h="1" x="269"/>
        <item h="1" x="277"/>
        <item h="1" x="12"/>
        <item h="1" x="226"/>
        <item h="1" x="7"/>
        <item h="1" x="154"/>
        <item h="1" x="109"/>
        <item h="1" x="146"/>
        <item h="1" x="254"/>
        <item h="1" x="144"/>
        <item h="1" x="291"/>
        <item h="1" x="13"/>
        <item h="1" x="136"/>
        <item h="1" x="184"/>
        <item h="1" x="192"/>
        <item h="1" x="292"/>
        <item h="1" x="32"/>
        <item h="1" x="43"/>
        <item h="1" x="206"/>
        <item h="1" x="263"/>
        <item h="1" x="267"/>
        <item h="1" x="78"/>
        <item h="1" x="100"/>
        <item h="1" x="132"/>
        <item h="1" x="187"/>
        <item h="1" x="149"/>
        <item h="1" x="153"/>
        <item h="1" x="93"/>
        <item h="1" x="101"/>
        <item h="1" x="279"/>
        <item h="1" x="265"/>
        <item h="1" x="41"/>
        <item h="1" x="99"/>
        <item h="1" x="3"/>
        <item h="1" x="77"/>
        <item h="1" x="21"/>
        <item h="1" x="105"/>
        <item h="1" x="238"/>
        <item h="1" x="287"/>
        <item h="1" x="230"/>
        <item h="1" x="59"/>
        <item h="1" x="182"/>
        <item h="1" x="189"/>
        <item h="1" x="91"/>
        <item h="1" x="172"/>
        <item h="1" x="114"/>
        <item h="1" x="51"/>
        <item h="1" x="2"/>
        <item h="1" x="130"/>
        <item h="1" x="148"/>
        <item h="1" x="54"/>
        <item h="1" x="79"/>
        <item h="1" x="271"/>
        <item h="1" x="161"/>
        <item h="1" x="223"/>
        <item h="1" x="152"/>
        <item h="1" x="217"/>
        <item h="1" x="213"/>
        <item h="1" x="285"/>
        <item h="1" x="167"/>
        <item h="1" x="104"/>
        <item h="1" x="203"/>
        <item h="1" x="115"/>
        <item h="1" x="278"/>
        <item h="1" x="18"/>
        <item h="1" x="33"/>
        <item h="1" x="60"/>
        <item h="1" x="76"/>
        <item h="1" x="157"/>
        <item h="1" x="34"/>
        <item h="1" x="16"/>
        <item h="1" x="133"/>
        <item h="1" x="40"/>
        <item h="1" x="186"/>
        <item h="1" x="232"/>
        <item h="1" x="258"/>
        <item h="1" x="112"/>
        <item h="1" x="42"/>
        <item h="1" x="26"/>
        <item h="1" x="147"/>
        <item h="1" x="141"/>
        <item h="1" x="178"/>
        <item h="1" x="103"/>
        <item h="1" x="1"/>
        <item h="1" x="80"/>
        <item h="1" x="209"/>
        <item h="1" x="113"/>
        <item h="1" x="231"/>
        <item h="1" x="108"/>
        <item h="1" x="71"/>
        <item h="1" x="237"/>
        <item h="1" x="0"/>
        <item h="1" x="229"/>
        <item h="1" x="197"/>
        <item h="1" x="247"/>
        <item h="1" x="45"/>
        <item h="1" x="120"/>
        <item h="1" x="175"/>
        <item h="1" x="69"/>
        <item h="1" x="86"/>
        <item h="1" x="176"/>
        <item h="1" x="190"/>
        <item h="1" x="65"/>
        <item h="1" x="283"/>
        <item h="1" x="64"/>
        <item h="1" x="90"/>
        <item h="1" x="15"/>
        <item h="1" x="145"/>
        <item h="1" x="82"/>
        <item h="1" x="84"/>
        <item h="1" x="179"/>
        <item h="1" x="139"/>
        <item h="1" x="210"/>
        <item h="1" x="52"/>
        <item h="1" x="163"/>
        <item h="1" x="97"/>
        <item h="1" x="185"/>
        <item h="1" x="106"/>
        <item h="1" x="276"/>
        <item h="1" x="22"/>
        <item h="1" x="73"/>
        <item h="1" x="228"/>
        <item h="1" x="62"/>
        <item h="1" x="75"/>
        <item h="1" x="117"/>
        <item h="1" x="282"/>
        <item h="1" x="28"/>
        <item h="1" x="183"/>
        <item h="1" x="222"/>
        <item h="1" x="134"/>
        <item h="1" x="198"/>
        <item h="1" x="128"/>
        <item h="1" x="188"/>
        <item h="1" x="151"/>
        <item h="1" x="98"/>
        <item h="1" x="6"/>
        <item h="1" x="37"/>
        <item h="1" x="23"/>
        <item h="1" x="200"/>
        <item h="1" x="257"/>
        <item h="1" x="131"/>
        <item h="1" x="216"/>
        <item h="1" x="225"/>
        <item h="1" x="234"/>
        <item h="1" x="286"/>
        <item h="1" x="241"/>
        <item h="1" x="111"/>
        <item h="1" x="260"/>
        <item h="1" x="140"/>
        <item h="1" x="19"/>
        <item h="1" x="124"/>
        <item h="1" x="215"/>
        <item h="1" x="173"/>
        <item h="1" x="74"/>
        <item h="1" x="280"/>
        <item h="1" x="155"/>
        <item h="1" x="36"/>
        <item h="1" x="85"/>
        <item h="1" x="180"/>
        <item h="1" x="211"/>
        <item h="1" x="44"/>
        <item h="1" x="270"/>
        <item h="1" x="290"/>
        <item h="1" x="143"/>
        <item h="1" x="289"/>
        <item h="1" x="116"/>
        <item h="1" x="67"/>
        <item h="1" x="205"/>
        <item h="1" x="174"/>
        <item h="1" x="169"/>
        <item h="1" x="118"/>
        <item h="1" x="221"/>
        <item h="1" x="181"/>
        <item h="1" x="252"/>
        <item h="1" x="14"/>
        <item h="1" x="251"/>
        <item h="1" x="56"/>
        <item h="1" x="53"/>
        <item h="1" x="46"/>
        <item h="1" x="253"/>
        <item h="1" x="255"/>
        <item h="1" x="256"/>
        <item h="1" x="5"/>
        <item h="1" x="249"/>
        <item h="1" x="168"/>
        <item h="1" x="275"/>
        <item h="1" x="193"/>
        <item t="default"/>
      </items>
    </pivotField>
    <pivotField numFmtId="9" showAll="0"/>
    <pivotField numFmtId="9" showAll="0"/>
    <pivotField dataField="1" numFmtId="2" showAll="0"/>
    <pivotField numFmtId="9" showAll="0"/>
    <pivotField showAll="0"/>
    <pivotField showAll="0"/>
    <pivotField showAll="0"/>
  </pivotFields>
  <rowFields count="1">
    <field x="0"/>
  </rowFields>
  <rowItems count="2">
    <i>
      <x v="2"/>
    </i>
    <i t="grand">
      <x/>
    </i>
  </rowItems>
  <colItems count="1">
    <i/>
  </colItems>
  <dataFields count="1">
    <dataField name="Sum of Total Engagement" fld="14" baseField="0" baseItem="0" numFmtId="2"/>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CCA591-555B-4C05-A14D-F45CC48DC5A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3:F5" firstHeaderRow="1" firstDataRow="1" firstDataCol="1"/>
  <pivotFields count="19">
    <pivotField showAll="0"/>
    <pivotField showAll="0"/>
    <pivotField numFmtId="2" showAll="0"/>
    <pivotField numFmtId="2" showAll="0"/>
    <pivotField numFmtId="2" showAll="0"/>
    <pivotField numFmtId="9" showAll="0"/>
    <pivotField showAll="0"/>
    <pivotField showAll="0"/>
    <pivotField numFmtId="9" showAll="0"/>
    <pivotField showAll="0">
      <items count="5">
        <item x="0"/>
        <item x="1"/>
        <item x="3"/>
        <item x="2"/>
        <item t="default"/>
      </items>
    </pivotField>
    <pivotField showAll="0">
      <items count="301">
        <item x="91"/>
        <item x="124"/>
        <item x="177"/>
        <item x="136"/>
        <item x="31"/>
        <item x="199"/>
        <item x="44"/>
        <item x="209"/>
        <item x="94"/>
        <item x="185"/>
        <item x="241"/>
        <item x="53"/>
        <item x="175"/>
        <item x="252"/>
        <item x="116"/>
        <item x="54"/>
        <item x="46"/>
        <item x="299"/>
        <item x="269"/>
        <item x="117"/>
        <item x="174"/>
        <item x="24"/>
        <item x="193"/>
        <item x="10"/>
        <item x="249"/>
        <item x="5"/>
        <item x="286"/>
        <item x="81"/>
        <item x="128"/>
        <item x="142"/>
        <item x="160"/>
        <item x="157"/>
        <item x="129"/>
        <item x="123"/>
        <item x="246"/>
        <item x="277"/>
        <item x="130"/>
        <item x="240"/>
        <item x="179"/>
        <item x="225"/>
        <item x="135"/>
        <item x="17"/>
        <item x="40"/>
        <item x="196"/>
        <item x="72"/>
        <item x="152"/>
        <item x="118"/>
        <item x="32"/>
        <item x="208"/>
        <item x="289"/>
        <item x="200"/>
        <item x="270"/>
        <item x="153"/>
        <item x="186"/>
        <item x="181"/>
        <item x="147"/>
        <item x="166"/>
        <item x="284"/>
        <item x="149"/>
        <item x="108"/>
        <item x="41"/>
        <item x="238"/>
        <item x="132"/>
        <item x="73"/>
        <item x="282"/>
        <item x="201"/>
        <item x="192"/>
        <item x="50"/>
        <item x="287"/>
        <item x="164"/>
        <item x="34"/>
        <item x="74"/>
        <item x="292"/>
        <item x="214"/>
        <item x="121"/>
        <item x="285"/>
        <item x="296"/>
        <item x="159"/>
        <item x="39"/>
        <item x="125"/>
        <item x="70"/>
        <item x="67"/>
        <item x="242"/>
        <item x="19"/>
        <item x="230"/>
        <item x="120"/>
        <item x="243"/>
        <item x="255"/>
        <item x="37"/>
        <item x="144"/>
        <item x="49"/>
        <item x="35"/>
        <item x="78"/>
        <item x="162"/>
        <item x="191"/>
        <item x="112"/>
        <item x="20"/>
        <item x="15"/>
        <item x="89"/>
        <item x="86"/>
        <item x="133"/>
        <item x="280"/>
        <item x="137"/>
        <item x="154"/>
        <item x="222"/>
        <item x="8"/>
        <item x="88"/>
        <item x="258"/>
        <item x="61"/>
        <item x="266"/>
        <item x="278"/>
        <item x="187"/>
        <item x="180"/>
        <item x="134"/>
        <item x="235"/>
        <item x="107"/>
        <item x="184"/>
        <item x="262"/>
        <item x="131"/>
        <item x="205"/>
        <item x="141"/>
        <item x="256"/>
        <item x="75"/>
        <item x="68"/>
        <item x="203"/>
        <item x="223"/>
        <item x="145"/>
        <item x="195"/>
        <item x="109"/>
        <item x="127"/>
        <item x="228"/>
        <item x="268"/>
        <item x="271"/>
        <item x="264"/>
        <item x="229"/>
        <item x="298"/>
        <item x="101"/>
        <item x="43"/>
        <item x="82"/>
        <item x="139"/>
        <item x="4"/>
        <item x="28"/>
        <item x="103"/>
        <item x="16"/>
        <item x="172"/>
        <item x="227"/>
        <item x="232"/>
        <item x="206"/>
        <item x="59"/>
        <item x="254"/>
        <item x="151"/>
        <item x="207"/>
        <item x="276"/>
        <item x="138"/>
        <item x="188"/>
        <item x="279"/>
        <item x="66"/>
        <item x="56"/>
        <item x="96"/>
        <item x="297"/>
        <item x="14"/>
        <item x="259"/>
        <item x="245"/>
        <item x="18"/>
        <item x="217"/>
        <item x="281"/>
        <item x="100"/>
        <item x="21"/>
        <item x="83"/>
        <item x="105"/>
        <item x="57"/>
        <item x="22"/>
        <item x="197"/>
        <item x="224"/>
        <item x="274"/>
        <item x="293"/>
        <item x="102"/>
        <item x="190"/>
        <item x="239"/>
        <item x="247"/>
        <item x="244"/>
        <item x="3"/>
        <item x="45"/>
        <item x="183"/>
        <item x="7"/>
        <item x="71"/>
        <item x="221"/>
        <item x="173"/>
        <item x="251"/>
        <item x="93"/>
        <item x="161"/>
        <item x="171"/>
        <item x="42"/>
        <item x="182"/>
        <item x="273"/>
        <item x="169"/>
        <item x="58"/>
        <item x="213"/>
        <item x="170"/>
        <item x="60"/>
        <item x="33"/>
        <item x="104"/>
        <item x="198"/>
        <item x="2"/>
        <item x="248"/>
        <item x="29"/>
        <item x="64"/>
        <item x="13"/>
        <item x="236"/>
        <item x="226"/>
        <item x="220"/>
        <item x="231"/>
        <item x="110"/>
        <item x="234"/>
        <item x="211"/>
        <item x="178"/>
        <item x="237"/>
        <item x="97"/>
        <item x="115"/>
        <item x="216"/>
        <item x="146"/>
        <item x="63"/>
        <item x="77"/>
        <item x="65"/>
        <item x="290"/>
        <item x="156"/>
        <item x="106"/>
        <item x="111"/>
        <item x="36"/>
        <item x="76"/>
        <item x="62"/>
        <item x="87"/>
        <item x="113"/>
        <item x="90"/>
        <item x="12"/>
        <item x="176"/>
        <item x="263"/>
        <item x="143"/>
        <item x="119"/>
        <item x="92"/>
        <item x="272"/>
        <item x="250"/>
        <item x="189"/>
        <item x="126"/>
        <item x="163"/>
        <item x="30"/>
        <item x="212"/>
        <item x="26"/>
        <item x="80"/>
        <item x="168"/>
        <item x="295"/>
        <item x="218"/>
        <item x="25"/>
        <item x="294"/>
        <item x="158"/>
        <item x="219"/>
        <item x="265"/>
        <item x="283"/>
        <item x="155"/>
        <item x="261"/>
        <item x="204"/>
        <item x="233"/>
        <item x="99"/>
        <item x="6"/>
        <item x="288"/>
        <item x="11"/>
        <item x="275"/>
        <item x="202"/>
        <item x="84"/>
        <item x="257"/>
        <item x="260"/>
        <item x="114"/>
        <item x="1"/>
        <item x="148"/>
        <item x="291"/>
        <item x="165"/>
        <item x="48"/>
        <item x="194"/>
        <item x="23"/>
        <item x="140"/>
        <item x="150"/>
        <item x="51"/>
        <item x="79"/>
        <item x="69"/>
        <item x="253"/>
        <item x="215"/>
        <item x="38"/>
        <item x="167"/>
        <item x="267"/>
        <item x="9"/>
        <item x="47"/>
        <item x="0"/>
        <item x="52"/>
        <item x="27"/>
        <item x="122"/>
        <item x="55"/>
        <item x="98"/>
        <item x="85"/>
        <item x="95"/>
        <item x="210"/>
        <item t="default"/>
      </items>
    </pivotField>
    <pivotField showAll="0">
      <items count="301">
        <item h="1" x="212"/>
        <item h="1" x="233"/>
        <item h="1" x="102"/>
        <item h="1" x="127"/>
        <item h="1" x="88"/>
        <item h="1" x="25"/>
        <item h="1" x="96"/>
        <item h="1" x="248"/>
        <item h="1" x="191"/>
        <item h="1" x="158"/>
        <item h="1" x="164"/>
        <item h="1" x="274"/>
        <item h="1" x="261"/>
        <item h="1" x="177"/>
        <item h="1" x="298"/>
        <item h="1" x="202"/>
        <item h="1" x="227"/>
        <item h="1" x="239"/>
        <item h="1" x="63"/>
        <item h="1" x="160"/>
        <item h="1" x="245"/>
        <item h="1" x="208"/>
        <item h="1" x="170"/>
        <item h="1" x="297"/>
        <item h="1" x="288"/>
        <item h="1" x="273"/>
        <item h="1" x="204"/>
        <item h="1" x="196"/>
        <item h="1" x="119"/>
        <item h="1" x="35"/>
        <item h="1" x="218"/>
        <item h="1" x="17"/>
        <item h="1" x="244"/>
        <item h="1" x="39"/>
        <item h="1" x="9"/>
        <item h="1" x="138"/>
        <item h="1" x="66"/>
        <item h="1" x="10"/>
        <item h="1" x="201"/>
        <item h="1" x="126"/>
        <item h="1" x="162"/>
        <item h="1" x="81"/>
        <item h="1" x="295"/>
        <item h="1" x="220"/>
        <item h="1" x="27"/>
        <item h="1" x="4"/>
        <item h="1" x="235"/>
        <item h="1" x="156"/>
        <item h="1" x="87"/>
        <item h="1" x="194"/>
        <item h="1" x="20"/>
        <item h="1" x="159"/>
        <item h="1" x="68"/>
        <item h="1" x="165"/>
        <item h="1" x="236"/>
        <item h="1" x="171"/>
        <item h="1" x="50"/>
        <item h="1" x="214"/>
        <item h="1" x="58"/>
        <item h="1" x="48"/>
        <item h="1" x="281"/>
        <item h="1" x="49"/>
        <item h="1" x="61"/>
        <item h="1" x="240"/>
        <item h="1" x="142"/>
        <item h="1" x="55"/>
        <item h="1" x="294"/>
        <item h="1" x="264"/>
        <item h="1" x="70"/>
        <item h="1" x="266"/>
        <item h="1" x="262"/>
        <item h="1" x="284"/>
        <item h="1" x="11"/>
        <item h="1" x="121"/>
        <item h="1" x="250"/>
        <item h="1" x="47"/>
        <item h="1" x="95"/>
        <item h="1" x="242"/>
        <item h="1" x="8"/>
        <item h="1" x="195"/>
        <item h="1" x="123"/>
        <item h="1" x="166"/>
        <item h="1" x="243"/>
        <item h="1" x="259"/>
        <item h="1" x="125"/>
        <item h="1" x="24"/>
        <item h="1" x="150"/>
        <item h="1" x="38"/>
        <item h="1" x="219"/>
        <item h="1" x="224"/>
        <item x="293"/>
        <item h="1" x="29"/>
        <item h="1" x="246"/>
        <item h="1" x="83"/>
        <item h="1" x="72"/>
        <item h="1" x="137"/>
        <item h="1" x="30"/>
        <item h="1" x="296"/>
        <item h="1" x="110"/>
        <item h="1" x="135"/>
        <item h="1" x="107"/>
        <item h="1" x="89"/>
        <item h="1" x="268"/>
        <item h="1" x="31"/>
        <item h="1" x="129"/>
        <item h="1" x="92"/>
        <item h="1" x="299"/>
        <item h="1" x="57"/>
        <item h="1" x="199"/>
        <item h="1" x="122"/>
        <item h="1" x="207"/>
        <item h="1" x="272"/>
        <item h="1" x="94"/>
        <item h="1" x="269"/>
        <item h="1" x="277"/>
        <item h="1" x="12"/>
        <item h="1" x="226"/>
        <item h="1" x="7"/>
        <item h="1" x="154"/>
        <item h="1" x="109"/>
        <item h="1" x="146"/>
        <item h="1" x="254"/>
        <item h="1" x="144"/>
        <item h="1" x="291"/>
        <item h="1" x="13"/>
        <item h="1" x="136"/>
        <item h="1" x="184"/>
        <item h="1" x="192"/>
        <item h="1" x="292"/>
        <item h="1" x="32"/>
        <item h="1" x="43"/>
        <item h="1" x="206"/>
        <item h="1" x="263"/>
        <item h="1" x="267"/>
        <item h="1" x="78"/>
        <item h="1" x="100"/>
        <item h="1" x="132"/>
        <item h="1" x="187"/>
        <item h="1" x="149"/>
        <item h="1" x="153"/>
        <item h="1" x="93"/>
        <item h="1" x="101"/>
        <item h="1" x="279"/>
        <item h="1" x="265"/>
        <item h="1" x="41"/>
        <item h="1" x="99"/>
        <item h="1" x="3"/>
        <item h="1" x="77"/>
        <item h="1" x="21"/>
        <item h="1" x="105"/>
        <item h="1" x="238"/>
        <item h="1" x="287"/>
        <item h="1" x="230"/>
        <item h="1" x="59"/>
        <item h="1" x="182"/>
        <item h="1" x="189"/>
        <item h="1" x="91"/>
        <item h="1" x="172"/>
        <item h="1" x="114"/>
        <item h="1" x="51"/>
        <item h="1" x="2"/>
        <item h="1" x="130"/>
        <item h="1" x="148"/>
        <item h="1" x="54"/>
        <item h="1" x="79"/>
        <item h="1" x="271"/>
        <item h="1" x="161"/>
        <item h="1" x="223"/>
        <item h="1" x="152"/>
        <item h="1" x="217"/>
        <item h="1" x="213"/>
        <item h="1" x="285"/>
        <item h="1" x="167"/>
        <item h="1" x="104"/>
        <item h="1" x="203"/>
        <item h="1" x="115"/>
        <item h="1" x="278"/>
        <item h="1" x="18"/>
        <item h="1" x="33"/>
        <item h="1" x="60"/>
        <item h="1" x="76"/>
        <item h="1" x="157"/>
        <item h="1" x="34"/>
        <item h="1" x="16"/>
        <item h="1" x="133"/>
        <item h="1" x="40"/>
        <item h="1" x="186"/>
        <item h="1" x="232"/>
        <item h="1" x="258"/>
        <item h="1" x="112"/>
        <item h="1" x="42"/>
        <item h="1" x="26"/>
        <item h="1" x="147"/>
        <item h="1" x="141"/>
        <item h="1" x="178"/>
        <item h="1" x="103"/>
        <item h="1" x="1"/>
        <item h="1" x="80"/>
        <item h="1" x="209"/>
        <item h="1" x="113"/>
        <item h="1" x="231"/>
        <item h="1" x="108"/>
        <item h="1" x="71"/>
        <item h="1" x="237"/>
        <item h="1" x="0"/>
        <item h="1" x="229"/>
        <item h="1" x="197"/>
        <item h="1" x="247"/>
        <item h="1" x="45"/>
        <item h="1" x="120"/>
        <item h="1" x="175"/>
        <item h="1" x="69"/>
        <item h="1" x="86"/>
        <item h="1" x="176"/>
        <item h="1" x="190"/>
        <item h="1" x="65"/>
        <item h="1" x="283"/>
        <item h="1" x="64"/>
        <item h="1" x="90"/>
        <item h="1" x="15"/>
        <item h="1" x="145"/>
        <item h="1" x="82"/>
        <item h="1" x="84"/>
        <item h="1" x="179"/>
        <item h="1" x="139"/>
        <item h="1" x="210"/>
        <item h="1" x="52"/>
        <item h="1" x="163"/>
        <item h="1" x="97"/>
        <item h="1" x="185"/>
        <item h="1" x="106"/>
        <item h="1" x="276"/>
        <item h="1" x="22"/>
        <item h="1" x="73"/>
        <item h="1" x="228"/>
        <item h="1" x="62"/>
        <item h="1" x="75"/>
        <item h="1" x="117"/>
        <item h="1" x="282"/>
        <item h="1" x="28"/>
        <item h="1" x="183"/>
        <item h="1" x="222"/>
        <item h="1" x="134"/>
        <item h="1" x="198"/>
        <item h="1" x="128"/>
        <item h="1" x="188"/>
        <item h="1" x="151"/>
        <item h="1" x="98"/>
        <item h="1" x="6"/>
        <item h="1" x="37"/>
        <item h="1" x="23"/>
        <item h="1" x="200"/>
        <item h="1" x="257"/>
        <item h="1" x="131"/>
        <item h="1" x="216"/>
        <item h="1" x="225"/>
        <item h="1" x="234"/>
        <item h="1" x="286"/>
        <item h="1" x="241"/>
        <item h="1" x="111"/>
        <item h="1" x="260"/>
        <item h="1" x="140"/>
        <item h="1" x="19"/>
        <item h="1" x="124"/>
        <item h="1" x="215"/>
        <item h="1" x="173"/>
        <item h="1" x="74"/>
        <item h="1" x="280"/>
        <item h="1" x="155"/>
        <item h="1" x="36"/>
        <item h="1" x="85"/>
        <item h="1" x="180"/>
        <item h="1" x="211"/>
        <item h="1" x="44"/>
        <item h="1" x="270"/>
        <item h="1" x="290"/>
        <item h="1" x="143"/>
        <item h="1" x="289"/>
        <item h="1" x="116"/>
        <item h="1" x="67"/>
        <item h="1" x="205"/>
        <item h="1" x="174"/>
        <item h="1" x="169"/>
        <item h="1" x="118"/>
        <item h="1" x="221"/>
        <item h="1" x="181"/>
        <item h="1" x="252"/>
        <item h="1" x="14"/>
        <item h="1" x="251"/>
        <item h="1" x="56"/>
        <item h="1" x="53"/>
        <item h="1" x="46"/>
        <item h="1" x="253"/>
        <item h="1" x="255"/>
        <item h="1" x="256"/>
        <item h="1" x="5"/>
        <item h="1" x="249"/>
        <item h="1" x="168"/>
        <item h="1" x="275"/>
        <item h="1" x="193"/>
        <item t="default"/>
      </items>
    </pivotField>
    <pivotField dataField="1" numFmtId="9" showAll="0"/>
    <pivotField numFmtId="9" showAll="0"/>
    <pivotField numFmtId="2" showAll="0"/>
    <pivotField numFmtId="9" showAll="0"/>
    <pivotField showAll="0"/>
    <pivotField showAll="0"/>
    <pivotField axis="axisRow" showAll="0">
      <items count="5">
        <item x="0"/>
        <item x="3"/>
        <item x="1"/>
        <item x="2"/>
        <item t="default"/>
      </items>
    </pivotField>
  </pivotFields>
  <rowFields count="1">
    <field x="18"/>
  </rowFields>
  <rowItems count="2">
    <i>
      <x v="2"/>
    </i>
    <i t="grand">
      <x/>
    </i>
  </rowItems>
  <colItems count="1">
    <i/>
  </colItems>
  <dataFields count="1">
    <dataField name="Average of temp_engagement_rate" fld="12" subtotal="average" baseField="18" baseItem="0" numFmtId="9"/>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CD2420-4997-4925-885B-EC14968623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C5" firstHeaderRow="0" firstDataRow="1" firstDataCol="1"/>
  <pivotFields count="19">
    <pivotField showAll="0"/>
    <pivotField showAll="0"/>
    <pivotField numFmtId="2" showAll="0"/>
    <pivotField numFmtId="2" showAll="0"/>
    <pivotField numFmtId="2" showAll="0"/>
    <pivotField numFmtId="9" showAll="0"/>
    <pivotField showAll="0"/>
    <pivotField showAll="0"/>
    <pivotField numFmtId="9" showAll="0"/>
    <pivotField axis="axisRow" showAll="0">
      <items count="5">
        <item x="0"/>
        <item x="1"/>
        <item x="3"/>
        <item x="2"/>
        <item t="default"/>
      </items>
    </pivotField>
    <pivotField showAll="0">
      <items count="301">
        <item x="91"/>
        <item x="124"/>
        <item x="177"/>
        <item x="136"/>
        <item x="31"/>
        <item x="199"/>
        <item x="44"/>
        <item x="209"/>
        <item x="94"/>
        <item x="185"/>
        <item x="241"/>
        <item x="53"/>
        <item x="175"/>
        <item x="252"/>
        <item x="116"/>
        <item x="54"/>
        <item x="46"/>
        <item x="299"/>
        <item x="269"/>
        <item x="117"/>
        <item x="174"/>
        <item x="24"/>
        <item x="193"/>
        <item x="10"/>
        <item x="249"/>
        <item x="5"/>
        <item x="286"/>
        <item x="81"/>
        <item x="128"/>
        <item x="142"/>
        <item x="160"/>
        <item x="157"/>
        <item x="129"/>
        <item x="123"/>
        <item x="246"/>
        <item x="277"/>
        <item x="130"/>
        <item x="240"/>
        <item x="179"/>
        <item x="225"/>
        <item x="135"/>
        <item x="17"/>
        <item x="40"/>
        <item x="196"/>
        <item x="72"/>
        <item x="152"/>
        <item x="118"/>
        <item x="32"/>
        <item x="208"/>
        <item x="289"/>
        <item x="200"/>
        <item x="270"/>
        <item x="153"/>
        <item x="186"/>
        <item x="181"/>
        <item x="147"/>
        <item x="166"/>
        <item x="284"/>
        <item x="149"/>
        <item x="108"/>
        <item x="41"/>
        <item x="238"/>
        <item x="132"/>
        <item x="73"/>
        <item x="282"/>
        <item x="201"/>
        <item x="192"/>
        <item x="50"/>
        <item x="287"/>
        <item x="164"/>
        <item x="34"/>
        <item x="74"/>
        <item x="292"/>
        <item x="214"/>
        <item x="121"/>
        <item x="285"/>
        <item x="296"/>
        <item x="159"/>
        <item x="39"/>
        <item x="125"/>
        <item x="70"/>
        <item x="67"/>
        <item x="242"/>
        <item x="19"/>
        <item x="230"/>
        <item x="120"/>
        <item x="243"/>
        <item x="255"/>
        <item x="37"/>
        <item x="144"/>
        <item x="49"/>
        <item x="35"/>
        <item x="78"/>
        <item x="162"/>
        <item x="191"/>
        <item x="112"/>
        <item x="20"/>
        <item x="15"/>
        <item x="89"/>
        <item x="86"/>
        <item x="133"/>
        <item x="280"/>
        <item x="137"/>
        <item x="154"/>
        <item x="222"/>
        <item x="8"/>
        <item x="88"/>
        <item x="258"/>
        <item x="61"/>
        <item x="266"/>
        <item x="278"/>
        <item x="187"/>
        <item x="180"/>
        <item x="134"/>
        <item x="235"/>
        <item x="107"/>
        <item x="184"/>
        <item x="262"/>
        <item x="131"/>
        <item x="205"/>
        <item x="141"/>
        <item x="256"/>
        <item x="75"/>
        <item x="68"/>
        <item x="203"/>
        <item x="223"/>
        <item x="145"/>
        <item x="195"/>
        <item x="109"/>
        <item x="127"/>
        <item x="228"/>
        <item x="268"/>
        <item x="271"/>
        <item x="264"/>
        <item x="229"/>
        <item x="298"/>
        <item x="101"/>
        <item x="43"/>
        <item x="82"/>
        <item x="139"/>
        <item x="4"/>
        <item x="28"/>
        <item x="103"/>
        <item x="16"/>
        <item x="172"/>
        <item x="227"/>
        <item x="232"/>
        <item x="206"/>
        <item x="59"/>
        <item x="254"/>
        <item x="151"/>
        <item x="207"/>
        <item x="276"/>
        <item x="138"/>
        <item x="188"/>
        <item x="279"/>
        <item x="66"/>
        <item x="56"/>
        <item x="96"/>
        <item x="297"/>
        <item x="14"/>
        <item x="259"/>
        <item x="245"/>
        <item x="18"/>
        <item x="217"/>
        <item x="281"/>
        <item x="100"/>
        <item x="21"/>
        <item x="83"/>
        <item x="105"/>
        <item x="57"/>
        <item x="22"/>
        <item x="197"/>
        <item x="224"/>
        <item x="274"/>
        <item x="293"/>
        <item x="102"/>
        <item x="190"/>
        <item x="239"/>
        <item x="247"/>
        <item x="244"/>
        <item x="3"/>
        <item x="45"/>
        <item x="183"/>
        <item x="7"/>
        <item x="71"/>
        <item x="221"/>
        <item x="173"/>
        <item x="251"/>
        <item x="93"/>
        <item x="161"/>
        <item x="171"/>
        <item x="42"/>
        <item x="182"/>
        <item x="273"/>
        <item x="169"/>
        <item x="58"/>
        <item x="213"/>
        <item x="170"/>
        <item x="60"/>
        <item x="33"/>
        <item x="104"/>
        <item x="198"/>
        <item x="2"/>
        <item x="248"/>
        <item x="29"/>
        <item x="64"/>
        <item x="13"/>
        <item x="236"/>
        <item x="226"/>
        <item x="220"/>
        <item x="231"/>
        <item x="110"/>
        <item x="234"/>
        <item x="211"/>
        <item x="178"/>
        <item x="237"/>
        <item x="97"/>
        <item x="115"/>
        <item x="216"/>
        <item x="146"/>
        <item x="63"/>
        <item x="77"/>
        <item x="65"/>
        <item x="290"/>
        <item x="156"/>
        <item x="106"/>
        <item x="111"/>
        <item x="36"/>
        <item x="76"/>
        <item x="62"/>
        <item x="87"/>
        <item x="113"/>
        <item x="90"/>
        <item x="12"/>
        <item x="176"/>
        <item x="263"/>
        <item x="143"/>
        <item x="119"/>
        <item x="92"/>
        <item x="272"/>
        <item x="250"/>
        <item x="189"/>
        <item x="126"/>
        <item x="163"/>
        <item x="30"/>
        <item x="212"/>
        <item x="26"/>
        <item x="80"/>
        <item x="168"/>
        <item x="295"/>
        <item x="218"/>
        <item x="25"/>
        <item x="294"/>
        <item x="158"/>
        <item x="219"/>
        <item x="265"/>
        <item x="283"/>
        <item x="155"/>
        <item x="261"/>
        <item x="204"/>
        <item x="233"/>
        <item x="99"/>
        <item x="6"/>
        <item x="288"/>
        <item x="11"/>
        <item x="275"/>
        <item x="202"/>
        <item x="84"/>
        <item x="257"/>
        <item x="260"/>
        <item x="114"/>
        <item x="1"/>
        <item x="148"/>
        <item x="291"/>
        <item x="165"/>
        <item x="48"/>
        <item x="194"/>
        <item x="23"/>
        <item x="140"/>
        <item x="150"/>
        <item x="51"/>
        <item x="79"/>
        <item x="69"/>
        <item x="253"/>
        <item x="215"/>
        <item x="38"/>
        <item x="167"/>
        <item x="267"/>
        <item x="9"/>
        <item x="47"/>
        <item x="0"/>
        <item x="52"/>
        <item x="27"/>
        <item x="122"/>
        <item x="55"/>
        <item x="98"/>
        <item x="85"/>
        <item x="95"/>
        <item x="210"/>
        <item t="default"/>
      </items>
    </pivotField>
    <pivotField showAll="0">
      <items count="301">
        <item h="1" x="212"/>
        <item h="1" x="233"/>
        <item h="1" x="102"/>
        <item h="1" x="127"/>
        <item h="1" x="88"/>
        <item h="1" x="25"/>
        <item h="1" x="96"/>
        <item h="1" x="248"/>
        <item h="1" x="191"/>
        <item h="1" x="158"/>
        <item h="1" x="164"/>
        <item h="1" x="274"/>
        <item h="1" x="261"/>
        <item h="1" x="177"/>
        <item h="1" x="298"/>
        <item h="1" x="202"/>
        <item h="1" x="227"/>
        <item h="1" x="239"/>
        <item h="1" x="63"/>
        <item h="1" x="160"/>
        <item h="1" x="245"/>
        <item h="1" x="208"/>
        <item h="1" x="170"/>
        <item h="1" x="297"/>
        <item h="1" x="288"/>
        <item h="1" x="273"/>
        <item h="1" x="204"/>
        <item h="1" x="196"/>
        <item h="1" x="119"/>
        <item h="1" x="35"/>
        <item h="1" x="218"/>
        <item h="1" x="17"/>
        <item h="1" x="244"/>
        <item h="1" x="39"/>
        <item h="1" x="9"/>
        <item h="1" x="138"/>
        <item h="1" x="66"/>
        <item h="1" x="10"/>
        <item h="1" x="201"/>
        <item h="1" x="126"/>
        <item h="1" x="162"/>
        <item h="1" x="81"/>
        <item h="1" x="295"/>
        <item h="1" x="220"/>
        <item h="1" x="27"/>
        <item h="1" x="4"/>
        <item h="1" x="235"/>
        <item h="1" x="156"/>
        <item h="1" x="87"/>
        <item h="1" x="194"/>
        <item h="1" x="20"/>
        <item h="1" x="159"/>
        <item h="1" x="68"/>
        <item h="1" x="165"/>
        <item h="1" x="236"/>
        <item h="1" x="171"/>
        <item h="1" x="50"/>
        <item h="1" x="214"/>
        <item h="1" x="58"/>
        <item h="1" x="48"/>
        <item h="1" x="281"/>
        <item h="1" x="49"/>
        <item h="1" x="61"/>
        <item h="1" x="240"/>
        <item h="1" x="142"/>
        <item h="1" x="55"/>
        <item h="1" x="294"/>
        <item h="1" x="264"/>
        <item h="1" x="70"/>
        <item h="1" x="266"/>
        <item h="1" x="262"/>
        <item h="1" x="284"/>
        <item h="1" x="11"/>
        <item h="1" x="121"/>
        <item h="1" x="250"/>
        <item h="1" x="47"/>
        <item h="1" x="95"/>
        <item h="1" x="242"/>
        <item h="1" x="8"/>
        <item h="1" x="195"/>
        <item h="1" x="123"/>
        <item h="1" x="166"/>
        <item h="1" x="243"/>
        <item h="1" x="259"/>
        <item h="1" x="125"/>
        <item h="1" x="24"/>
        <item h="1" x="150"/>
        <item h="1" x="38"/>
        <item h="1" x="219"/>
        <item h="1" x="224"/>
        <item x="293"/>
        <item h="1" x="29"/>
        <item h="1" x="246"/>
        <item h="1" x="83"/>
        <item h="1" x="72"/>
        <item h="1" x="137"/>
        <item h="1" x="30"/>
        <item h="1" x="296"/>
        <item h="1" x="110"/>
        <item h="1" x="135"/>
        <item h="1" x="107"/>
        <item h="1" x="89"/>
        <item h="1" x="268"/>
        <item h="1" x="31"/>
        <item h="1" x="129"/>
        <item h="1" x="92"/>
        <item h="1" x="299"/>
        <item h="1" x="57"/>
        <item h="1" x="199"/>
        <item h="1" x="122"/>
        <item h="1" x="207"/>
        <item h="1" x="272"/>
        <item h="1" x="94"/>
        <item h="1" x="269"/>
        <item h="1" x="277"/>
        <item h="1" x="12"/>
        <item h="1" x="226"/>
        <item h="1" x="7"/>
        <item h="1" x="154"/>
        <item h="1" x="109"/>
        <item h="1" x="146"/>
        <item h="1" x="254"/>
        <item h="1" x="144"/>
        <item h="1" x="291"/>
        <item h="1" x="13"/>
        <item h="1" x="136"/>
        <item h="1" x="184"/>
        <item h="1" x="192"/>
        <item h="1" x="292"/>
        <item h="1" x="32"/>
        <item h="1" x="43"/>
        <item h="1" x="206"/>
        <item h="1" x="263"/>
        <item h="1" x="267"/>
        <item h="1" x="78"/>
        <item h="1" x="100"/>
        <item h="1" x="132"/>
        <item h="1" x="187"/>
        <item h="1" x="149"/>
        <item h="1" x="153"/>
        <item h="1" x="93"/>
        <item h="1" x="101"/>
        <item h="1" x="279"/>
        <item h="1" x="265"/>
        <item h="1" x="41"/>
        <item h="1" x="99"/>
        <item h="1" x="3"/>
        <item h="1" x="77"/>
        <item h="1" x="21"/>
        <item h="1" x="105"/>
        <item h="1" x="238"/>
        <item h="1" x="287"/>
        <item h="1" x="230"/>
        <item h="1" x="59"/>
        <item h="1" x="182"/>
        <item h="1" x="189"/>
        <item h="1" x="91"/>
        <item h="1" x="172"/>
        <item h="1" x="114"/>
        <item h="1" x="51"/>
        <item h="1" x="2"/>
        <item h="1" x="130"/>
        <item h="1" x="148"/>
        <item h="1" x="54"/>
        <item h="1" x="79"/>
        <item h="1" x="271"/>
        <item h="1" x="161"/>
        <item h="1" x="223"/>
        <item h="1" x="152"/>
        <item h="1" x="217"/>
        <item h="1" x="213"/>
        <item h="1" x="285"/>
        <item h="1" x="167"/>
        <item h="1" x="104"/>
        <item h="1" x="203"/>
        <item h="1" x="115"/>
        <item h="1" x="278"/>
        <item h="1" x="18"/>
        <item h="1" x="33"/>
        <item h="1" x="60"/>
        <item h="1" x="76"/>
        <item h="1" x="157"/>
        <item h="1" x="34"/>
        <item h="1" x="16"/>
        <item h="1" x="133"/>
        <item h="1" x="40"/>
        <item h="1" x="186"/>
        <item h="1" x="232"/>
        <item h="1" x="258"/>
        <item h="1" x="112"/>
        <item h="1" x="42"/>
        <item h="1" x="26"/>
        <item h="1" x="147"/>
        <item h="1" x="141"/>
        <item h="1" x="178"/>
        <item h="1" x="103"/>
        <item h="1" x="1"/>
        <item h="1" x="80"/>
        <item h="1" x="209"/>
        <item h="1" x="113"/>
        <item h="1" x="231"/>
        <item h="1" x="108"/>
        <item h="1" x="71"/>
        <item h="1" x="237"/>
        <item h="1" x="0"/>
        <item h="1" x="229"/>
        <item h="1" x="197"/>
        <item h="1" x="247"/>
        <item h="1" x="45"/>
        <item h="1" x="120"/>
        <item h="1" x="175"/>
        <item h="1" x="69"/>
        <item h="1" x="86"/>
        <item h="1" x="176"/>
        <item h="1" x="190"/>
        <item h="1" x="65"/>
        <item h="1" x="283"/>
        <item h="1" x="64"/>
        <item h="1" x="90"/>
        <item h="1" x="15"/>
        <item h="1" x="145"/>
        <item h="1" x="82"/>
        <item h="1" x="84"/>
        <item h="1" x="179"/>
        <item h="1" x="139"/>
        <item h="1" x="210"/>
        <item h="1" x="52"/>
        <item h="1" x="163"/>
        <item h="1" x="97"/>
        <item h="1" x="185"/>
        <item h="1" x="106"/>
        <item h="1" x="276"/>
        <item h="1" x="22"/>
        <item h="1" x="73"/>
        <item h="1" x="228"/>
        <item h="1" x="62"/>
        <item h="1" x="75"/>
        <item h="1" x="117"/>
        <item h="1" x="282"/>
        <item h="1" x="28"/>
        <item h="1" x="183"/>
        <item h="1" x="222"/>
        <item h="1" x="134"/>
        <item h="1" x="198"/>
        <item h="1" x="128"/>
        <item h="1" x="188"/>
        <item h="1" x="151"/>
        <item h="1" x="98"/>
        <item h="1" x="6"/>
        <item h="1" x="37"/>
        <item h="1" x="23"/>
        <item h="1" x="200"/>
        <item h="1" x="257"/>
        <item h="1" x="131"/>
        <item h="1" x="216"/>
        <item h="1" x="225"/>
        <item h="1" x="234"/>
        <item h="1" x="286"/>
        <item h="1" x="241"/>
        <item h="1" x="111"/>
        <item h="1" x="260"/>
        <item h="1" x="140"/>
        <item h="1" x="19"/>
        <item h="1" x="124"/>
        <item h="1" x="215"/>
        <item h="1" x="173"/>
        <item h="1" x="74"/>
        <item h="1" x="280"/>
        <item h="1" x="155"/>
        <item h="1" x="36"/>
        <item h="1" x="85"/>
        <item h="1" x="180"/>
        <item h="1" x="211"/>
        <item h="1" x="44"/>
        <item h="1" x="270"/>
        <item h="1" x="290"/>
        <item h="1" x="143"/>
        <item h="1" x="289"/>
        <item h="1" x="116"/>
        <item h="1" x="67"/>
        <item h="1" x="205"/>
        <item h="1" x="174"/>
        <item h="1" x="169"/>
        <item h="1" x="118"/>
        <item h="1" x="221"/>
        <item h="1" x="181"/>
        <item h="1" x="252"/>
        <item h="1" x="14"/>
        <item h="1" x="251"/>
        <item h="1" x="56"/>
        <item h="1" x="53"/>
        <item h="1" x="46"/>
        <item h="1" x="253"/>
        <item h="1" x="255"/>
        <item h="1" x="256"/>
        <item h="1" x="5"/>
        <item h="1" x="249"/>
        <item h="1" x="168"/>
        <item h="1" x="275"/>
        <item h="1" x="193"/>
        <item t="default"/>
      </items>
    </pivotField>
    <pivotField dataField="1" numFmtId="9" showAll="0"/>
    <pivotField numFmtId="9" showAll="0"/>
    <pivotField dataField="1" numFmtId="2" showAll="0"/>
    <pivotField numFmtId="9" showAll="0"/>
    <pivotField showAll="0"/>
    <pivotField showAll="0"/>
    <pivotField showAll="0"/>
  </pivotFields>
  <rowFields count="1">
    <field x="9"/>
  </rowFields>
  <rowItems count="2">
    <i>
      <x v="3"/>
    </i>
    <i t="grand">
      <x/>
    </i>
  </rowItems>
  <colFields count="1">
    <field x="-2"/>
  </colFields>
  <colItems count="2">
    <i>
      <x/>
    </i>
    <i i="1">
      <x v="1"/>
    </i>
  </colItems>
  <dataFields count="2">
    <dataField name="Average of temp_engagement_rate" fld="12" subtotal="average" baseField="9" baseItem="0" numFmtId="9"/>
    <dataField name="Sum of Total Engagement" fld="14" baseField="9" baseItem="0" numFmtId="1"/>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A377D8-0497-48C3-A16D-26D9FC9C07D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13:F15" firstHeaderRow="1" firstDataRow="1" firstDataCol="1"/>
  <pivotFields count="19">
    <pivotField showAll="0"/>
    <pivotField showAll="0"/>
    <pivotField numFmtId="2" showAll="0"/>
    <pivotField numFmtId="2" showAll="0"/>
    <pivotField numFmtId="2" showAll="0"/>
    <pivotField numFmtId="9" showAll="0"/>
    <pivotField showAll="0"/>
    <pivotField showAll="0"/>
    <pivotField numFmtId="9" showAll="0"/>
    <pivotField showAll="0">
      <items count="5">
        <item x="0"/>
        <item x="1"/>
        <item x="3"/>
        <item x="2"/>
        <item t="default"/>
      </items>
    </pivotField>
    <pivotField axis="axisRow" showAll="0">
      <items count="301">
        <item x="91"/>
        <item x="124"/>
        <item x="177"/>
        <item x="136"/>
        <item x="31"/>
        <item x="199"/>
        <item x="44"/>
        <item x="209"/>
        <item x="94"/>
        <item x="185"/>
        <item x="241"/>
        <item x="53"/>
        <item x="175"/>
        <item x="252"/>
        <item x="116"/>
        <item x="54"/>
        <item x="46"/>
        <item x="299"/>
        <item x="269"/>
        <item x="117"/>
        <item x="174"/>
        <item x="24"/>
        <item x="193"/>
        <item x="10"/>
        <item x="249"/>
        <item x="5"/>
        <item x="286"/>
        <item x="81"/>
        <item x="128"/>
        <item x="142"/>
        <item x="160"/>
        <item x="157"/>
        <item x="129"/>
        <item x="123"/>
        <item x="246"/>
        <item x="277"/>
        <item x="130"/>
        <item x="240"/>
        <item x="179"/>
        <item x="225"/>
        <item x="135"/>
        <item x="17"/>
        <item x="40"/>
        <item x="196"/>
        <item x="72"/>
        <item x="152"/>
        <item x="118"/>
        <item x="32"/>
        <item x="208"/>
        <item x="289"/>
        <item x="200"/>
        <item x="270"/>
        <item x="153"/>
        <item x="186"/>
        <item x="181"/>
        <item x="147"/>
        <item x="166"/>
        <item x="284"/>
        <item x="149"/>
        <item x="108"/>
        <item x="41"/>
        <item x="238"/>
        <item x="132"/>
        <item x="73"/>
        <item x="282"/>
        <item x="201"/>
        <item x="192"/>
        <item x="50"/>
        <item x="287"/>
        <item x="164"/>
        <item x="34"/>
        <item x="74"/>
        <item x="292"/>
        <item x="214"/>
        <item x="121"/>
        <item x="285"/>
        <item x="296"/>
        <item x="159"/>
        <item x="39"/>
        <item x="125"/>
        <item x="70"/>
        <item x="67"/>
        <item x="242"/>
        <item x="19"/>
        <item x="230"/>
        <item x="120"/>
        <item x="243"/>
        <item x="255"/>
        <item x="37"/>
        <item x="144"/>
        <item x="49"/>
        <item x="35"/>
        <item x="78"/>
        <item x="162"/>
        <item x="191"/>
        <item x="112"/>
        <item x="20"/>
        <item x="15"/>
        <item x="89"/>
        <item x="86"/>
        <item x="133"/>
        <item x="280"/>
        <item x="137"/>
        <item x="154"/>
        <item x="222"/>
        <item x="8"/>
        <item x="88"/>
        <item x="258"/>
        <item x="61"/>
        <item x="266"/>
        <item x="278"/>
        <item x="187"/>
        <item x="180"/>
        <item x="134"/>
        <item x="235"/>
        <item x="107"/>
        <item x="184"/>
        <item x="262"/>
        <item x="131"/>
        <item x="205"/>
        <item x="141"/>
        <item x="256"/>
        <item x="75"/>
        <item x="68"/>
        <item x="203"/>
        <item x="223"/>
        <item x="145"/>
        <item x="195"/>
        <item x="109"/>
        <item x="127"/>
        <item x="228"/>
        <item x="268"/>
        <item x="271"/>
        <item x="264"/>
        <item x="229"/>
        <item x="298"/>
        <item x="101"/>
        <item x="43"/>
        <item x="82"/>
        <item x="139"/>
        <item x="4"/>
        <item x="28"/>
        <item x="103"/>
        <item x="16"/>
        <item x="172"/>
        <item x="227"/>
        <item x="232"/>
        <item x="206"/>
        <item x="59"/>
        <item x="254"/>
        <item x="151"/>
        <item x="207"/>
        <item x="276"/>
        <item x="138"/>
        <item x="188"/>
        <item x="279"/>
        <item x="66"/>
        <item x="56"/>
        <item x="96"/>
        <item x="297"/>
        <item x="14"/>
        <item x="259"/>
        <item x="245"/>
        <item x="18"/>
        <item x="217"/>
        <item x="281"/>
        <item x="100"/>
        <item x="21"/>
        <item x="83"/>
        <item x="105"/>
        <item x="57"/>
        <item x="22"/>
        <item x="197"/>
        <item x="224"/>
        <item x="274"/>
        <item x="293"/>
        <item x="102"/>
        <item x="190"/>
        <item x="239"/>
        <item x="247"/>
        <item x="244"/>
        <item x="3"/>
        <item x="45"/>
        <item x="183"/>
        <item x="7"/>
        <item x="71"/>
        <item x="221"/>
        <item x="173"/>
        <item x="251"/>
        <item x="93"/>
        <item x="161"/>
        <item x="171"/>
        <item x="42"/>
        <item x="182"/>
        <item x="273"/>
        <item x="169"/>
        <item x="58"/>
        <item x="213"/>
        <item x="170"/>
        <item x="60"/>
        <item x="33"/>
        <item x="104"/>
        <item x="198"/>
        <item x="2"/>
        <item x="248"/>
        <item x="29"/>
        <item x="64"/>
        <item x="13"/>
        <item x="236"/>
        <item x="226"/>
        <item x="220"/>
        <item x="231"/>
        <item x="110"/>
        <item x="234"/>
        <item x="211"/>
        <item x="178"/>
        <item x="237"/>
        <item x="97"/>
        <item x="115"/>
        <item x="216"/>
        <item x="146"/>
        <item x="63"/>
        <item x="77"/>
        <item x="65"/>
        <item x="290"/>
        <item x="156"/>
        <item x="106"/>
        <item x="111"/>
        <item x="36"/>
        <item x="76"/>
        <item x="62"/>
        <item x="87"/>
        <item x="113"/>
        <item x="90"/>
        <item x="12"/>
        <item x="176"/>
        <item x="263"/>
        <item x="143"/>
        <item x="119"/>
        <item x="92"/>
        <item x="272"/>
        <item x="250"/>
        <item x="189"/>
        <item x="126"/>
        <item x="163"/>
        <item x="30"/>
        <item x="212"/>
        <item x="26"/>
        <item x="80"/>
        <item x="168"/>
        <item x="295"/>
        <item x="218"/>
        <item x="25"/>
        <item x="294"/>
        <item x="158"/>
        <item x="219"/>
        <item x="265"/>
        <item x="283"/>
        <item x="155"/>
        <item x="261"/>
        <item x="204"/>
        <item x="233"/>
        <item x="99"/>
        <item x="6"/>
        <item x="288"/>
        <item x="11"/>
        <item x="275"/>
        <item x="202"/>
        <item x="84"/>
        <item x="257"/>
        <item x="260"/>
        <item x="114"/>
        <item x="1"/>
        <item x="148"/>
        <item x="291"/>
        <item x="165"/>
        <item x="48"/>
        <item x="194"/>
        <item x="23"/>
        <item x="140"/>
        <item x="150"/>
        <item x="51"/>
        <item x="79"/>
        <item x="69"/>
        <item x="253"/>
        <item x="215"/>
        <item x="38"/>
        <item x="167"/>
        <item x="267"/>
        <item x="9"/>
        <item x="47"/>
        <item x="0"/>
        <item x="52"/>
        <item x="27"/>
        <item x="122"/>
        <item x="55"/>
        <item x="98"/>
        <item x="85"/>
        <item x="95"/>
        <item x="210"/>
        <item t="default"/>
      </items>
    </pivotField>
    <pivotField showAll="0">
      <items count="301">
        <item h="1" x="212"/>
        <item h="1" x="233"/>
        <item h="1" x="102"/>
        <item h="1" x="127"/>
        <item h="1" x="88"/>
        <item h="1" x="25"/>
        <item h="1" x="96"/>
        <item h="1" x="248"/>
        <item h="1" x="191"/>
        <item h="1" x="158"/>
        <item h="1" x="164"/>
        <item h="1" x="274"/>
        <item h="1" x="261"/>
        <item h="1" x="177"/>
        <item h="1" x="298"/>
        <item h="1" x="202"/>
        <item h="1" x="227"/>
        <item h="1" x="239"/>
        <item h="1" x="63"/>
        <item h="1" x="160"/>
        <item h="1" x="245"/>
        <item h="1" x="208"/>
        <item h="1" x="170"/>
        <item h="1" x="297"/>
        <item h="1" x="288"/>
        <item h="1" x="273"/>
        <item h="1" x="204"/>
        <item h="1" x="196"/>
        <item h="1" x="119"/>
        <item h="1" x="35"/>
        <item h="1" x="218"/>
        <item h="1" x="17"/>
        <item h="1" x="244"/>
        <item h="1" x="39"/>
        <item h="1" x="9"/>
        <item h="1" x="138"/>
        <item h="1" x="66"/>
        <item h="1" x="10"/>
        <item h="1" x="201"/>
        <item h="1" x="126"/>
        <item h="1" x="162"/>
        <item h="1" x="81"/>
        <item h="1" x="295"/>
        <item h="1" x="220"/>
        <item h="1" x="27"/>
        <item h="1" x="4"/>
        <item h="1" x="235"/>
        <item h="1" x="156"/>
        <item h="1" x="87"/>
        <item h="1" x="194"/>
        <item h="1" x="20"/>
        <item h="1" x="159"/>
        <item h="1" x="68"/>
        <item h="1" x="165"/>
        <item h="1" x="236"/>
        <item h="1" x="171"/>
        <item h="1" x="50"/>
        <item h="1" x="214"/>
        <item h="1" x="58"/>
        <item h="1" x="48"/>
        <item h="1" x="281"/>
        <item h="1" x="49"/>
        <item h="1" x="61"/>
        <item h="1" x="240"/>
        <item h="1" x="142"/>
        <item h="1" x="55"/>
        <item h="1" x="294"/>
        <item h="1" x="264"/>
        <item h="1" x="70"/>
        <item h="1" x="266"/>
        <item h="1" x="262"/>
        <item h="1" x="284"/>
        <item h="1" x="11"/>
        <item h="1" x="121"/>
        <item h="1" x="250"/>
        <item h="1" x="47"/>
        <item h="1" x="95"/>
        <item h="1" x="242"/>
        <item h="1" x="8"/>
        <item h="1" x="195"/>
        <item h="1" x="123"/>
        <item h="1" x="166"/>
        <item h="1" x="243"/>
        <item h="1" x="259"/>
        <item h="1" x="125"/>
        <item h="1" x="24"/>
        <item h="1" x="150"/>
        <item h="1" x="38"/>
        <item h="1" x="219"/>
        <item h="1" x="224"/>
        <item x="293"/>
        <item h="1" x="29"/>
        <item h="1" x="246"/>
        <item h="1" x="83"/>
        <item h="1" x="72"/>
        <item h="1" x="137"/>
        <item h="1" x="30"/>
        <item h="1" x="296"/>
        <item h="1" x="110"/>
        <item h="1" x="135"/>
        <item h="1" x="107"/>
        <item h="1" x="89"/>
        <item h="1" x="268"/>
        <item h="1" x="31"/>
        <item h="1" x="129"/>
        <item h="1" x="92"/>
        <item h="1" x="299"/>
        <item h="1" x="57"/>
        <item h="1" x="199"/>
        <item h="1" x="122"/>
        <item h="1" x="207"/>
        <item h="1" x="272"/>
        <item h="1" x="94"/>
        <item h="1" x="269"/>
        <item h="1" x="277"/>
        <item h="1" x="12"/>
        <item h="1" x="226"/>
        <item h="1" x="7"/>
        <item h="1" x="154"/>
        <item h="1" x="109"/>
        <item h="1" x="146"/>
        <item h="1" x="254"/>
        <item h="1" x="144"/>
        <item h="1" x="291"/>
        <item h="1" x="13"/>
        <item h="1" x="136"/>
        <item h="1" x="184"/>
        <item h="1" x="192"/>
        <item h="1" x="292"/>
        <item h="1" x="32"/>
        <item h="1" x="43"/>
        <item h="1" x="206"/>
        <item h="1" x="263"/>
        <item h="1" x="267"/>
        <item h="1" x="78"/>
        <item h="1" x="100"/>
        <item h="1" x="132"/>
        <item h="1" x="187"/>
        <item h="1" x="149"/>
        <item h="1" x="153"/>
        <item h="1" x="93"/>
        <item h="1" x="101"/>
        <item h="1" x="279"/>
        <item h="1" x="265"/>
        <item h="1" x="41"/>
        <item h="1" x="99"/>
        <item h="1" x="3"/>
        <item h="1" x="77"/>
        <item h="1" x="21"/>
        <item h="1" x="105"/>
        <item h="1" x="238"/>
        <item h="1" x="287"/>
        <item h="1" x="230"/>
        <item h="1" x="59"/>
        <item h="1" x="182"/>
        <item h="1" x="189"/>
        <item h="1" x="91"/>
        <item h="1" x="172"/>
        <item h="1" x="114"/>
        <item h="1" x="51"/>
        <item h="1" x="2"/>
        <item h="1" x="130"/>
        <item h="1" x="148"/>
        <item h="1" x="54"/>
        <item h="1" x="79"/>
        <item h="1" x="271"/>
        <item h="1" x="161"/>
        <item h="1" x="223"/>
        <item h="1" x="152"/>
        <item h="1" x="217"/>
        <item h="1" x="213"/>
        <item h="1" x="285"/>
        <item h="1" x="167"/>
        <item h="1" x="104"/>
        <item h="1" x="203"/>
        <item h="1" x="115"/>
        <item h="1" x="278"/>
        <item h="1" x="18"/>
        <item h="1" x="33"/>
        <item h="1" x="60"/>
        <item h="1" x="76"/>
        <item h="1" x="157"/>
        <item h="1" x="34"/>
        <item h="1" x="16"/>
        <item h="1" x="133"/>
        <item h="1" x="40"/>
        <item h="1" x="186"/>
        <item h="1" x="232"/>
        <item h="1" x="258"/>
        <item h="1" x="112"/>
        <item h="1" x="42"/>
        <item h="1" x="26"/>
        <item h="1" x="147"/>
        <item h="1" x="141"/>
        <item h="1" x="178"/>
        <item h="1" x="103"/>
        <item h="1" x="1"/>
        <item h="1" x="80"/>
        <item h="1" x="209"/>
        <item h="1" x="113"/>
        <item h="1" x="231"/>
        <item h="1" x="108"/>
        <item h="1" x="71"/>
        <item h="1" x="237"/>
        <item h="1" x="0"/>
        <item h="1" x="229"/>
        <item h="1" x="197"/>
        <item h="1" x="247"/>
        <item h="1" x="45"/>
        <item h="1" x="120"/>
        <item h="1" x="175"/>
        <item h="1" x="69"/>
        <item h="1" x="86"/>
        <item h="1" x="176"/>
        <item h="1" x="190"/>
        <item h="1" x="65"/>
        <item h="1" x="283"/>
        <item h="1" x="64"/>
        <item h="1" x="90"/>
        <item h="1" x="15"/>
        <item h="1" x="145"/>
        <item h="1" x="82"/>
        <item h="1" x="84"/>
        <item h="1" x="179"/>
        <item h="1" x="139"/>
        <item h="1" x="210"/>
        <item h="1" x="52"/>
        <item h="1" x="163"/>
        <item h="1" x="97"/>
        <item h="1" x="185"/>
        <item h="1" x="106"/>
        <item h="1" x="276"/>
        <item h="1" x="22"/>
        <item h="1" x="73"/>
        <item h="1" x="228"/>
        <item h="1" x="62"/>
        <item h="1" x="75"/>
        <item h="1" x="117"/>
        <item h="1" x="282"/>
        <item h="1" x="28"/>
        <item h="1" x="183"/>
        <item h="1" x="222"/>
        <item h="1" x="134"/>
        <item h="1" x="198"/>
        <item h="1" x="128"/>
        <item h="1" x="188"/>
        <item h="1" x="151"/>
        <item h="1" x="98"/>
        <item h="1" x="6"/>
        <item h="1" x="37"/>
        <item h="1" x="23"/>
        <item h="1" x="200"/>
        <item h="1" x="257"/>
        <item h="1" x="131"/>
        <item h="1" x="216"/>
        <item h="1" x="225"/>
        <item h="1" x="234"/>
        <item h="1" x="286"/>
        <item h="1" x="241"/>
        <item h="1" x="111"/>
        <item h="1" x="260"/>
        <item h="1" x="140"/>
        <item h="1" x="19"/>
        <item h="1" x="124"/>
        <item h="1" x="215"/>
        <item h="1" x="173"/>
        <item h="1" x="74"/>
        <item h="1" x="280"/>
        <item h="1" x="155"/>
        <item h="1" x="36"/>
        <item h="1" x="85"/>
        <item h="1" x="180"/>
        <item h="1" x="211"/>
        <item h="1" x="44"/>
        <item h="1" x="270"/>
        <item h="1" x="290"/>
        <item h="1" x="143"/>
        <item h="1" x="289"/>
        <item h="1" x="116"/>
        <item h="1" x="67"/>
        <item h="1" x="205"/>
        <item h="1" x="174"/>
        <item h="1" x="169"/>
        <item h="1" x="118"/>
        <item h="1" x="221"/>
        <item h="1" x="181"/>
        <item h="1" x="252"/>
        <item h="1" x="14"/>
        <item h="1" x="251"/>
        <item h="1" x="56"/>
        <item h="1" x="53"/>
        <item h="1" x="46"/>
        <item h="1" x="253"/>
        <item h="1" x="255"/>
        <item h="1" x="256"/>
        <item h="1" x="5"/>
        <item h="1" x="249"/>
        <item h="1" x="168"/>
        <item h="1" x="275"/>
        <item h="1" x="193"/>
        <item t="default"/>
      </items>
    </pivotField>
    <pivotField dataField="1" numFmtId="9" showAll="0"/>
    <pivotField numFmtId="9" showAll="0"/>
    <pivotField numFmtId="2" showAll="0"/>
    <pivotField numFmtId="9" showAll="0"/>
    <pivotField showAll="0"/>
    <pivotField showAll="0"/>
    <pivotField showAll="0"/>
  </pivotFields>
  <rowFields count="1">
    <field x="10"/>
  </rowFields>
  <rowItems count="2">
    <i>
      <x v="175"/>
    </i>
    <i t="grand">
      <x/>
    </i>
  </rowItems>
  <colItems count="1">
    <i/>
  </colItems>
  <dataFields count="1">
    <dataField name="Average of temp_engagement_rate" fld="12" subtotal="average" baseField="1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DDEAA03-6A4C-4F09-88A9-2E35DDB119C2}" autoFormatId="16" applyNumberFormats="0" applyBorderFormats="0" applyFontFormats="0" applyPatternFormats="0" applyAlignmentFormats="0" applyWidthHeightFormats="0">
  <queryTableRefresh nextId="21">
    <queryTableFields count="20">
      <queryTableField id="1" name="post_id" tableColumnId="1"/>
      <queryTableField id="2" name="user_id" tableColumnId="2"/>
      <queryTableField id="3" name="likes" tableColumnId="3"/>
      <queryTableField id="4" name="shares" tableColumnId="4"/>
      <queryTableField id="5" name="comments" tableColumnId="5"/>
      <queryTableField id="6" name="engagement_rate" tableColumnId="6"/>
      <queryTableField id="7" name="impressions" tableColumnId="7"/>
      <queryTableField id="8" name="reach" tableColumnId="8"/>
      <queryTableField id="9" name="ctr" tableColumnId="9"/>
      <queryTableField id="10" name="post_type" tableColumnId="10"/>
      <queryTableField id="11" name="hashtags" tableColumnId="11"/>
      <queryTableField id="12" name="posting_time" tableColumnId="12"/>
      <queryTableField id="13" name="temp_engagement_rate" tableColumnId="13"/>
      <queryTableField id="14" name="temp_ctr" tableColumnId="14"/>
      <queryTableField id="15" name="Total Engagement" tableColumnId="15"/>
      <queryTableField id="16" name="Engagement Rate" tableColumnId="16"/>
      <queryTableField id="17" name="ctr category" tableColumnId="17"/>
      <queryTableField id="18" name="Engagement Level" tableColumnId="18"/>
      <queryTableField id="19" name="Post_time_catagory" tableColumnId="19"/>
      <queryTableField id="20" name="new hashtag"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type" xr10:uid="{9CFE598A-F9F7-426D-AD89-A43AC85F7E7B}" sourceName="post_type">
  <pivotTables>
    <pivotTable tabId="2" name="PivotTable1"/>
    <pivotTable tabId="2" name="PivotTable2"/>
    <pivotTable tabId="2" name="PivotTable3"/>
    <pivotTable tabId="2" name="PivotTable4"/>
  </pivotTables>
  <data>
    <tabular pivotCacheId="1730901958">
      <items count="4">
        <i x="2" s="1"/>
        <i x="0" s="1" nd="1"/>
        <i x="1"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ing_time" xr10:uid="{ADB213C3-5934-488E-88A1-ACE66FCBDF5D}" sourceName="posting_time">
  <pivotTables>
    <pivotTable tabId="2" name="PivotTable1"/>
    <pivotTable tabId="2" name="PivotTable2"/>
    <pivotTable tabId="2" name="PivotTable3"/>
    <pivotTable tabId="2" name="PivotTable4"/>
  </pivotTables>
  <data>
    <tabular pivotCacheId="1730901958">
      <items count="300">
        <i x="212"/>
        <i x="233"/>
        <i x="102"/>
        <i x="127"/>
        <i x="88"/>
        <i x="25"/>
        <i x="96"/>
        <i x="248"/>
        <i x="191"/>
        <i x="158"/>
        <i x="164"/>
        <i x="274"/>
        <i x="261"/>
        <i x="177"/>
        <i x="298"/>
        <i x="202"/>
        <i x="227"/>
        <i x="239"/>
        <i x="63"/>
        <i x="160"/>
        <i x="245"/>
        <i x="208"/>
        <i x="170"/>
        <i x="297"/>
        <i x="288"/>
        <i x="273"/>
        <i x="204"/>
        <i x="196"/>
        <i x="119"/>
        <i x="35"/>
        <i x="218"/>
        <i x="17"/>
        <i x="244"/>
        <i x="39"/>
        <i x="9"/>
        <i x="138"/>
        <i x="66"/>
        <i x="10"/>
        <i x="201"/>
        <i x="126"/>
        <i x="162"/>
        <i x="81"/>
        <i x="295"/>
        <i x="220"/>
        <i x="27"/>
        <i x="4"/>
        <i x="235"/>
        <i x="156"/>
        <i x="87"/>
        <i x="194"/>
        <i x="20"/>
        <i x="159"/>
        <i x="68"/>
        <i x="165"/>
        <i x="236"/>
        <i x="171"/>
        <i x="50"/>
        <i x="214"/>
        <i x="58"/>
        <i x="48"/>
        <i x="281"/>
        <i x="49"/>
        <i x="61"/>
        <i x="240"/>
        <i x="142"/>
        <i x="55"/>
        <i x="294"/>
        <i x="264"/>
        <i x="70"/>
        <i x="266"/>
        <i x="262"/>
        <i x="284"/>
        <i x="11"/>
        <i x="121"/>
        <i x="250"/>
        <i x="47"/>
        <i x="95"/>
        <i x="242"/>
        <i x="8"/>
        <i x="195"/>
        <i x="123"/>
        <i x="166"/>
        <i x="243"/>
        <i x="259"/>
        <i x="125"/>
        <i x="24"/>
        <i x="150"/>
        <i x="38"/>
        <i x="219"/>
        <i x="224"/>
        <i x="293" s="1"/>
        <i x="29"/>
        <i x="246"/>
        <i x="83"/>
        <i x="72"/>
        <i x="137"/>
        <i x="30"/>
        <i x="296"/>
        <i x="110"/>
        <i x="135"/>
        <i x="107"/>
        <i x="89"/>
        <i x="268"/>
        <i x="31"/>
        <i x="129"/>
        <i x="92"/>
        <i x="299"/>
        <i x="57"/>
        <i x="199"/>
        <i x="122"/>
        <i x="207"/>
        <i x="272"/>
        <i x="94"/>
        <i x="269"/>
        <i x="277"/>
        <i x="12"/>
        <i x="226"/>
        <i x="7"/>
        <i x="154"/>
        <i x="109"/>
        <i x="146"/>
        <i x="254"/>
        <i x="144"/>
        <i x="291"/>
        <i x="13"/>
        <i x="136"/>
        <i x="184"/>
        <i x="192"/>
        <i x="292"/>
        <i x="32"/>
        <i x="43"/>
        <i x="206"/>
        <i x="263"/>
        <i x="267"/>
        <i x="78"/>
        <i x="100"/>
        <i x="132"/>
        <i x="187"/>
        <i x="149"/>
        <i x="153"/>
        <i x="93"/>
        <i x="101"/>
        <i x="279"/>
        <i x="265"/>
        <i x="41"/>
        <i x="99"/>
        <i x="3"/>
        <i x="77"/>
        <i x="21"/>
        <i x="105"/>
        <i x="238"/>
        <i x="287"/>
        <i x="230"/>
        <i x="59"/>
        <i x="182"/>
        <i x="189"/>
        <i x="91"/>
        <i x="172"/>
        <i x="114"/>
        <i x="51"/>
        <i x="2"/>
        <i x="130"/>
        <i x="148"/>
        <i x="54"/>
        <i x="79"/>
        <i x="271"/>
        <i x="161"/>
        <i x="223"/>
        <i x="152"/>
        <i x="217"/>
        <i x="213"/>
        <i x="285"/>
        <i x="167"/>
        <i x="104"/>
        <i x="203"/>
        <i x="115"/>
        <i x="278"/>
        <i x="18"/>
        <i x="33"/>
        <i x="60"/>
        <i x="76"/>
        <i x="157"/>
        <i x="34"/>
        <i x="16"/>
        <i x="133"/>
        <i x="40"/>
        <i x="186"/>
        <i x="232"/>
        <i x="258"/>
        <i x="112"/>
        <i x="42"/>
        <i x="26"/>
        <i x="147"/>
        <i x="141"/>
        <i x="178"/>
        <i x="103"/>
        <i x="1"/>
        <i x="80"/>
        <i x="209"/>
        <i x="113"/>
        <i x="231"/>
        <i x="108"/>
        <i x="71"/>
        <i x="237"/>
        <i x="0"/>
        <i x="229"/>
        <i x="197"/>
        <i x="247"/>
        <i x="45"/>
        <i x="120"/>
        <i x="175"/>
        <i x="69"/>
        <i x="86"/>
        <i x="176"/>
        <i x="190"/>
        <i x="65"/>
        <i x="283"/>
        <i x="64"/>
        <i x="90"/>
        <i x="15"/>
        <i x="145"/>
        <i x="82"/>
        <i x="84"/>
        <i x="179"/>
        <i x="139"/>
        <i x="210"/>
        <i x="52"/>
        <i x="163"/>
        <i x="97"/>
        <i x="185"/>
        <i x="106"/>
        <i x="276"/>
        <i x="22"/>
        <i x="73"/>
        <i x="228"/>
        <i x="62"/>
        <i x="75"/>
        <i x="117"/>
        <i x="282"/>
        <i x="28"/>
        <i x="183"/>
        <i x="222"/>
        <i x="134"/>
        <i x="198"/>
        <i x="128"/>
        <i x="188"/>
        <i x="151"/>
        <i x="98"/>
        <i x="6"/>
        <i x="37"/>
        <i x="23"/>
        <i x="200"/>
        <i x="257"/>
        <i x="131"/>
        <i x="216"/>
        <i x="225"/>
        <i x="234"/>
        <i x="286"/>
        <i x="241"/>
        <i x="111"/>
        <i x="260"/>
        <i x="140"/>
        <i x="19"/>
        <i x="124"/>
        <i x="215"/>
        <i x="173"/>
        <i x="74"/>
        <i x="280"/>
        <i x="155"/>
        <i x="36"/>
        <i x="85"/>
        <i x="180"/>
        <i x="211"/>
        <i x="44"/>
        <i x="270"/>
        <i x="290"/>
        <i x="143"/>
        <i x="289"/>
        <i x="116"/>
        <i x="67"/>
        <i x="205"/>
        <i x="174"/>
        <i x="169"/>
        <i x="118"/>
        <i x="221"/>
        <i x="181"/>
        <i x="252"/>
        <i x="14"/>
        <i x="251"/>
        <i x="56"/>
        <i x="53"/>
        <i x="46"/>
        <i x="253"/>
        <i x="255"/>
        <i x="256"/>
        <i x="5"/>
        <i x="249"/>
        <i x="168"/>
        <i x="275"/>
        <i x="19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htags" xr10:uid="{A08DC92E-CCE0-49A9-BBB3-362257C7E6B1}" sourceName="hashtags">
  <pivotTables>
    <pivotTable tabId="2" name="PivotTable1"/>
    <pivotTable tabId="2" name="PivotTable2"/>
    <pivotTable tabId="2" name="PivotTable3"/>
    <pivotTable tabId="2" name="PivotTable4"/>
  </pivotTables>
  <data>
    <tabular pivotCacheId="1730901958">
      <items count="300">
        <i x="293" s="1"/>
        <i x="91" s="1" nd="1"/>
        <i x="124" s="1" nd="1"/>
        <i x="177" s="1" nd="1"/>
        <i x="136" s="1" nd="1"/>
        <i x="31" s="1" nd="1"/>
        <i x="199" s="1" nd="1"/>
        <i x="44" s="1" nd="1"/>
        <i x="209" s="1" nd="1"/>
        <i x="94" s="1" nd="1"/>
        <i x="185" s="1" nd="1"/>
        <i x="241" s="1" nd="1"/>
        <i x="53" s="1" nd="1"/>
        <i x="175" s="1" nd="1"/>
        <i x="252" s="1" nd="1"/>
        <i x="116" s="1" nd="1"/>
        <i x="54" s="1" nd="1"/>
        <i x="46" s="1" nd="1"/>
        <i x="299" s="1" nd="1"/>
        <i x="269" s="1" nd="1"/>
        <i x="117" s="1" nd="1"/>
        <i x="174" s="1" nd="1"/>
        <i x="24" s="1" nd="1"/>
        <i x="193" s="1" nd="1"/>
        <i x="10" s="1" nd="1"/>
        <i x="249" s="1" nd="1"/>
        <i x="5" s="1" nd="1"/>
        <i x="286" s="1" nd="1"/>
        <i x="81" s="1" nd="1"/>
        <i x="128" s="1" nd="1"/>
        <i x="142" s="1" nd="1"/>
        <i x="160" s="1" nd="1"/>
        <i x="157" s="1" nd="1"/>
        <i x="129" s="1" nd="1"/>
        <i x="123" s="1" nd="1"/>
        <i x="246" s="1" nd="1"/>
        <i x="277" s="1" nd="1"/>
        <i x="130" s="1" nd="1"/>
        <i x="240" s="1" nd="1"/>
        <i x="179" s="1" nd="1"/>
        <i x="225" s="1" nd="1"/>
        <i x="135" s="1" nd="1"/>
        <i x="17" s="1" nd="1"/>
        <i x="40" s="1" nd="1"/>
        <i x="196" s="1" nd="1"/>
        <i x="72" s="1" nd="1"/>
        <i x="152" s="1" nd="1"/>
        <i x="118" s="1" nd="1"/>
        <i x="32" s="1" nd="1"/>
        <i x="208" s="1" nd="1"/>
        <i x="289" s="1" nd="1"/>
        <i x="200" s="1" nd="1"/>
        <i x="270" s="1" nd="1"/>
        <i x="153" s="1" nd="1"/>
        <i x="186" s="1" nd="1"/>
        <i x="181" s="1" nd="1"/>
        <i x="147" s="1" nd="1"/>
        <i x="166" s="1" nd="1"/>
        <i x="284" s="1" nd="1"/>
        <i x="149" s="1" nd="1"/>
        <i x="108" s="1" nd="1"/>
        <i x="41" s="1" nd="1"/>
        <i x="238" s="1" nd="1"/>
        <i x="132" s="1" nd="1"/>
        <i x="73" s="1" nd="1"/>
        <i x="282" s="1" nd="1"/>
        <i x="201" s="1" nd="1"/>
        <i x="192" s="1" nd="1"/>
        <i x="50" s="1" nd="1"/>
        <i x="287" s="1" nd="1"/>
        <i x="164" s="1" nd="1"/>
        <i x="34" s="1" nd="1"/>
        <i x="74" s="1" nd="1"/>
        <i x="292" s="1" nd="1"/>
        <i x="214" s="1" nd="1"/>
        <i x="121" s="1" nd="1"/>
        <i x="285" s="1" nd="1"/>
        <i x="296" s="1" nd="1"/>
        <i x="159" s="1" nd="1"/>
        <i x="39" s="1" nd="1"/>
        <i x="125" s="1" nd="1"/>
        <i x="70" s="1" nd="1"/>
        <i x="67" s="1" nd="1"/>
        <i x="242" s="1" nd="1"/>
        <i x="19" s="1" nd="1"/>
        <i x="230" s="1" nd="1"/>
        <i x="120" s="1" nd="1"/>
        <i x="243" s="1" nd="1"/>
        <i x="255" s="1" nd="1"/>
        <i x="37" s="1" nd="1"/>
        <i x="144" s="1" nd="1"/>
        <i x="49" s="1" nd="1"/>
        <i x="35" s="1" nd="1"/>
        <i x="78" s="1" nd="1"/>
        <i x="162" s="1" nd="1"/>
        <i x="191" s="1" nd="1"/>
        <i x="112" s="1" nd="1"/>
        <i x="20" s="1" nd="1"/>
        <i x="15" s="1" nd="1"/>
        <i x="89" s="1" nd="1"/>
        <i x="86" s="1" nd="1"/>
        <i x="133" s="1" nd="1"/>
        <i x="280" s="1" nd="1"/>
        <i x="137" s="1" nd="1"/>
        <i x="154" s="1" nd="1"/>
        <i x="222" s="1" nd="1"/>
        <i x="8" s="1" nd="1"/>
        <i x="88" s="1" nd="1"/>
        <i x="258" s="1" nd="1"/>
        <i x="61" s="1" nd="1"/>
        <i x="266" s="1" nd="1"/>
        <i x="278" s="1" nd="1"/>
        <i x="187" s="1" nd="1"/>
        <i x="180" s="1" nd="1"/>
        <i x="134" s="1" nd="1"/>
        <i x="235" s="1" nd="1"/>
        <i x="107" s="1" nd="1"/>
        <i x="184" s="1" nd="1"/>
        <i x="262" s="1" nd="1"/>
        <i x="131" s="1" nd="1"/>
        <i x="205" s="1" nd="1"/>
        <i x="141" s="1" nd="1"/>
        <i x="256" s="1" nd="1"/>
        <i x="75" s="1" nd="1"/>
        <i x="68" s="1" nd="1"/>
        <i x="203" s="1" nd="1"/>
        <i x="223" s="1" nd="1"/>
        <i x="145" s="1" nd="1"/>
        <i x="195" s="1" nd="1"/>
        <i x="109" s="1" nd="1"/>
        <i x="127" s="1" nd="1"/>
        <i x="228" s="1" nd="1"/>
        <i x="268" s="1" nd="1"/>
        <i x="271" s="1" nd="1"/>
        <i x="264" s="1" nd="1"/>
        <i x="229" s="1" nd="1"/>
        <i x="298" s="1" nd="1"/>
        <i x="101" s="1" nd="1"/>
        <i x="43" s="1" nd="1"/>
        <i x="82" s="1" nd="1"/>
        <i x="139" s="1" nd="1"/>
        <i x="4" s="1" nd="1"/>
        <i x="28" s="1" nd="1"/>
        <i x="103" s="1" nd="1"/>
        <i x="16" s="1" nd="1"/>
        <i x="172" s="1" nd="1"/>
        <i x="227" s="1" nd="1"/>
        <i x="232" s="1" nd="1"/>
        <i x="206" s="1" nd="1"/>
        <i x="59" s="1" nd="1"/>
        <i x="254" s="1" nd="1"/>
        <i x="151" s="1" nd="1"/>
        <i x="207" s="1" nd="1"/>
        <i x="276" s="1" nd="1"/>
        <i x="138" s="1" nd="1"/>
        <i x="188" s="1" nd="1"/>
        <i x="279" s="1" nd="1"/>
        <i x="66" s="1" nd="1"/>
        <i x="56" s="1" nd="1"/>
        <i x="96" s="1" nd="1"/>
        <i x="297" s="1" nd="1"/>
        <i x="14" s="1" nd="1"/>
        <i x="259" s="1" nd="1"/>
        <i x="245" s="1" nd="1"/>
        <i x="18" s="1" nd="1"/>
        <i x="217" s="1" nd="1"/>
        <i x="281" s="1" nd="1"/>
        <i x="100" s="1" nd="1"/>
        <i x="21" s="1" nd="1"/>
        <i x="83" s="1" nd="1"/>
        <i x="105" s="1" nd="1"/>
        <i x="57" s="1" nd="1"/>
        <i x="22" s="1" nd="1"/>
        <i x="197" s="1" nd="1"/>
        <i x="224" s="1" nd="1"/>
        <i x="274" s="1" nd="1"/>
        <i x="102" s="1" nd="1"/>
        <i x="190" s="1" nd="1"/>
        <i x="239" s="1" nd="1"/>
        <i x="247" s="1" nd="1"/>
        <i x="244" s="1" nd="1"/>
        <i x="3" s="1" nd="1"/>
        <i x="45" s="1" nd="1"/>
        <i x="183" s="1" nd="1"/>
        <i x="7" s="1" nd="1"/>
        <i x="71" s="1" nd="1"/>
        <i x="221" s="1" nd="1"/>
        <i x="173" s="1" nd="1"/>
        <i x="251" s="1" nd="1"/>
        <i x="93" s="1" nd="1"/>
        <i x="161" s="1" nd="1"/>
        <i x="171" s="1" nd="1"/>
        <i x="42" s="1" nd="1"/>
        <i x="182" s="1" nd="1"/>
        <i x="273" s="1" nd="1"/>
        <i x="169" s="1" nd="1"/>
        <i x="58" s="1" nd="1"/>
        <i x="213" s="1" nd="1"/>
        <i x="170" s="1" nd="1"/>
        <i x="60" s="1" nd="1"/>
        <i x="33" s="1" nd="1"/>
        <i x="104" s="1" nd="1"/>
        <i x="198" s="1" nd="1"/>
        <i x="2" s="1" nd="1"/>
        <i x="248" s="1" nd="1"/>
        <i x="29" s="1" nd="1"/>
        <i x="64" s="1" nd="1"/>
        <i x="13" s="1" nd="1"/>
        <i x="236" s="1" nd="1"/>
        <i x="226" s="1" nd="1"/>
        <i x="220" s="1" nd="1"/>
        <i x="231" s="1" nd="1"/>
        <i x="110" s="1" nd="1"/>
        <i x="234" s="1" nd="1"/>
        <i x="211" s="1" nd="1"/>
        <i x="178" s="1" nd="1"/>
        <i x="237" s="1" nd="1"/>
        <i x="97" s="1" nd="1"/>
        <i x="115" s="1" nd="1"/>
        <i x="216" s="1" nd="1"/>
        <i x="146" s="1" nd="1"/>
        <i x="63" s="1" nd="1"/>
        <i x="77" s="1" nd="1"/>
        <i x="65" s="1" nd="1"/>
        <i x="290" s="1" nd="1"/>
        <i x="156" s="1" nd="1"/>
        <i x="106" s="1" nd="1"/>
        <i x="111" s="1" nd="1"/>
        <i x="36" s="1" nd="1"/>
        <i x="76" s="1" nd="1"/>
        <i x="62" s="1" nd="1"/>
        <i x="87" s="1" nd="1"/>
        <i x="113" s="1" nd="1"/>
        <i x="90" s="1" nd="1"/>
        <i x="12" s="1" nd="1"/>
        <i x="176" s="1" nd="1"/>
        <i x="263" s="1" nd="1"/>
        <i x="143" s="1" nd="1"/>
        <i x="119" s="1" nd="1"/>
        <i x="92" s="1" nd="1"/>
        <i x="272" s="1" nd="1"/>
        <i x="250" s="1" nd="1"/>
        <i x="189" s="1" nd="1"/>
        <i x="126" s="1" nd="1"/>
        <i x="163" s="1" nd="1"/>
        <i x="30" s="1" nd="1"/>
        <i x="212" s="1" nd="1"/>
        <i x="26" s="1" nd="1"/>
        <i x="80" s="1" nd="1"/>
        <i x="168" s="1" nd="1"/>
        <i x="295" s="1" nd="1"/>
        <i x="218" s="1" nd="1"/>
        <i x="25" s="1" nd="1"/>
        <i x="294" s="1" nd="1"/>
        <i x="158" s="1" nd="1"/>
        <i x="219" s="1" nd="1"/>
        <i x="265" s="1" nd="1"/>
        <i x="283" s="1" nd="1"/>
        <i x="155" s="1" nd="1"/>
        <i x="261" s="1" nd="1"/>
        <i x="204" s="1" nd="1"/>
        <i x="233" s="1" nd="1"/>
        <i x="99" s="1" nd="1"/>
        <i x="6" s="1" nd="1"/>
        <i x="288" s="1" nd="1"/>
        <i x="11" s="1" nd="1"/>
        <i x="275" s="1" nd="1"/>
        <i x="202" s="1" nd="1"/>
        <i x="84" s="1" nd="1"/>
        <i x="257" s="1" nd="1"/>
        <i x="260" s="1" nd="1"/>
        <i x="114" s="1" nd="1"/>
        <i x="1" s="1" nd="1"/>
        <i x="148" s="1" nd="1"/>
        <i x="291" s="1" nd="1"/>
        <i x="165" s="1" nd="1"/>
        <i x="48" s="1" nd="1"/>
        <i x="194" s="1" nd="1"/>
        <i x="23" s="1" nd="1"/>
        <i x="140" s="1" nd="1"/>
        <i x="150" s="1" nd="1"/>
        <i x="51" s="1" nd="1"/>
        <i x="79" s="1" nd="1"/>
        <i x="69" s="1" nd="1"/>
        <i x="253" s="1" nd="1"/>
        <i x="215" s="1" nd="1"/>
        <i x="38" s="1" nd="1"/>
        <i x="167" s="1" nd="1"/>
        <i x="267" s="1" nd="1"/>
        <i x="9" s="1" nd="1"/>
        <i x="47" s="1" nd="1"/>
        <i x="0" s="1" nd="1"/>
        <i x="52" s="1" nd="1"/>
        <i x="27" s="1" nd="1"/>
        <i x="122" s="1" nd="1"/>
        <i x="55" s="1" nd="1"/>
        <i x="98" s="1" nd="1"/>
        <i x="85" s="1" nd="1"/>
        <i x="95" s="1" nd="1"/>
        <i x="2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t_type" xr10:uid="{FDA1B6B0-AC31-4CBA-815B-10CD1788C1F9}" cache="Slicer_post_type" caption="post_type" rowHeight="612000"/>
  <slicer name="posting_time" xr10:uid="{A3E1531B-7CB5-493B-9CA9-5D0A86895355}" cache="Slicer_posting_time" caption="posting_time" startItem="80" rowHeight="180000"/>
  <slicer name="hashtags" xr10:uid="{91BF16BD-2681-4423-B367-FE5ED6ED95FD}" cache="Slicer_hashtags" caption="hashtags"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CC4F0F-A9D6-45C2-B739-C479BBF6370A}" name="Table1" displayName="Table1" ref="A1:T301" totalsRowShown="0">
  <autoFilter ref="A1:T301" xr:uid="{B2CC4F0F-A9D6-45C2-B739-C479BBF6370A}"/>
  <tableColumns count="20">
    <tableColumn id="1" xr3:uid="{B59DC72B-51C4-4331-B422-ADB8AB8FE248}" name="post_id"/>
    <tableColumn id="2" xr3:uid="{5B5F6003-9BF9-471F-9CB5-C7C5CD55CF87}" name="user_id"/>
    <tableColumn id="3" xr3:uid="{EB35991D-AB63-453D-A559-2D7200DA2805}" name="likes" dataDxfId="16"/>
    <tableColumn id="4" xr3:uid="{550FBF05-B621-4604-930C-485897530D30}" name="shares" dataDxfId="15"/>
    <tableColumn id="5" xr3:uid="{B78D89F5-1CC8-4020-AF4B-717F096FC97B}" name="comments" dataDxfId="14"/>
    <tableColumn id="6" xr3:uid="{5D822E65-1346-4251-A7D7-D7AA63AF3095}" name="engagement_rate" dataDxfId="13" dataCellStyle="Comma"/>
    <tableColumn id="7" xr3:uid="{6333FE7C-D030-45BD-9485-E68604E42770}" name="impressions"/>
    <tableColumn id="8" xr3:uid="{8FF8D47F-5AD7-4230-94A5-2B7993A094F4}" name="reach"/>
    <tableColumn id="9" xr3:uid="{033977CF-5023-4072-AE2A-65F248B1D59C}" name="ctr" dataDxfId="12" dataCellStyle="Percent"/>
    <tableColumn id="10" xr3:uid="{46D6613E-ACC1-4475-A788-B93E475ED0A5}" name="post_type"/>
    <tableColumn id="11" xr3:uid="{5CBB2041-A8F4-4D31-A0E0-FA45D3AB0A86}" name="hashtags"/>
    <tableColumn id="12" xr3:uid="{8C708B2B-A2A0-451C-84CB-290A7763995B}" name="posting_time"/>
    <tableColumn id="13" xr3:uid="{2A1C98A8-D6CD-4910-ADCC-F85917D4C5B5}" name="temp_engagement_rate" dataDxfId="11" dataCellStyle="Percent">
      <calculatedColumnFormula>F2/100</calculatedColumnFormula>
    </tableColumn>
    <tableColumn id="14" xr3:uid="{38DCFA6D-AD71-4A29-BB33-A814DAAB214C}" name="temp_ctr" dataDxfId="10" dataCellStyle="Percent">
      <calculatedColumnFormula>I2/100</calculatedColumnFormula>
    </tableColumn>
    <tableColumn id="15" xr3:uid="{06366258-F0E7-451F-90A3-AD81CBB693E8}" name="Total Engagement" dataDxfId="9" dataCellStyle="Percent">
      <calculatedColumnFormula>C2+D2+E2</calculatedColumnFormula>
    </tableColumn>
    <tableColumn id="16" xr3:uid="{17162678-2DFC-487A-99DA-9F7670ED55C6}" name="Engagement Rate" dataDxfId="8" dataCellStyle="Percent">
      <calculatedColumnFormula>IF((C2+D2+E2)/H2&gt;1,1,(C2+D2+E2)/H2)</calculatedColumnFormula>
    </tableColumn>
    <tableColumn id="17" xr3:uid="{A89E1927-3DE3-4BF0-9EBB-7B0C65380D11}" name="ctr category">
      <calculatedColumnFormula>IF(I2&gt;0.1,"High CTR",
 IF(I2&gt;0.05,"Medium CTR","Low CTR"))</calculatedColumnFormula>
    </tableColumn>
    <tableColumn id="18" xr3:uid="{5868A3F9-669A-4092-9EBB-8AED014D92A2}" name="Engagement Level">
      <calculatedColumnFormula>IF($F2&gt;0.1,"High",
 IF($F2&gt;0.05,"Medium","Low"))</calculatedColumnFormula>
    </tableColumn>
    <tableColumn id="19" xr3:uid="{59B96640-D0F7-4BED-A42B-3A778B3AB593}" name="Post_time_catagory">
      <calculatedColumnFormula>IF(HOUR(L2)&lt;12,"Morning",
 IF(HOUR(L2)&lt;17,"Afternoon",
 IF(HOUR(L2)&lt;21,"Evening","Night")))</calculatedColumnFormula>
    </tableColumn>
    <tableColumn id="20" xr3:uid="{B7D996E6-ACBE-40C1-8D6D-CDC48EE6F53D}" name="new hashtag">
      <calculatedColumnFormula>LEN($K2)-LEN(SUBSTITUTE($K2,",",""))+1</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9E1BE0-BE69-4102-9BC8-7F7B70513B38}" name="Table1_1" displayName="Table1_1" ref="A1:T901" tableType="queryTable" totalsRowShown="0">
  <autoFilter ref="A1:T901" xr:uid="{BB9E1BE0-BE69-4102-9BC8-7F7B70513B38}"/>
  <tableColumns count="20">
    <tableColumn id="1" xr3:uid="{03127D44-93B6-42E9-B985-C57F6F75BAD8}" uniqueName="1" name="post_id" queryTableFieldId="1" dataDxfId="7"/>
    <tableColumn id="2" xr3:uid="{3BE00908-792B-483D-A8D1-7BAFD58810B5}" uniqueName="2" name="user_id" queryTableFieldId="2" dataDxfId="6"/>
    <tableColumn id="3" xr3:uid="{FA5E7D38-D6F2-411F-A4E0-65259D8D5225}" uniqueName="3" name="likes" queryTableFieldId="3"/>
    <tableColumn id="4" xr3:uid="{BAD32BAF-BC20-4A78-89E1-7D5DB440D630}" uniqueName="4" name="shares" queryTableFieldId="4"/>
    <tableColumn id="5" xr3:uid="{759B040E-0AD7-4DA5-B7F1-F1ED0A01EBAC}" uniqueName="5" name="comments" queryTableFieldId="5"/>
    <tableColumn id="6" xr3:uid="{25C44A45-39FA-49B0-A237-E81261DAEA6B}" uniqueName="6" name="engagement_rate" queryTableFieldId="6"/>
    <tableColumn id="7" xr3:uid="{EE8E1631-D063-4112-B039-576584CD2BB2}" uniqueName="7" name="impressions" queryTableFieldId="7"/>
    <tableColumn id="8" xr3:uid="{7D6E268A-60F2-41EF-A06D-AE3093D756E9}" uniqueName="8" name="reach" queryTableFieldId="8"/>
    <tableColumn id="9" xr3:uid="{954DCA5F-E03F-44D6-A1DD-34C57E75F149}" uniqueName="9" name="ctr" queryTableFieldId="9"/>
    <tableColumn id="10" xr3:uid="{91D7328D-4D5C-40FC-97E5-82FB4696DD47}" uniqueName="10" name="post_type" queryTableFieldId="10" dataDxfId="5"/>
    <tableColumn id="11" xr3:uid="{33CAC53A-ED1C-4BC8-AE2E-5F050D21A8AC}" uniqueName="11" name="hashtags" queryTableFieldId="11" dataDxfId="4"/>
    <tableColumn id="12" xr3:uid="{7CDEACC2-04DE-4170-BCA3-62B5488774E2}" uniqueName="12" name="posting_time" queryTableFieldId="12" dataDxfId="3"/>
    <tableColumn id="13" xr3:uid="{5DE15EA4-8BD8-4BB4-A6E7-FF68BB289F6A}" uniqueName="13" name="temp_engagement_rate" queryTableFieldId="13"/>
    <tableColumn id="14" xr3:uid="{39A7453E-BA0A-4173-9F06-AB201B4CDB0B}" uniqueName="14" name="temp_ctr" queryTableFieldId="14"/>
    <tableColumn id="15" xr3:uid="{62FBC333-C52C-4C5D-AEA8-E06F9D27C290}" uniqueName="15" name="Total Engagement" queryTableFieldId="15"/>
    <tableColumn id="16" xr3:uid="{C8B0CA5A-7E62-4E82-8EEA-7866CCA48253}" uniqueName="16" name="Engagement Rate" queryTableFieldId="16"/>
    <tableColumn id="17" xr3:uid="{0A4F4350-3687-4C00-866F-7E28756FC338}" uniqueName="17" name="ctr category" queryTableFieldId="17" dataDxfId="2"/>
    <tableColumn id="18" xr3:uid="{8581DCBE-F7A5-4205-BA6B-6B95A6CDA017}" uniqueName="18" name="Engagement Level" queryTableFieldId="18" dataDxfId="1"/>
    <tableColumn id="19" xr3:uid="{53124B8D-D4E8-4FB5-A025-D3CC466A1CBA}" uniqueName="19" name="Post_time_catagory" queryTableFieldId="19" dataDxfId="0"/>
    <tableColumn id="20" xr3:uid="{530F80F9-2639-44DE-9156-342B714DD753}" uniqueName="20" name="new hashtag"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1"/>
  <sheetViews>
    <sheetView zoomScale="96" workbookViewId="0">
      <selection sqref="A1:T301"/>
    </sheetView>
  </sheetViews>
  <sheetFormatPr defaultRowHeight="14.4" x14ac:dyDescent="0.3"/>
  <cols>
    <col min="1" max="1" width="10.88671875" customWidth="1"/>
    <col min="2" max="2" width="9.21875" customWidth="1"/>
    <col min="3" max="3" width="9.88671875" style="2" customWidth="1"/>
    <col min="4" max="4" width="9.6640625" style="2" customWidth="1"/>
    <col min="5" max="5" width="12.109375" style="2" customWidth="1"/>
    <col min="6" max="6" width="18.44140625" style="18" customWidth="1"/>
    <col min="7" max="7" width="13.21875" customWidth="1"/>
    <col min="8" max="8" width="10.33203125" customWidth="1"/>
    <col min="9" max="9" width="5.44140625" style="1" bestFit="1" customWidth="1"/>
    <col min="10" max="10" width="11.6640625" customWidth="1"/>
    <col min="11" max="11" width="33.44140625" bestFit="1" customWidth="1"/>
    <col min="12" max="12" width="15" customWidth="1"/>
    <col min="13" max="13" width="27" style="1" customWidth="1"/>
    <col min="14" max="14" width="10.88671875" style="1" customWidth="1"/>
    <col min="15" max="15" width="18.77734375" style="3" customWidth="1"/>
    <col min="16" max="16" width="18.33203125" style="1" customWidth="1"/>
    <col min="17" max="17" width="16.6640625" customWidth="1"/>
    <col min="18" max="18" width="18.88671875" customWidth="1"/>
    <col min="19" max="19" width="20.33203125" customWidth="1"/>
    <col min="20" max="20" width="14" customWidth="1"/>
    <col min="22" max="22" width="20.6640625" customWidth="1"/>
  </cols>
  <sheetData>
    <row r="1" spans="1:27" x14ac:dyDescent="0.3">
      <c r="A1" s="5" t="s">
        <v>0</v>
      </c>
      <c r="B1" s="5" t="s">
        <v>1</v>
      </c>
      <c r="C1" s="6" t="s">
        <v>2</v>
      </c>
      <c r="D1" s="6" t="s">
        <v>3</v>
      </c>
      <c r="E1" s="6" t="s">
        <v>4</v>
      </c>
      <c r="F1" s="17" t="s">
        <v>5</v>
      </c>
      <c r="G1" s="5" t="s">
        <v>6</v>
      </c>
      <c r="H1" s="5" t="s">
        <v>7</v>
      </c>
      <c r="I1" s="7" t="s">
        <v>915</v>
      </c>
      <c r="J1" s="5" t="s">
        <v>8</v>
      </c>
      <c r="K1" s="5" t="s">
        <v>914</v>
      </c>
      <c r="L1" s="5" t="s">
        <v>9</v>
      </c>
      <c r="M1" s="8" t="s">
        <v>916</v>
      </c>
      <c r="N1" s="9" t="s">
        <v>917</v>
      </c>
      <c r="O1" s="23" t="s">
        <v>1218</v>
      </c>
      <c r="P1" s="7" t="s">
        <v>1219</v>
      </c>
      <c r="Q1" s="10" t="s">
        <v>1220</v>
      </c>
      <c r="R1" s="13" t="s">
        <v>1221</v>
      </c>
      <c r="S1" s="12" t="s">
        <v>1222</v>
      </c>
      <c r="T1" s="5" t="s">
        <v>1236</v>
      </c>
      <c r="U1" s="5"/>
      <c r="V1" s="7"/>
      <c r="W1" s="5"/>
      <c r="X1" s="5"/>
      <c r="Y1" s="5"/>
      <c r="Z1" s="8"/>
      <c r="AA1" s="9"/>
    </row>
    <row r="2" spans="1:27" x14ac:dyDescent="0.3">
      <c r="A2" t="s">
        <v>10</v>
      </c>
      <c r="B2" t="s">
        <v>11</v>
      </c>
      <c r="C2" s="2">
        <v>4724</v>
      </c>
      <c r="D2" s="2">
        <v>2683</v>
      </c>
      <c r="E2" s="2">
        <v>1452</v>
      </c>
      <c r="F2" s="18">
        <v>83.04</v>
      </c>
      <c r="G2">
        <v>67176</v>
      </c>
      <c r="H2">
        <v>52636</v>
      </c>
      <c r="I2" s="1">
        <v>6.32</v>
      </c>
      <c r="J2" t="s">
        <v>12</v>
      </c>
      <c r="K2" s="4" t="s">
        <v>918</v>
      </c>
      <c r="L2" t="s">
        <v>13</v>
      </c>
      <c r="M2" s="1">
        <f>F2/100</f>
        <v>0.83040000000000003</v>
      </c>
      <c r="N2" s="1">
        <f>I2/100</f>
        <v>6.3200000000000006E-2</v>
      </c>
      <c r="O2" s="3">
        <f>C2+D2+E2</f>
        <v>8859</v>
      </c>
      <c r="P2" s="1">
        <f>IF((C2+D2+E2)/H2&gt;1,1,(C2+D2+E2)/H2)</f>
        <v>0.16830686222357322</v>
      </c>
      <c r="Q2" t="str">
        <f>IF(I2&gt;0.1,"High CTR",
 IF(I2&gt;0.05,"Medium CTR","Low CTR"))</f>
        <v>High CTR</v>
      </c>
      <c r="R2" t="str">
        <f>IF($F2&gt;0.1,"High",
 IF($F2&gt;0.05,"Medium","Low"))</f>
        <v>High</v>
      </c>
      <c r="S2" t="str">
        <f>IF(HOUR(L2)&lt;12,"Morning",
 IF(HOUR(L2)&lt;17,"Afternoon",
 IF(HOUR(L2)&lt;21,"Evening","Night")))</f>
        <v>Afternoon</v>
      </c>
      <c r="T2">
        <f>LEN($K2)-LEN(SUBSTITUTE($K2,",",""))+1</f>
        <v>3</v>
      </c>
    </row>
    <row r="3" spans="1:27" x14ac:dyDescent="0.3">
      <c r="A3" t="s">
        <v>14</v>
      </c>
      <c r="B3" t="s">
        <v>15</v>
      </c>
      <c r="C3" s="2">
        <v>9633</v>
      </c>
      <c r="D3" s="2">
        <v>2484</v>
      </c>
      <c r="E3" s="2">
        <v>200</v>
      </c>
      <c r="F3" s="18">
        <v>3.51</v>
      </c>
      <c r="G3">
        <v>12575</v>
      </c>
      <c r="H3">
        <v>18307</v>
      </c>
      <c r="I3" s="1">
        <v>0.91</v>
      </c>
      <c r="J3" t="s">
        <v>16</v>
      </c>
      <c r="K3" s="4" t="s">
        <v>919</v>
      </c>
      <c r="L3" t="s">
        <v>17</v>
      </c>
      <c r="M3" s="1">
        <f t="shared" ref="M3:M66" si="0">F3/100</f>
        <v>3.5099999999999999E-2</v>
      </c>
      <c r="N3" s="1">
        <f t="shared" ref="N3:N66" si="1">I3/100</f>
        <v>9.1000000000000004E-3</v>
      </c>
      <c r="O3" s="3">
        <f t="shared" ref="O3:O66" si="2">C3+D3+E3</f>
        <v>12317</v>
      </c>
      <c r="P3" s="1">
        <f t="shared" ref="P3:P66" si="3">IF((C3+D3+E3)/H3&gt;1,1,(C3+D3+E3)/H3)</f>
        <v>0.67280275304528325</v>
      </c>
      <c r="Q3" t="str">
        <f t="shared" ref="Q3:Q66" si="4">IF(I3&gt;0.1,"High CTR",
 IF(I3&gt;0.05,"Medium CTR","Low CTR"))</f>
        <v>High CTR</v>
      </c>
      <c r="R3" t="str">
        <f t="shared" ref="R3:R66" si="5">IF($F3&gt;0.1,"High",
 IF($F3&gt;0.05,"Medium","Low"))</f>
        <v>High</v>
      </c>
      <c r="S3" t="str">
        <f t="shared" ref="S3:S66" si="6">IF(HOUR(L3)&lt;12,"Morning",
 IF(HOUR(L3)&lt;17,"Afternoon",
 IF(HOUR(L3)&lt;21,"Evening","Night")))</f>
        <v>Afternoon</v>
      </c>
      <c r="T3">
        <f t="shared" ref="T3:T66" si="7">LEN($K3)-LEN(SUBSTITUTE($K3,",",""))+1</f>
        <v>3</v>
      </c>
    </row>
    <row r="4" spans="1:27" x14ac:dyDescent="0.3">
      <c r="A4" t="s">
        <v>18</v>
      </c>
      <c r="B4" t="s">
        <v>19</v>
      </c>
      <c r="C4" s="2">
        <v>9213</v>
      </c>
      <c r="D4" s="2">
        <v>1029</v>
      </c>
      <c r="E4" s="2">
        <v>1366</v>
      </c>
      <c r="F4" s="18">
        <v>80.69</v>
      </c>
      <c r="G4">
        <v>33330</v>
      </c>
      <c r="H4">
        <v>40656</v>
      </c>
      <c r="I4" s="1">
        <v>6.91</v>
      </c>
      <c r="J4" t="s">
        <v>20</v>
      </c>
      <c r="K4" s="4" t="s">
        <v>920</v>
      </c>
      <c r="L4" t="s">
        <v>21</v>
      </c>
      <c r="M4" s="1">
        <f t="shared" si="0"/>
        <v>0.80689999999999995</v>
      </c>
      <c r="N4" s="1">
        <f t="shared" si="1"/>
        <v>6.9099999999999995E-2</v>
      </c>
      <c r="O4" s="3">
        <f t="shared" si="2"/>
        <v>11608</v>
      </c>
      <c r="P4" s="1">
        <f t="shared" si="3"/>
        <v>0.28551751279024007</v>
      </c>
      <c r="Q4" t="str">
        <f t="shared" si="4"/>
        <v>High CTR</v>
      </c>
      <c r="R4" t="str">
        <f t="shared" si="5"/>
        <v>High</v>
      </c>
      <c r="S4" t="str">
        <f t="shared" si="6"/>
        <v>Morning</v>
      </c>
      <c r="T4">
        <f t="shared" si="7"/>
        <v>3</v>
      </c>
      <c r="V4" s="22">
        <f>SUM(C:C)+SUM(D:D)+SUM(E:E)</f>
        <v>2596920</v>
      </c>
      <c r="X4" t="str">
        <f>TEXT(V4/1000000,"0.0")&amp;"M"</f>
        <v>2.6M</v>
      </c>
    </row>
    <row r="5" spans="1:27" x14ac:dyDescent="0.3">
      <c r="A5" t="s">
        <v>22</v>
      </c>
      <c r="B5" t="s">
        <v>23</v>
      </c>
      <c r="C5" s="2">
        <v>5753</v>
      </c>
      <c r="D5" s="2">
        <v>2392</v>
      </c>
      <c r="E5" s="2">
        <v>312</v>
      </c>
      <c r="F5" s="18">
        <v>96.79</v>
      </c>
      <c r="G5">
        <v>15399</v>
      </c>
      <c r="H5">
        <v>94920</v>
      </c>
      <c r="I5" s="1">
        <v>0.74</v>
      </c>
      <c r="J5" t="s">
        <v>20</v>
      </c>
      <c r="K5" s="4" t="s">
        <v>921</v>
      </c>
      <c r="L5" t="s">
        <v>24</v>
      </c>
      <c r="M5" s="1">
        <f t="shared" si="0"/>
        <v>0.96790000000000009</v>
      </c>
      <c r="N5" s="1">
        <f t="shared" si="1"/>
        <v>7.4000000000000003E-3</v>
      </c>
      <c r="O5" s="3">
        <f t="shared" si="2"/>
        <v>8457</v>
      </c>
      <c r="P5" s="1">
        <f t="shared" si="3"/>
        <v>8.9096080910240197E-2</v>
      </c>
      <c r="Q5" t="str">
        <f t="shared" si="4"/>
        <v>High CTR</v>
      </c>
      <c r="R5" t="str">
        <f t="shared" si="5"/>
        <v>High</v>
      </c>
      <c r="S5" t="str">
        <f t="shared" si="6"/>
        <v>Morning</v>
      </c>
      <c r="T5">
        <f t="shared" si="7"/>
        <v>3</v>
      </c>
      <c r="X5" t="str">
        <f>TEXT(V15/1000000,"0.0")&amp;"M"</f>
        <v>16.0M</v>
      </c>
    </row>
    <row r="6" spans="1:27" x14ac:dyDescent="0.3">
      <c r="A6" t="s">
        <v>25</v>
      </c>
      <c r="B6" t="s">
        <v>26</v>
      </c>
      <c r="C6" s="2">
        <v>8977</v>
      </c>
      <c r="D6" s="2">
        <v>4183</v>
      </c>
      <c r="E6" s="2">
        <v>668</v>
      </c>
      <c r="F6" s="18">
        <v>85.24</v>
      </c>
      <c r="G6">
        <v>70221</v>
      </c>
      <c r="H6">
        <v>6119</v>
      </c>
      <c r="I6" s="1">
        <v>6.15</v>
      </c>
      <c r="J6" t="s">
        <v>20</v>
      </c>
      <c r="K6" s="4" t="s">
        <v>922</v>
      </c>
      <c r="L6" t="s">
        <v>27</v>
      </c>
      <c r="M6" s="1">
        <f t="shared" si="0"/>
        <v>0.85239999999999994</v>
      </c>
      <c r="N6" s="1">
        <f t="shared" si="1"/>
        <v>6.1500000000000006E-2</v>
      </c>
      <c r="O6" s="3">
        <f t="shared" si="2"/>
        <v>13828</v>
      </c>
      <c r="P6" s="1">
        <f t="shared" si="3"/>
        <v>1</v>
      </c>
      <c r="Q6" t="str">
        <f t="shared" si="4"/>
        <v>High CTR</v>
      </c>
      <c r="R6" t="str">
        <f t="shared" si="5"/>
        <v>High</v>
      </c>
      <c r="S6" t="str">
        <f t="shared" si="6"/>
        <v>Morning</v>
      </c>
      <c r="T6">
        <f t="shared" si="7"/>
        <v>3</v>
      </c>
    </row>
    <row r="7" spans="1:27" x14ac:dyDescent="0.3">
      <c r="A7" t="s">
        <v>28</v>
      </c>
      <c r="B7" t="s">
        <v>29</v>
      </c>
      <c r="C7" s="2">
        <v>7644</v>
      </c>
      <c r="D7" s="2">
        <v>700</v>
      </c>
      <c r="E7" s="2">
        <v>497</v>
      </c>
      <c r="F7" s="18">
        <v>51.53</v>
      </c>
      <c r="G7">
        <v>43401</v>
      </c>
      <c r="H7">
        <v>82290</v>
      </c>
      <c r="I7" s="1">
        <v>8.0299999999999994</v>
      </c>
      <c r="J7" t="s">
        <v>12</v>
      </c>
      <c r="K7" s="4" t="s">
        <v>923</v>
      </c>
      <c r="L7" t="s">
        <v>30</v>
      </c>
      <c r="M7" s="1">
        <f t="shared" si="0"/>
        <v>0.51529999999999998</v>
      </c>
      <c r="N7" s="1">
        <f t="shared" si="1"/>
        <v>8.0299999999999996E-2</v>
      </c>
      <c r="O7" s="3">
        <f t="shared" si="2"/>
        <v>8841</v>
      </c>
      <c r="P7" s="1">
        <f t="shared" si="3"/>
        <v>0.10743711265038279</v>
      </c>
      <c r="Q7" t="str">
        <f t="shared" si="4"/>
        <v>High CTR</v>
      </c>
      <c r="R7" t="str">
        <f t="shared" si="5"/>
        <v>High</v>
      </c>
      <c r="S7" t="str">
        <f t="shared" si="6"/>
        <v>Night</v>
      </c>
      <c r="T7">
        <f t="shared" si="7"/>
        <v>3</v>
      </c>
      <c r="V7" s="16">
        <f>AVERAGE(M1:M301)</f>
        <v>0.52568266666666641</v>
      </c>
    </row>
    <row r="8" spans="1:27" x14ac:dyDescent="0.3">
      <c r="A8" t="s">
        <v>31</v>
      </c>
      <c r="B8" t="s">
        <v>32</v>
      </c>
      <c r="C8" s="2">
        <v>7634</v>
      </c>
      <c r="D8" s="2">
        <v>836</v>
      </c>
      <c r="E8" s="2">
        <v>1282</v>
      </c>
      <c r="F8" s="18">
        <v>16.55</v>
      </c>
      <c r="G8">
        <v>5029</v>
      </c>
      <c r="H8">
        <v>82551</v>
      </c>
      <c r="I8" s="1">
        <v>8.26</v>
      </c>
      <c r="J8" t="s">
        <v>16</v>
      </c>
      <c r="K8" s="4" t="s">
        <v>924</v>
      </c>
      <c r="L8" t="s">
        <v>33</v>
      </c>
      <c r="M8" s="1">
        <f t="shared" si="0"/>
        <v>0.16550000000000001</v>
      </c>
      <c r="N8" s="1">
        <f t="shared" si="1"/>
        <v>8.2599999999999993E-2</v>
      </c>
      <c r="O8" s="3">
        <f t="shared" si="2"/>
        <v>9752</v>
      </c>
      <c r="P8" s="1">
        <f t="shared" si="3"/>
        <v>0.11813303291298713</v>
      </c>
      <c r="Q8" t="str">
        <f t="shared" si="4"/>
        <v>High CTR</v>
      </c>
      <c r="R8" t="str">
        <f t="shared" si="5"/>
        <v>High</v>
      </c>
      <c r="S8" t="str">
        <f t="shared" si="6"/>
        <v>Evening</v>
      </c>
      <c r="T8">
        <f t="shared" si="7"/>
        <v>3</v>
      </c>
    </row>
    <row r="9" spans="1:27" x14ac:dyDescent="0.3">
      <c r="A9" t="s">
        <v>34</v>
      </c>
      <c r="B9" t="s">
        <v>35</v>
      </c>
      <c r="C9" s="2">
        <v>8291</v>
      </c>
      <c r="D9" s="2">
        <v>799</v>
      </c>
      <c r="E9" s="2">
        <v>406</v>
      </c>
      <c r="F9" s="18">
        <v>38.47</v>
      </c>
      <c r="G9">
        <v>12765</v>
      </c>
      <c r="H9">
        <v>27367</v>
      </c>
      <c r="I9" s="1">
        <v>9.26</v>
      </c>
      <c r="J9" t="s">
        <v>16</v>
      </c>
      <c r="K9" s="4" t="s">
        <v>925</v>
      </c>
      <c r="L9" t="s">
        <v>36</v>
      </c>
      <c r="M9" s="1">
        <f t="shared" si="0"/>
        <v>0.38469999999999999</v>
      </c>
      <c r="N9" s="1">
        <f t="shared" si="1"/>
        <v>9.2600000000000002E-2</v>
      </c>
      <c r="O9" s="3">
        <f t="shared" si="2"/>
        <v>9496</v>
      </c>
      <c r="P9" s="1">
        <f t="shared" si="3"/>
        <v>0.34698724741476961</v>
      </c>
      <c r="Q9" t="str">
        <f t="shared" si="4"/>
        <v>High CTR</v>
      </c>
      <c r="R9" t="str">
        <f t="shared" si="5"/>
        <v>High</v>
      </c>
      <c r="S9" t="str">
        <f t="shared" si="6"/>
        <v>Morning</v>
      </c>
      <c r="T9">
        <f t="shared" si="7"/>
        <v>3</v>
      </c>
      <c r="V9" s="16">
        <f>AVERAGE(N1:N301)</f>
        <v>4.9683666666666695E-2</v>
      </c>
    </row>
    <row r="10" spans="1:27" x14ac:dyDescent="0.3">
      <c r="A10" t="s">
        <v>37</v>
      </c>
      <c r="B10" t="s">
        <v>38</v>
      </c>
      <c r="C10" s="2">
        <v>692</v>
      </c>
      <c r="D10" s="2">
        <v>1208</v>
      </c>
      <c r="E10" s="2">
        <v>828</v>
      </c>
      <c r="F10" s="18">
        <v>78.459999999999994</v>
      </c>
      <c r="G10">
        <v>89131</v>
      </c>
      <c r="H10">
        <v>88660</v>
      </c>
      <c r="I10" s="1">
        <v>3.4</v>
      </c>
      <c r="J10" t="s">
        <v>16</v>
      </c>
      <c r="K10" s="4" t="s">
        <v>926</v>
      </c>
      <c r="L10" t="s">
        <v>39</v>
      </c>
      <c r="M10" s="1">
        <f t="shared" si="0"/>
        <v>0.78459999999999996</v>
      </c>
      <c r="N10" s="1">
        <f t="shared" si="1"/>
        <v>3.4000000000000002E-2</v>
      </c>
      <c r="O10" s="3">
        <f t="shared" si="2"/>
        <v>2728</v>
      </c>
      <c r="P10" s="1">
        <f t="shared" si="3"/>
        <v>3.0769230769230771E-2</v>
      </c>
      <c r="Q10" t="str">
        <f t="shared" si="4"/>
        <v>High CTR</v>
      </c>
      <c r="R10" t="str">
        <f t="shared" si="5"/>
        <v>High</v>
      </c>
      <c r="S10" t="str">
        <f t="shared" si="6"/>
        <v>Morning</v>
      </c>
      <c r="T10">
        <f t="shared" si="7"/>
        <v>3</v>
      </c>
    </row>
    <row r="11" spans="1:27" x14ac:dyDescent="0.3">
      <c r="A11" t="s">
        <v>40</v>
      </c>
      <c r="B11" t="s">
        <v>41</v>
      </c>
      <c r="C11" s="2">
        <v>9194</v>
      </c>
      <c r="D11" s="2">
        <v>969</v>
      </c>
      <c r="E11" s="2">
        <v>208</v>
      </c>
      <c r="F11" s="18">
        <v>62.92</v>
      </c>
      <c r="G11">
        <v>34702</v>
      </c>
      <c r="H11">
        <v>63475</v>
      </c>
      <c r="I11" s="1">
        <v>8.98</v>
      </c>
      <c r="J11" t="s">
        <v>42</v>
      </c>
      <c r="K11" s="4" t="s">
        <v>927</v>
      </c>
      <c r="L11" t="s">
        <v>43</v>
      </c>
      <c r="M11" s="1">
        <f t="shared" si="0"/>
        <v>0.62919999999999998</v>
      </c>
      <c r="N11" s="1">
        <f t="shared" si="1"/>
        <v>8.9800000000000005E-2</v>
      </c>
      <c r="O11" s="3">
        <f t="shared" si="2"/>
        <v>10371</v>
      </c>
      <c r="P11" s="1">
        <f t="shared" si="3"/>
        <v>0.16338716029933045</v>
      </c>
      <c r="Q11" t="str">
        <f t="shared" si="4"/>
        <v>High CTR</v>
      </c>
      <c r="R11" t="str">
        <f t="shared" si="5"/>
        <v>High</v>
      </c>
      <c r="S11" t="str">
        <f t="shared" si="6"/>
        <v>Morning</v>
      </c>
      <c r="T11">
        <f t="shared" si="7"/>
        <v>3</v>
      </c>
    </row>
    <row r="12" spans="1:27" x14ac:dyDescent="0.3">
      <c r="A12" t="s">
        <v>44</v>
      </c>
      <c r="B12" t="s">
        <v>45</v>
      </c>
      <c r="C12" s="2">
        <v>6108</v>
      </c>
      <c r="D12" s="2">
        <v>2277</v>
      </c>
      <c r="E12" s="2">
        <v>1086</v>
      </c>
      <c r="F12" s="18">
        <v>87.33</v>
      </c>
      <c r="G12">
        <v>85657</v>
      </c>
      <c r="H12">
        <v>90781</v>
      </c>
      <c r="I12" s="1">
        <v>9.7799999999999994</v>
      </c>
      <c r="J12" t="s">
        <v>20</v>
      </c>
      <c r="K12" s="4" t="s">
        <v>928</v>
      </c>
      <c r="L12" t="s">
        <v>46</v>
      </c>
      <c r="M12" s="1">
        <f t="shared" si="0"/>
        <v>0.87329999999999997</v>
      </c>
      <c r="N12" s="1">
        <f t="shared" si="1"/>
        <v>9.7799999999999998E-2</v>
      </c>
      <c r="O12" s="3">
        <f t="shared" si="2"/>
        <v>9471</v>
      </c>
      <c r="P12" s="1">
        <f t="shared" si="3"/>
        <v>0.10432799814939249</v>
      </c>
      <c r="Q12" t="str">
        <f t="shared" si="4"/>
        <v>High CTR</v>
      </c>
      <c r="R12" t="str">
        <f t="shared" si="5"/>
        <v>High</v>
      </c>
      <c r="S12" t="str">
        <f t="shared" si="6"/>
        <v>Morning</v>
      </c>
      <c r="T12">
        <f t="shared" si="7"/>
        <v>3</v>
      </c>
    </row>
    <row r="13" spans="1:27" x14ac:dyDescent="0.3">
      <c r="A13" t="s">
        <v>47</v>
      </c>
      <c r="B13" t="s">
        <v>48</v>
      </c>
      <c r="C13" s="2">
        <v>6048</v>
      </c>
      <c r="D13" s="2">
        <v>4595</v>
      </c>
      <c r="E13" s="2">
        <v>1042</v>
      </c>
      <c r="F13" s="18">
        <v>46.56</v>
      </c>
      <c r="G13">
        <v>15739</v>
      </c>
      <c r="H13">
        <v>40262</v>
      </c>
      <c r="I13" s="1">
        <v>3.13</v>
      </c>
      <c r="J13" t="s">
        <v>20</v>
      </c>
      <c r="K13" s="4" t="s">
        <v>929</v>
      </c>
      <c r="L13" t="s">
        <v>49</v>
      </c>
      <c r="M13" s="1">
        <f t="shared" si="0"/>
        <v>0.46560000000000001</v>
      </c>
      <c r="N13" s="1">
        <f t="shared" si="1"/>
        <v>3.1300000000000001E-2</v>
      </c>
      <c r="O13" s="3">
        <f t="shared" si="2"/>
        <v>11685</v>
      </c>
      <c r="P13" s="1">
        <f t="shared" si="3"/>
        <v>0.29022403258655805</v>
      </c>
      <c r="Q13" t="str">
        <f t="shared" si="4"/>
        <v>High CTR</v>
      </c>
      <c r="R13" t="str">
        <f t="shared" si="5"/>
        <v>High</v>
      </c>
      <c r="S13" t="str">
        <f t="shared" si="6"/>
        <v>Morning</v>
      </c>
      <c r="T13">
        <f t="shared" si="7"/>
        <v>3</v>
      </c>
    </row>
    <row r="14" spans="1:27" x14ac:dyDescent="0.3">
      <c r="A14" t="s">
        <v>50</v>
      </c>
      <c r="B14" t="s">
        <v>51</v>
      </c>
      <c r="C14" s="2">
        <v>8594</v>
      </c>
      <c r="D14" s="2">
        <v>440</v>
      </c>
      <c r="E14" s="2">
        <v>840</v>
      </c>
      <c r="F14" s="18">
        <v>20.68</v>
      </c>
      <c r="G14">
        <v>88445</v>
      </c>
      <c r="H14">
        <v>4445</v>
      </c>
      <c r="I14" s="1">
        <v>8.01</v>
      </c>
      <c r="J14" t="s">
        <v>20</v>
      </c>
      <c r="K14" s="4" t="s">
        <v>930</v>
      </c>
      <c r="L14" t="s">
        <v>52</v>
      </c>
      <c r="M14" s="1">
        <f t="shared" si="0"/>
        <v>0.20679999999999998</v>
      </c>
      <c r="N14" s="1">
        <f t="shared" si="1"/>
        <v>8.0100000000000005E-2</v>
      </c>
      <c r="O14" s="3">
        <f t="shared" si="2"/>
        <v>9874</v>
      </c>
      <c r="P14" s="1">
        <f t="shared" si="3"/>
        <v>1</v>
      </c>
      <c r="Q14" t="str">
        <f t="shared" si="4"/>
        <v>High CTR</v>
      </c>
      <c r="R14" t="str">
        <f t="shared" si="5"/>
        <v>High</v>
      </c>
      <c r="S14" t="str">
        <f t="shared" si="6"/>
        <v>Morning</v>
      </c>
      <c r="T14">
        <f t="shared" si="7"/>
        <v>3</v>
      </c>
    </row>
    <row r="15" spans="1:27" x14ac:dyDescent="0.3">
      <c r="A15" t="s">
        <v>53</v>
      </c>
      <c r="B15" t="s">
        <v>54</v>
      </c>
      <c r="C15" s="2">
        <v>2935</v>
      </c>
      <c r="D15" s="2">
        <v>4061</v>
      </c>
      <c r="E15" s="2">
        <v>236</v>
      </c>
      <c r="F15" s="18">
        <v>81.680000000000007</v>
      </c>
      <c r="G15">
        <v>52411</v>
      </c>
      <c r="H15">
        <v>2887</v>
      </c>
      <c r="I15" s="1">
        <v>1.87</v>
      </c>
      <c r="J15" t="s">
        <v>42</v>
      </c>
      <c r="K15" s="4" t="s">
        <v>931</v>
      </c>
      <c r="L15" t="s">
        <v>55</v>
      </c>
      <c r="M15" s="1">
        <f t="shared" si="0"/>
        <v>0.81680000000000008</v>
      </c>
      <c r="N15" s="1">
        <f t="shared" si="1"/>
        <v>1.8700000000000001E-2</v>
      </c>
      <c r="O15" s="3">
        <f t="shared" si="2"/>
        <v>7232</v>
      </c>
      <c r="P15" s="1">
        <f t="shared" si="3"/>
        <v>1</v>
      </c>
      <c r="Q15" t="str">
        <f t="shared" si="4"/>
        <v>High CTR</v>
      </c>
      <c r="R15" t="str">
        <f t="shared" si="5"/>
        <v>High</v>
      </c>
      <c r="S15" t="str">
        <f t="shared" si="6"/>
        <v>Morning</v>
      </c>
      <c r="T15">
        <f t="shared" si="7"/>
        <v>3</v>
      </c>
      <c r="V15">
        <f>SUM(H1:H301)</f>
        <v>16027591</v>
      </c>
    </row>
    <row r="16" spans="1:27" x14ac:dyDescent="0.3">
      <c r="A16" t="s">
        <v>56</v>
      </c>
      <c r="B16" t="s">
        <v>57</v>
      </c>
      <c r="C16" s="2">
        <v>2303</v>
      </c>
      <c r="D16" s="2">
        <v>1120</v>
      </c>
      <c r="E16" s="2">
        <v>1660</v>
      </c>
      <c r="F16" s="18">
        <v>53.48</v>
      </c>
      <c r="G16">
        <v>78543</v>
      </c>
      <c r="H16">
        <v>46720</v>
      </c>
      <c r="I16" s="1">
        <v>1.25</v>
      </c>
      <c r="J16" t="s">
        <v>12</v>
      </c>
      <c r="K16" s="4" t="s">
        <v>932</v>
      </c>
      <c r="L16" t="s">
        <v>58</v>
      </c>
      <c r="M16" s="1">
        <f t="shared" si="0"/>
        <v>0.53479999999999994</v>
      </c>
      <c r="N16" s="1">
        <f t="shared" si="1"/>
        <v>1.2500000000000001E-2</v>
      </c>
      <c r="O16" s="3">
        <f t="shared" si="2"/>
        <v>5083</v>
      </c>
      <c r="P16" s="1">
        <f t="shared" si="3"/>
        <v>0.10879708904109589</v>
      </c>
      <c r="Q16" t="str">
        <f t="shared" si="4"/>
        <v>High CTR</v>
      </c>
      <c r="R16" t="str">
        <f t="shared" si="5"/>
        <v>High</v>
      </c>
      <c r="S16" t="str">
        <f t="shared" si="6"/>
        <v>Night</v>
      </c>
      <c r="T16">
        <f t="shared" si="7"/>
        <v>3</v>
      </c>
    </row>
    <row r="17" spans="1:20" x14ac:dyDescent="0.3">
      <c r="A17" t="s">
        <v>59</v>
      </c>
      <c r="B17" t="s">
        <v>60</v>
      </c>
      <c r="C17" s="2">
        <v>3729</v>
      </c>
      <c r="D17" s="2">
        <v>931</v>
      </c>
      <c r="E17" s="2">
        <v>1022</v>
      </c>
      <c r="F17" s="18">
        <v>69.540000000000006</v>
      </c>
      <c r="G17">
        <v>78370</v>
      </c>
      <c r="H17">
        <v>37690</v>
      </c>
      <c r="I17" s="1">
        <v>1.95</v>
      </c>
      <c r="J17" t="s">
        <v>42</v>
      </c>
      <c r="K17" s="4" t="s">
        <v>933</v>
      </c>
      <c r="L17" t="s">
        <v>61</v>
      </c>
      <c r="M17" s="1">
        <f t="shared" si="0"/>
        <v>0.69540000000000002</v>
      </c>
      <c r="N17" s="1">
        <f t="shared" si="1"/>
        <v>1.95E-2</v>
      </c>
      <c r="O17" s="3">
        <f t="shared" si="2"/>
        <v>5682</v>
      </c>
      <c r="P17" s="1">
        <f t="shared" si="3"/>
        <v>0.1507561687450252</v>
      </c>
      <c r="Q17" t="str">
        <f t="shared" si="4"/>
        <v>High CTR</v>
      </c>
      <c r="R17" t="str">
        <f t="shared" si="5"/>
        <v>High</v>
      </c>
      <c r="S17" t="str">
        <f t="shared" si="6"/>
        <v>Afternoon</v>
      </c>
      <c r="T17">
        <f t="shared" si="7"/>
        <v>3</v>
      </c>
    </row>
    <row r="18" spans="1:20" x14ac:dyDescent="0.3">
      <c r="A18" t="s">
        <v>62</v>
      </c>
      <c r="B18" t="s">
        <v>63</v>
      </c>
      <c r="C18" s="2">
        <v>4987</v>
      </c>
      <c r="D18" s="2">
        <v>4164</v>
      </c>
      <c r="E18" s="2">
        <v>669</v>
      </c>
      <c r="F18" s="18">
        <v>81</v>
      </c>
      <c r="G18">
        <v>63915</v>
      </c>
      <c r="H18">
        <v>68362</v>
      </c>
      <c r="I18" s="1">
        <v>5.37</v>
      </c>
      <c r="J18" t="s">
        <v>12</v>
      </c>
      <c r="K18" s="4" t="s">
        <v>934</v>
      </c>
      <c r="L18" t="s">
        <v>64</v>
      </c>
      <c r="M18" s="1">
        <f t="shared" si="0"/>
        <v>0.81</v>
      </c>
      <c r="N18" s="1">
        <f t="shared" si="1"/>
        <v>5.3699999999999998E-2</v>
      </c>
      <c r="O18" s="3">
        <f t="shared" si="2"/>
        <v>9820</v>
      </c>
      <c r="P18" s="1">
        <f t="shared" si="3"/>
        <v>0.14364705538164477</v>
      </c>
      <c r="Q18" t="str">
        <f t="shared" si="4"/>
        <v>High CTR</v>
      </c>
      <c r="R18" t="str">
        <f t="shared" si="5"/>
        <v>High</v>
      </c>
      <c r="S18" t="str">
        <f t="shared" si="6"/>
        <v>Afternoon</v>
      </c>
      <c r="T18">
        <f t="shared" si="7"/>
        <v>3</v>
      </c>
    </row>
    <row r="19" spans="1:20" x14ac:dyDescent="0.3">
      <c r="A19" t="s">
        <v>65</v>
      </c>
      <c r="B19" t="s">
        <v>66</v>
      </c>
      <c r="C19" s="2">
        <v>381</v>
      </c>
      <c r="D19" s="2">
        <v>3180</v>
      </c>
      <c r="E19" s="2">
        <v>1841</v>
      </c>
      <c r="F19" s="18">
        <v>12.44</v>
      </c>
      <c r="G19">
        <v>7553</v>
      </c>
      <c r="H19">
        <v>92301</v>
      </c>
      <c r="I19" s="1">
        <v>7.04</v>
      </c>
      <c r="J19" t="s">
        <v>12</v>
      </c>
      <c r="K19" s="4" t="s">
        <v>935</v>
      </c>
      <c r="L19" t="s">
        <v>67</v>
      </c>
      <c r="M19" s="1">
        <f t="shared" si="0"/>
        <v>0.1244</v>
      </c>
      <c r="N19" s="1">
        <f t="shared" si="1"/>
        <v>7.0400000000000004E-2</v>
      </c>
      <c r="O19" s="3">
        <f t="shared" si="2"/>
        <v>5402</v>
      </c>
      <c r="P19" s="1">
        <f t="shared" si="3"/>
        <v>5.8525909795126813E-2</v>
      </c>
      <c r="Q19" t="str">
        <f t="shared" si="4"/>
        <v>High CTR</v>
      </c>
      <c r="R19" t="str">
        <f t="shared" si="5"/>
        <v>High</v>
      </c>
      <c r="S19" t="str">
        <f t="shared" si="6"/>
        <v>Morning</v>
      </c>
      <c r="T19">
        <f t="shared" si="7"/>
        <v>3</v>
      </c>
    </row>
    <row r="20" spans="1:20" x14ac:dyDescent="0.3">
      <c r="A20" t="s">
        <v>68</v>
      </c>
      <c r="B20" t="s">
        <v>69</v>
      </c>
      <c r="C20" s="2">
        <v>3483</v>
      </c>
      <c r="D20" s="2">
        <v>2605</v>
      </c>
      <c r="E20" s="2">
        <v>253</v>
      </c>
      <c r="F20" s="18">
        <v>50.43</v>
      </c>
      <c r="G20">
        <v>88323</v>
      </c>
      <c r="H20">
        <v>52593</v>
      </c>
      <c r="I20" s="1">
        <v>7.22</v>
      </c>
      <c r="J20" t="s">
        <v>20</v>
      </c>
      <c r="K20" s="4" t="s">
        <v>936</v>
      </c>
      <c r="L20" t="s">
        <v>70</v>
      </c>
      <c r="M20" s="1">
        <f t="shared" si="0"/>
        <v>0.50429999999999997</v>
      </c>
      <c r="N20" s="1">
        <f t="shared" si="1"/>
        <v>7.22E-2</v>
      </c>
      <c r="O20" s="3">
        <f t="shared" si="2"/>
        <v>6341</v>
      </c>
      <c r="P20" s="1">
        <f t="shared" si="3"/>
        <v>0.12056737588652482</v>
      </c>
      <c r="Q20" t="str">
        <f t="shared" si="4"/>
        <v>High CTR</v>
      </c>
      <c r="R20" t="str">
        <f t="shared" si="5"/>
        <v>High</v>
      </c>
      <c r="S20" t="str">
        <f t="shared" si="6"/>
        <v>Afternoon</v>
      </c>
      <c r="T20">
        <f t="shared" si="7"/>
        <v>3</v>
      </c>
    </row>
    <row r="21" spans="1:20" x14ac:dyDescent="0.3">
      <c r="A21" t="s">
        <v>71</v>
      </c>
      <c r="B21" t="s">
        <v>72</v>
      </c>
      <c r="C21" s="2">
        <v>118</v>
      </c>
      <c r="D21" s="2">
        <v>3048</v>
      </c>
      <c r="E21" s="2">
        <v>918</v>
      </c>
      <c r="F21" s="18">
        <v>4.2699999999999996</v>
      </c>
      <c r="G21">
        <v>19881</v>
      </c>
      <c r="H21">
        <v>41902</v>
      </c>
      <c r="I21" s="1">
        <v>2.35</v>
      </c>
      <c r="J21" t="s">
        <v>16</v>
      </c>
      <c r="K21" s="4" t="s">
        <v>937</v>
      </c>
      <c r="L21" t="s">
        <v>73</v>
      </c>
      <c r="M21" s="1">
        <f t="shared" si="0"/>
        <v>4.2699999999999995E-2</v>
      </c>
      <c r="N21" s="1">
        <f t="shared" si="1"/>
        <v>2.35E-2</v>
      </c>
      <c r="O21" s="3">
        <f t="shared" si="2"/>
        <v>4084</v>
      </c>
      <c r="P21" s="1">
        <f t="shared" si="3"/>
        <v>9.7465514772564557E-2</v>
      </c>
      <c r="Q21" t="str">
        <f t="shared" si="4"/>
        <v>High CTR</v>
      </c>
      <c r="R21" t="str">
        <f t="shared" si="5"/>
        <v>High</v>
      </c>
      <c r="S21" t="str">
        <f t="shared" si="6"/>
        <v>Evening</v>
      </c>
      <c r="T21">
        <f t="shared" si="7"/>
        <v>3</v>
      </c>
    </row>
    <row r="22" spans="1:20" x14ac:dyDescent="0.3">
      <c r="A22" t="s">
        <v>74</v>
      </c>
      <c r="B22" t="s">
        <v>75</v>
      </c>
      <c r="C22" s="2">
        <v>530</v>
      </c>
      <c r="D22" s="2">
        <v>858</v>
      </c>
      <c r="E22" s="2">
        <v>1273</v>
      </c>
      <c r="F22" s="18">
        <v>27.99</v>
      </c>
      <c r="G22">
        <v>75502</v>
      </c>
      <c r="H22">
        <v>39879</v>
      </c>
      <c r="I22" s="1">
        <v>5.89</v>
      </c>
      <c r="J22" t="s">
        <v>42</v>
      </c>
      <c r="K22" s="4" t="s">
        <v>938</v>
      </c>
      <c r="L22" t="s">
        <v>76</v>
      </c>
      <c r="M22" s="1">
        <f t="shared" si="0"/>
        <v>0.27989999999999998</v>
      </c>
      <c r="N22" s="1">
        <f t="shared" si="1"/>
        <v>5.8899999999999994E-2</v>
      </c>
      <c r="O22" s="3">
        <f t="shared" si="2"/>
        <v>2661</v>
      </c>
      <c r="P22" s="1">
        <f t="shared" si="3"/>
        <v>6.6726848717370044E-2</v>
      </c>
      <c r="Q22" t="str">
        <f t="shared" si="4"/>
        <v>High CTR</v>
      </c>
      <c r="R22" t="str">
        <f t="shared" si="5"/>
        <v>High</v>
      </c>
      <c r="S22" t="str">
        <f t="shared" si="6"/>
        <v>Morning</v>
      </c>
      <c r="T22">
        <f t="shared" si="7"/>
        <v>3</v>
      </c>
    </row>
    <row r="23" spans="1:20" x14ac:dyDescent="0.3">
      <c r="A23" t="s">
        <v>77</v>
      </c>
      <c r="B23" t="s">
        <v>78</v>
      </c>
      <c r="C23" s="2">
        <v>7882</v>
      </c>
      <c r="D23" s="2">
        <v>909</v>
      </c>
      <c r="E23" s="2">
        <v>732</v>
      </c>
      <c r="F23" s="18">
        <v>46.35</v>
      </c>
      <c r="G23">
        <v>67482</v>
      </c>
      <c r="H23">
        <v>48480</v>
      </c>
      <c r="I23" s="1">
        <v>1.47</v>
      </c>
      <c r="J23" t="s">
        <v>42</v>
      </c>
      <c r="K23" s="4" t="s">
        <v>939</v>
      </c>
      <c r="L23" t="s">
        <v>79</v>
      </c>
      <c r="M23" s="1">
        <f t="shared" si="0"/>
        <v>0.46350000000000002</v>
      </c>
      <c r="N23" s="1">
        <f t="shared" si="1"/>
        <v>1.47E-2</v>
      </c>
      <c r="O23" s="3">
        <f t="shared" si="2"/>
        <v>9523</v>
      </c>
      <c r="P23" s="1">
        <f t="shared" si="3"/>
        <v>0.19643151815181517</v>
      </c>
      <c r="Q23" t="str">
        <f t="shared" si="4"/>
        <v>High CTR</v>
      </c>
      <c r="R23" t="str">
        <f t="shared" si="5"/>
        <v>High</v>
      </c>
      <c r="S23" t="str">
        <f t="shared" si="6"/>
        <v>Morning</v>
      </c>
      <c r="T23">
        <f t="shared" si="7"/>
        <v>3</v>
      </c>
    </row>
    <row r="24" spans="1:20" x14ac:dyDescent="0.3">
      <c r="A24" t="s">
        <v>80</v>
      </c>
      <c r="B24" t="s">
        <v>81</v>
      </c>
      <c r="C24" s="2">
        <v>7085</v>
      </c>
      <c r="D24" s="2">
        <v>3616</v>
      </c>
      <c r="E24" s="2">
        <v>741</v>
      </c>
      <c r="F24" s="18">
        <v>11.84</v>
      </c>
      <c r="G24">
        <v>78533</v>
      </c>
      <c r="H24">
        <v>12572</v>
      </c>
      <c r="I24" s="1">
        <v>3.22</v>
      </c>
      <c r="J24" t="s">
        <v>12</v>
      </c>
      <c r="K24" s="4" t="s">
        <v>940</v>
      </c>
      <c r="L24" t="s">
        <v>82</v>
      </c>
      <c r="M24" s="1">
        <f t="shared" si="0"/>
        <v>0.11840000000000001</v>
      </c>
      <c r="N24" s="1">
        <f t="shared" si="1"/>
        <v>3.2199999999999999E-2</v>
      </c>
      <c r="O24" s="3">
        <f t="shared" si="2"/>
        <v>11442</v>
      </c>
      <c r="P24" s="1">
        <f t="shared" si="3"/>
        <v>0.91011772192173079</v>
      </c>
      <c r="Q24" t="str">
        <f t="shared" si="4"/>
        <v>High CTR</v>
      </c>
      <c r="R24" t="str">
        <f t="shared" si="5"/>
        <v>High</v>
      </c>
      <c r="S24" t="str">
        <f t="shared" si="6"/>
        <v>Evening</v>
      </c>
      <c r="T24">
        <f t="shared" si="7"/>
        <v>3</v>
      </c>
    </row>
    <row r="25" spans="1:20" x14ac:dyDescent="0.3">
      <c r="A25" t="s">
        <v>83</v>
      </c>
      <c r="B25" t="s">
        <v>84</v>
      </c>
      <c r="C25" s="2">
        <v>9218</v>
      </c>
      <c r="D25" s="2">
        <v>1560</v>
      </c>
      <c r="E25" s="2">
        <v>93</v>
      </c>
      <c r="F25" s="18">
        <v>68.12</v>
      </c>
      <c r="G25">
        <v>60329</v>
      </c>
      <c r="H25">
        <v>76227</v>
      </c>
      <c r="I25" s="1">
        <v>8.66</v>
      </c>
      <c r="J25" t="s">
        <v>20</v>
      </c>
      <c r="K25" s="4" t="s">
        <v>941</v>
      </c>
      <c r="L25" t="s">
        <v>85</v>
      </c>
      <c r="M25" s="1">
        <f t="shared" si="0"/>
        <v>0.68120000000000003</v>
      </c>
      <c r="N25" s="1">
        <f t="shared" si="1"/>
        <v>8.6599999999999996E-2</v>
      </c>
      <c r="O25" s="3">
        <f t="shared" si="2"/>
        <v>10871</v>
      </c>
      <c r="P25" s="1">
        <f t="shared" si="3"/>
        <v>0.14261350964881211</v>
      </c>
      <c r="Q25" t="str">
        <f t="shared" si="4"/>
        <v>High CTR</v>
      </c>
      <c r="R25" t="str">
        <f t="shared" si="5"/>
        <v>High</v>
      </c>
      <c r="S25" t="str">
        <f t="shared" si="6"/>
        <v>Evening</v>
      </c>
      <c r="T25">
        <f t="shared" si="7"/>
        <v>3</v>
      </c>
    </row>
    <row r="26" spans="1:20" x14ac:dyDescent="0.3">
      <c r="A26" t="s">
        <v>86</v>
      </c>
      <c r="B26" t="s">
        <v>87</v>
      </c>
      <c r="C26" s="2">
        <v>1220</v>
      </c>
      <c r="D26" s="2">
        <v>633</v>
      </c>
      <c r="E26" s="2">
        <v>986</v>
      </c>
      <c r="F26" s="18">
        <v>2.65</v>
      </c>
      <c r="G26">
        <v>57353</v>
      </c>
      <c r="H26">
        <v>86163</v>
      </c>
      <c r="I26" s="1">
        <v>2.31</v>
      </c>
      <c r="J26" t="s">
        <v>16</v>
      </c>
      <c r="K26" s="4" t="s">
        <v>942</v>
      </c>
      <c r="L26" t="s">
        <v>88</v>
      </c>
      <c r="M26" s="1">
        <f t="shared" si="0"/>
        <v>2.6499999999999999E-2</v>
      </c>
      <c r="N26" s="1">
        <f t="shared" si="1"/>
        <v>2.3099999999999999E-2</v>
      </c>
      <c r="O26" s="3">
        <f t="shared" si="2"/>
        <v>2839</v>
      </c>
      <c r="P26" s="1">
        <f t="shared" si="3"/>
        <v>3.2949177721295686E-2</v>
      </c>
      <c r="Q26" t="str">
        <f t="shared" si="4"/>
        <v>High CTR</v>
      </c>
      <c r="R26" t="str">
        <f t="shared" si="5"/>
        <v>High</v>
      </c>
      <c r="S26" t="str">
        <f t="shared" si="6"/>
        <v>Morning</v>
      </c>
      <c r="T26">
        <f t="shared" si="7"/>
        <v>3</v>
      </c>
    </row>
    <row r="27" spans="1:20" x14ac:dyDescent="0.3">
      <c r="A27" t="s">
        <v>89</v>
      </c>
      <c r="B27" t="s">
        <v>90</v>
      </c>
      <c r="C27" s="2">
        <v>2093</v>
      </c>
      <c r="D27" s="2">
        <v>4157</v>
      </c>
      <c r="E27" s="2">
        <v>215</v>
      </c>
      <c r="F27" s="18">
        <v>30.6</v>
      </c>
      <c r="G27">
        <v>97819</v>
      </c>
      <c r="H27">
        <v>48911</v>
      </c>
      <c r="I27" s="1">
        <v>0.6</v>
      </c>
      <c r="J27" t="s">
        <v>20</v>
      </c>
      <c r="K27" s="4" t="s">
        <v>943</v>
      </c>
      <c r="L27" t="s">
        <v>91</v>
      </c>
      <c r="M27" s="1">
        <f t="shared" si="0"/>
        <v>0.30599999999999999</v>
      </c>
      <c r="N27" s="1">
        <f t="shared" si="1"/>
        <v>6.0000000000000001E-3</v>
      </c>
      <c r="O27" s="3">
        <f t="shared" si="2"/>
        <v>6465</v>
      </c>
      <c r="P27" s="1">
        <f t="shared" si="3"/>
        <v>0.13217885547218416</v>
      </c>
      <c r="Q27" t="str">
        <f t="shared" si="4"/>
        <v>High CTR</v>
      </c>
      <c r="R27" t="str">
        <f t="shared" si="5"/>
        <v>High</v>
      </c>
      <c r="S27" t="str">
        <f t="shared" si="6"/>
        <v>Morning</v>
      </c>
      <c r="T27">
        <f t="shared" si="7"/>
        <v>3</v>
      </c>
    </row>
    <row r="28" spans="1:20" x14ac:dyDescent="0.3">
      <c r="A28" t="s">
        <v>92</v>
      </c>
      <c r="B28" t="s">
        <v>93</v>
      </c>
      <c r="C28" s="2">
        <v>7397</v>
      </c>
      <c r="D28" s="2">
        <v>604</v>
      </c>
      <c r="E28" s="2">
        <v>550</v>
      </c>
      <c r="F28" s="18">
        <v>0.48</v>
      </c>
      <c r="G28">
        <v>96991</v>
      </c>
      <c r="H28">
        <v>49236</v>
      </c>
      <c r="I28" s="1">
        <v>1.25</v>
      </c>
      <c r="J28" t="s">
        <v>12</v>
      </c>
      <c r="K28" s="4" t="s">
        <v>944</v>
      </c>
      <c r="L28" t="s">
        <v>94</v>
      </c>
      <c r="M28" s="1">
        <f t="shared" si="0"/>
        <v>4.7999999999999996E-3</v>
      </c>
      <c r="N28" s="1">
        <f t="shared" si="1"/>
        <v>1.2500000000000001E-2</v>
      </c>
      <c r="O28" s="3">
        <f t="shared" si="2"/>
        <v>8551</v>
      </c>
      <c r="P28" s="1">
        <f t="shared" si="3"/>
        <v>0.17367373466569178</v>
      </c>
      <c r="Q28" t="str">
        <f t="shared" si="4"/>
        <v>High CTR</v>
      </c>
      <c r="R28" t="str">
        <f t="shared" si="5"/>
        <v>High</v>
      </c>
      <c r="S28" t="str">
        <f t="shared" si="6"/>
        <v>Afternoon</v>
      </c>
      <c r="T28">
        <f t="shared" si="7"/>
        <v>3</v>
      </c>
    </row>
    <row r="29" spans="1:20" x14ac:dyDescent="0.3">
      <c r="A29" t="s">
        <v>95</v>
      </c>
      <c r="B29" t="s">
        <v>96</v>
      </c>
      <c r="C29" s="2">
        <v>9911</v>
      </c>
      <c r="D29" s="2">
        <v>496</v>
      </c>
      <c r="E29" s="2">
        <v>94</v>
      </c>
      <c r="F29" s="18">
        <v>64.22</v>
      </c>
      <c r="G29">
        <v>9397</v>
      </c>
      <c r="H29">
        <v>70992</v>
      </c>
      <c r="I29" s="1">
        <v>9.09</v>
      </c>
      <c r="J29" t="s">
        <v>16</v>
      </c>
      <c r="K29" s="4" t="s">
        <v>945</v>
      </c>
      <c r="L29" t="s">
        <v>97</v>
      </c>
      <c r="M29" s="1">
        <f t="shared" si="0"/>
        <v>0.64219999999999999</v>
      </c>
      <c r="N29" s="1">
        <f t="shared" si="1"/>
        <v>9.0899999999999995E-2</v>
      </c>
      <c r="O29" s="3">
        <f t="shared" si="2"/>
        <v>10501</v>
      </c>
      <c r="P29" s="1">
        <f t="shared" si="3"/>
        <v>0.14791807527608744</v>
      </c>
      <c r="Q29" t="str">
        <f t="shared" si="4"/>
        <v>High CTR</v>
      </c>
      <c r="R29" t="str">
        <f t="shared" si="5"/>
        <v>High</v>
      </c>
      <c r="S29" t="str">
        <f t="shared" si="6"/>
        <v>Morning</v>
      </c>
      <c r="T29">
        <f t="shared" si="7"/>
        <v>3</v>
      </c>
    </row>
    <row r="30" spans="1:20" x14ac:dyDescent="0.3">
      <c r="A30" t="s">
        <v>98</v>
      </c>
      <c r="B30" t="s">
        <v>99</v>
      </c>
      <c r="C30" s="2">
        <v>4882</v>
      </c>
      <c r="D30" s="2">
        <v>50</v>
      </c>
      <c r="E30" s="2">
        <v>940</v>
      </c>
      <c r="F30" s="18">
        <v>23.02</v>
      </c>
      <c r="G30">
        <v>86682</v>
      </c>
      <c r="H30">
        <v>66464</v>
      </c>
      <c r="I30" s="1">
        <v>2</v>
      </c>
      <c r="J30" t="s">
        <v>16</v>
      </c>
      <c r="K30" s="4" t="s">
        <v>946</v>
      </c>
      <c r="L30" t="s">
        <v>100</v>
      </c>
      <c r="M30" s="1">
        <f t="shared" si="0"/>
        <v>0.23019999999999999</v>
      </c>
      <c r="N30" s="1">
        <f t="shared" si="1"/>
        <v>0.02</v>
      </c>
      <c r="O30" s="3">
        <f t="shared" si="2"/>
        <v>5872</v>
      </c>
      <c r="P30" s="1">
        <f t="shared" si="3"/>
        <v>8.8348579682233988E-2</v>
      </c>
      <c r="Q30" t="str">
        <f t="shared" si="4"/>
        <v>High CTR</v>
      </c>
      <c r="R30" t="str">
        <f t="shared" si="5"/>
        <v>High</v>
      </c>
      <c r="S30" t="str">
        <f t="shared" si="6"/>
        <v>Evening</v>
      </c>
      <c r="T30">
        <f t="shared" si="7"/>
        <v>3</v>
      </c>
    </row>
    <row r="31" spans="1:20" x14ac:dyDescent="0.3">
      <c r="A31" t="s">
        <v>101</v>
      </c>
      <c r="B31" t="s">
        <v>102</v>
      </c>
      <c r="C31" s="2">
        <v>6860</v>
      </c>
      <c r="D31" s="2">
        <v>354</v>
      </c>
      <c r="E31" s="2">
        <v>1341</v>
      </c>
      <c r="F31" s="18">
        <v>32.21</v>
      </c>
      <c r="G31">
        <v>45635</v>
      </c>
      <c r="H31">
        <v>80614</v>
      </c>
      <c r="I31" s="1">
        <v>6.68</v>
      </c>
      <c r="J31" t="s">
        <v>42</v>
      </c>
      <c r="K31" s="4" t="s">
        <v>947</v>
      </c>
      <c r="L31" t="s">
        <v>103</v>
      </c>
      <c r="M31" s="1">
        <f t="shared" si="0"/>
        <v>0.3221</v>
      </c>
      <c r="N31" s="1">
        <f t="shared" si="1"/>
        <v>6.6799999999999998E-2</v>
      </c>
      <c r="O31" s="3">
        <f t="shared" si="2"/>
        <v>8555</v>
      </c>
      <c r="P31" s="1">
        <f t="shared" si="3"/>
        <v>0.10612300592949116</v>
      </c>
      <c r="Q31" t="str">
        <f t="shared" si="4"/>
        <v>High CTR</v>
      </c>
      <c r="R31" t="str">
        <f t="shared" si="5"/>
        <v>High</v>
      </c>
      <c r="S31" t="str">
        <f t="shared" si="6"/>
        <v>Morning</v>
      </c>
      <c r="T31">
        <f t="shared" si="7"/>
        <v>3</v>
      </c>
    </row>
    <row r="32" spans="1:20" x14ac:dyDescent="0.3">
      <c r="A32" t="s">
        <v>104</v>
      </c>
      <c r="B32" t="s">
        <v>105</v>
      </c>
      <c r="C32" s="2">
        <v>3047</v>
      </c>
      <c r="D32" s="2">
        <v>1174</v>
      </c>
      <c r="E32" s="2">
        <v>302</v>
      </c>
      <c r="F32" s="18">
        <v>4.75</v>
      </c>
      <c r="G32">
        <v>49371</v>
      </c>
      <c r="H32">
        <v>50698</v>
      </c>
      <c r="I32" s="1">
        <v>1.03</v>
      </c>
      <c r="J32" t="s">
        <v>20</v>
      </c>
      <c r="K32" s="4" t="s">
        <v>948</v>
      </c>
      <c r="L32" t="s">
        <v>106</v>
      </c>
      <c r="M32" s="1">
        <f t="shared" si="0"/>
        <v>4.7500000000000001E-2</v>
      </c>
      <c r="N32" s="1">
        <f t="shared" si="1"/>
        <v>1.03E-2</v>
      </c>
      <c r="O32" s="3">
        <f t="shared" si="2"/>
        <v>4523</v>
      </c>
      <c r="P32" s="1">
        <f t="shared" si="3"/>
        <v>8.9214564677107575E-2</v>
      </c>
      <c r="Q32" t="str">
        <f t="shared" si="4"/>
        <v>High CTR</v>
      </c>
      <c r="R32" t="str">
        <f t="shared" si="5"/>
        <v>High</v>
      </c>
      <c r="S32" t="str">
        <f t="shared" si="6"/>
        <v>Morning</v>
      </c>
      <c r="T32">
        <f t="shared" si="7"/>
        <v>3</v>
      </c>
    </row>
    <row r="33" spans="1:20" x14ac:dyDescent="0.3">
      <c r="A33" t="s">
        <v>107</v>
      </c>
      <c r="B33" t="s">
        <v>108</v>
      </c>
      <c r="C33" s="2">
        <v>7201</v>
      </c>
      <c r="D33" s="2">
        <v>1752</v>
      </c>
      <c r="E33" s="2">
        <v>922</v>
      </c>
      <c r="F33" s="18">
        <v>20.57</v>
      </c>
      <c r="G33">
        <v>24579</v>
      </c>
      <c r="H33">
        <v>63676</v>
      </c>
      <c r="I33" s="1">
        <v>6.83</v>
      </c>
      <c r="J33" t="s">
        <v>12</v>
      </c>
      <c r="K33" s="4" t="s">
        <v>949</v>
      </c>
      <c r="L33" t="s">
        <v>109</v>
      </c>
      <c r="M33" s="1">
        <f t="shared" si="0"/>
        <v>0.20569999999999999</v>
      </c>
      <c r="N33" s="1">
        <f t="shared" si="1"/>
        <v>6.83E-2</v>
      </c>
      <c r="O33" s="3">
        <f t="shared" si="2"/>
        <v>9875</v>
      </c>
      <c r="P33" s="1">
        <f t="shared" si="3"/>
        <v>0.15508197751115019</v>
      </c>
      <c r="Q33" t="str">
        <f t="shared" si="4"/>
        <v>High CTR</v>
      </c>
      <c r="R33" t="str">
        <f t="shared" si="5"/>
        <v>High</v>
      </c>
      <c r="S33" t="str">
        <f t="shared" si="6"/>
        <v>Morning</v>
      </c>
      <c r="T33">
        <f t="shared" si="7"/>
        <v>3</v>
      </c>
    </row>
    <row r="34" spans="1:20" x14ac:dyDescent="0.3">
      <c r="A34" t="s">
        <v>110</v>
      </c>
      <c r="B34" t="s">
        <v>111</v>
      </c>
      <c r="C34" s="2">
        <v>1038</v>
      </c>
      <c r="D34" s="2">
        <v>2541</v>
      </c>
      <c r="E34" s="2">
        <v>1346</v>
      </c>
      <c r="F34" s="18">
        <v>89.36</v>
      </c>
      <c r="G34">
        <v>50562</v>
      </c>
      <c r="H34">
        <v>86433</v>
      </c>
      <c r="I34" s="1">
        <v>4.08</v>
      </c>
      <c r="J34" t="s">
        <v>16</v>
      </c>
      <c r="K34" s="4" t="s">
        <v>950</v>
      </c>
      <c r="L34" t="s">
        <v>112</v>
      </c>
      <c r="M34" s="1">
        <f t="shared" si="0"/>
        <v>0.89359999999999995</v>
      </c>
      <c r="N34" s="1">
        <f t="shared" si="1"/>
        <v>4.0800000000000003E-2</v>
      </c>
      <c r="O34" s="3">
        <f t="shared" si="2"/>
        <v>4925</v>
      </c>
      <c r="P34" s="1">
        <f t="shared" si="3"/>
        <v>5.6980551409762478E-2</v>
      </c>
      <c r="Q34" t="str">
        <f t="shared" si="4"/>
        <v>High CTR</v>
      </c>
      <c r="R34" t="str">
        <f t="shared" si="5"/>
        <v>High</v>
      </c>
      <c r="S34" t="str">
        <f t="shared" si="6"/>
        <v>Morning</v>
      </c>
      <c r="T34">
        <f t="shared" si="7"/>
        <v>3</v>
      </c>
    </row>
    <row r="35" spans="1:20" x14ac:dyDescent="0.3">
      <c r="A35" t="s">
        <v>113</v>
      </c>
      <c r="B35" t="s">
        <v>114</v>
      </c>
      <c r="C35" s="2">
        <v>4137</v>
      </c>
      <c r="D35" s="2">
        <v>355</v>
      </c>
      <c r="E35" s="2">
        <v>1416</v>
      </c>
      <c r="F35" s="18">
        <v>12.38</v>
      </c>
      <c r="G35">
        <v>22447</v>
      </c>
      <c r="H35">
        <v>60849</v>
      </c>
      <c r="I35" s="1">
        <v>6.63</v>
      </c>
      <c r="J35" t="s">
        <v>20</v>
      </c>
      <c r="K35" s="4" t="s">
        <v>951</v>
      </c>
      <c r="L35" t="s">
        <v>115</v>
      </c>
      <c r="M35" s="1">
        <f t="shared" si="0"/>
        <v>0.12380000000000001</v>
      </c>
      <c r="N35" s="1">
        <f t="shared" si="1"/>
        <v>6.6299999999999998E-2</v>
      </c>
      <c r="O35" s="3">
        <f t="shared" si="2"/>
        <v>5908</v>
      </c>
      <c r="P35" s="1">
        <f t="shared" si="3"/>
        <v>9.7092803497181551E-2</v>
      </c>
      <c r="Q35" t="str">
        <f t="shared" si="4"/>
        <v>High CTR</v>
      </c>
      <c r="R35" t="str">
        <f t="shared" si="5"/>
        <v>High</v>
      </c>
      <c r="S35" t="str">
        <f t="shared" si="6"/>
        <v>Afternoon</v>
      </c>
      <c r="T35">
        <f t="shared" si="7"/>
        <v>3</v>
      </c>
    </row>
    <row r="36" spans="1:20" x14ac:dyDescent="0.3">
      <c r="A36" t="s">
        <v>116</v>
      </c>
      <c r="B36" t="s">
        <v>117</v>
      </c>
      <c r="C36" s="2">
        <v>5576</v>
      </c>
      <c r="D36" s="2">
        <v>1322</v>
      </c>
      <c r="E36" s="2">
        <v>1436</v>
      </c>
      <c r="F36" s="18">
        <v>90.93</v>
      </c>
      <c r="G36">
        <v>63824</v>
      </c>
      <c r="H36">
        <v>87424</v>
      </c>
      <c r="I36" s="1">
        <v>5.36</v>
      </c>
      <c r="J36" t="s">
        <v>16</v>
      </c>
      <c r="K36" s="4" t="s">
        <v>952</v>
      </c>
      <c r="L36" t="s">
        <v>118</v>
      </c>
      <c r="M36" s="1">
        <f t="shared" si="0"/>
        <v>0.90930000000000011</v>
      </c>
      <c r="N36" s="1">
        <f t="shared" si="1"/>
        <v>5.3600000000000002E-2</v>
      </c>
      <c r="O36" s="3">
        <f t="shared" si="2"/>
        <v>8334</v>
      </c>
      <c r="P36" s="1">
        <f t="shared" si="3"/>
        <v>9.5328513909224005E-2</v>
      </c>
      <c r="Q36" t="str">
        <f t="shared" si="4"/>
        <v>High CTR</v>
      </c>
      <c r="R36" t="str">
        <f t="shared" si="5"/>
        <v>High</v>
      </c>
      <c r="S36" t="str">
        <f t="shared" si="6"/>
        <v>Afternoon</v>
      </c>
      <c r="T36">
        <f t="shared" si="7"/>
        <v>3</v>
      </c>
    </row>
    <row r="37" spans="1:20" x14ac:dyDescent="0.3">
      <c r="A37" t="s">
        <v>119</v>
      </c>
      <c r="B37" t="s">
        <v>120</v>
      </c>
      <c r="C37" s="2">
        <v>9542</v>
      </c>
      <c r="D37" s="2">
        <v>1083</v>
      </c>
      <c r="E37" s="2">
        <v>1131</v>
      </c>
      <c r="F37" s="18">
        <v>95.88</v>
      </c>
      <c r="G37">
        <v>70402</v>
      </c>
      <c r="H37">
        <v>10385</v>
      </c>
      <c r="I37" s="1">
        <v>6.18</v>
      </c>
      <c r="J37" t="s">
        <v>20</v>
      </c>
      <c r="K37" s="4" t="s">
        <v>953</v>
      </c>
      <c r="L37" t="s">
        <v>121</v>
      </c>
      <c r="M37" s="1">
        <f t="shared" si="0"/>
        <v>0.95879999999999999</v>
      </c>
      <c r="N37" s="1">
        <f t="shared" si="1"/>
        <v>6.1799999999999994E-2</v>
      </c>
      <c r="O37" s="3">
        <f t="shared" si="2"/>
        <v>11756</v>
      </c>
      <c r="P37" s="1">
        <f t="shared" si="3"/>
        <v>1</v>
      </c>
      <c r="Q37" t="str">
        <f t="shared" si="4"/>
        <v>High CTR</v>
      </c>
      <c r="R37" t="str">
        <f t="shared" si="5"/>
        <v>High</v>
      </c>
      <c r="S37" t="str">
        <f t="shared" si="6"/>
        <v>Morning</v>
      </c>
      <c r="T37">
        <f t="shared" si="7"/>
        <v>3</v>
      </c>
    </row>
    <row r="38" spans="1:20" x14ac:dyDescent="0.3">
      <c r="A38" t="s">
        <v>122</v>
      </c>
      <c r="B38" t="s">
        <v>123</v>
      </c>
      <c r="C38" s="2">
        <v>9843</v>
      </c>
      <c r="D38" s="2">
        <v>3935</v>
      </c>
      <c r="E38" s="2">
        <v>1342</v>
      </c>
      <c r="F38" s="18">
        <v>28.37</v>
      </c>
      <c r="G38">
        <v>92288</v>
      </c>
      <c r="H38">
        <v>66228</v>
      </c>
      <c r="I38" s="1">
        <v>6.24</v>
      </c>
      <c r="J38" t="s">
        <v>20</v>
      </c>
      <c r="K38" s="4" t="s">
        <v>954</v>
      </c>
      <c r="L38" t="s">
        <v>124</v>
      </c>
      <c r="M38" s="1">
        <f t="shared" si="0"/>
        <v>0.28370000000000001</v>
      </c>
      <c r="N38" s="1">
        <f t="shared" si="1"/>
        <v>6.2400000000000004E-2</v>
      </c>
      <c r="O38" s="3">
        <f t="shared" si="2"/>
        <v>15120</v>
      </c>
      <c r="P38" s="1">
        <f t="shared" si="3"/>
        <v>0.22830222866461317</v>
      </c>
      <c r="Q38" t="str">
        <f t="shared" si="4"/>
        <v>High CTR</v>
      </c>
      <c r="R38" t="str">
        <f t="shared" si="5"/>
        <v>High</v>
      </c>
      <c r="S38" t="str">
        <f t="shared" si="6"/>
        <v>Evening</v>
      </c>
      <c r="T38">
        <f t="shared" si="7"/>
        <v>3</v>
      </c>
    </row>
    <row r="39" spans="1:20" x14ac:dyDescent="0.3">
      <c r="A39" t="s">
        <v>125</v>
      </c>
      <c r="B39" t="s">
        <v>126</v>
      </c>
      <c r="C39" s="2">
        <v>5827</v>
      </c>
      <c r="D39" s="2">
        <v>4352</v>
      </c>
      <c r="E39" s="2">
        <v>345</v>
      </c>
      <c r="F39" s="18">
        <v>87.86</v>
      </c>
      <c r="G39">
        <v>21855</v>
      </c>
      <c r="H39">
        <v>39668</v>
      </c>
      <c r="I39" s="1">
        <v>3.88</v>
      </c>
      <c r="J39" t="s">
        <v>16</v>
      </c>
      <c r="K39" s="4" t="s">
        <v>955</v>
      </c>
      <c r="L39" t="s">
        <v>127</v>
      </c>
      <c r="M39" s="1">
        <f t="shared" si="0"/>
        <v>0.87860000000000005</v>
      </c>
      <c r="N39" s="1">
        <f t="shared" si="1"/>
        <v>3.8800000000000001E-2</v>
      </c>
      <c r="O39" s="3">
        <f t="shared" si="2"/>
        <v>10524</v>
      </c>
      <c r="P39" s="1">
        <f t="shared" si="3"/>
        <v>0.26530200665523845</v>
      </c>
      <c r="Q39" t="str">
        <f t="shared" si="4"/>
        <v>High CTR</v>
      </c>
      <c r="R39" t="str">
        <f t="shared" si="5"/>
        <v>High</v>
      </c>
      <c r="S39" t="str">
        <f t="shared" si="6"/>
        <v>Evening</v>
      </c>
      <c r="T39">
        <f t="shared" si="7"/>
        <v>3</v>
      </c>
    </row>
    <row r="40" spans="1:20" x14ac:dyDescent="0.3">
      <c r="A40" t="s">
        <v>128</v>
      </c>
      <c r="B40" t="s">
        <v>129</v>
      </c>
      <c r="C40" s="2">
        <v>54</v>
      </c>
      <c r="D40" s="2">
        <v>3111</v>
      </c>
      <c r="E40" s="2">
        <v>1602</v>
      </c>
      <c r="F40" s="18">
        <v>3.13</v>
      </c>
      <c r="G40">
        <v>39331</v>
      </c>
      <c r="H40">
        <v>66793</v>
      </c>
      <c r="I40" s="1">
        <v>2.33</v>
      </c>
      <c r="J40" t="s">
        <v>20</v>
      </c>
      <c r="K40" s="4" t="s">
        <v>956</v>
      </c>
      <c r="L40" t="s">
        <v>130</v>
      </c>
      <c r="M40" s="1">
        <f t="shared" si="0"/>
        <v>3.1300000000000001E-2</v>
      </c>
      <c r="N40" s="1">
        <f t="shared" si="1"/>
        <v>2.3300000000000001E-2</v>
      </c>
      <c r="O40" s="3">
        <f t="shared" si="2"/>
        <v>4767</v>
      </c>
      <c r="P40" s="1">
        <f t="shared" si="3"/>
        <v>7.1369754315571993E-2</v>
      </c>
      <c r="Q40" t="str">
        <f t="shared" si="4"/>
        <v>High CTR</v>
      </c>
      <c r="R40" t="str">
        <f t="shared" si="5"/>
        <v>High</v>
      </c>
      <c r="S40" t="str">
        <f t="shared" si="6"/>
        <v>Morning</v>
      </c>
      <c r="T40">
        <f t="shared" si="7"/>
        <v>3</v>
      </c>
    </row>
    <row r="41" spans="1:20" x14ac:dyDescent="0.3">
      <c r="A41" t="s">
        <v>131</v>
      </c>
      <c r="B41" t="s">
        <v>132</v>
      </c>
      <c r="C41" s="2">
        <v>2699</v>
      </c>
      <c r="D41" s="2">
        <v>4042</v>
      </c>
      <c r="E41" s="2">
        <v>164</v>
      </c>
      <c r="F41" s="18">
        <v>86.59</v>
      </c>
      <c r="G41">
        <v>20685</v>
      </c>
      <c r="H41">
        <v>48356</v>
      </c>
      <c r="I41" s="1">
        <v>2.2999999999999998</v>
      </c>
      <c r="J41" t="s">
        <v>20</v>
      </c>
      <c r="K41" s="4" t="s">
        <v>957</v>
      </c>
      <c r="L41" t="s">
        <v>133</v>
      </c>
      <c r="M41" s="1">
        <f t="shared" si="0"/>
        <v>0.8659</v>
      </c>
      <c r="N41" s="1">
        <f t="shared" si="1"/>
        <v>2.3E-2</v>
      </c>
      <c r="O41" s="3">
        <f t="shared" si="2"/>
        <v>6905</v>
      </c>
      <c r="P41" s="1">
        <f t="shared" si="3"/>
        <v>0.14279510298618578</v>
      </c>
      <c r="Q41" t="str">
        <f t="shared" si="4"/>
        <v>High CTR</v>
      </c>
      <c r="R41" t="str">
        <f t="shared" si="5"/>
        <v>High</v>
      </c>
      <c r="S41" t="str">
        <f t="shared" si="6"/>
        <v>Morning</v>
      </c>
      <c r="T41">
        <f t="shared" si="7"/>
        <v>3</v>
      </c>
    </row>
    <row r="42" spans="1:20" x14ac:dyDescent="0.3">
      <c r="A42" t="s">
        <v>134</v>
      </c>
      <c r="B42" t="s">
        <v>135</v>
      </c>
      <c r="C42" s="2">
        <v>9681</v>
      </c>
      <c r="D42" s="2">
        <v>1024</v>
      </c>
      <c r="E42" s="2">
        <v>1263</v>
      </c>
      <c r="F42" s="18">
        <v>0.67</v>
      </c>
      <c r="G42">
        <v>34364</v>
      </c>
      <c r="H42">
        <v>89392</v>
      </c>
      <c r="I42" s="1">
        <v>4.46</v>
      </c>
      <c r="J42" t="s">
        <v>16</v>
      </c>
      <c r="K42" s="4" t="s">
        <v>958</v>
      </c>
      <c r="L42" t="s">
        <v>136</v>
      </c>
      <c r="M42" s="1">
        <f t="shared" si="0"/>
        <v>6.7000000000000002E-3</v>
      </c>
      <c r="N42" s="1">
        <f t="shared" si="1"/>
        <v>4.4600000000000001E-2</v>
      </c>
      <c r="O42" s="3">
        <f t="shared" si="2"/>
        <v>11968</v>
      </c>
      <c r="P42" s="1">
        <f t="shared" si="3"/>
        <v>0.13388222659745838</v>
      </c>
      <c r="Q42" t="str">
        <f t="shared" si="4"/>
        <v>High CTR</v>
      </c>
      <c r="R42" t="str">
        <f t="shared" si="5"/>
        <v>High</v>
      </c>
      <c r="S42" t="str">
        <f t="shared" si="6"/>
        <v>Afternoon</v>
      </c>
      <c r="T42">
        <f t="shared" si="7"/>
        <v>3</v>
      </c>
    </row>
    <row r="43" spans="1:20" x14ac:dyDescent="0.3">
      <c r="A43" t="s">
        <v>137</v>
      </c>
      <c r="B43" t="s">
        <v>138</v>
      </c>
      <c r="C43" s="2">
        <v>9202</v>
      </c>
      <c r="D43" s="2">
        <v>4008</v>
      </c>
      <c r="E43" s="2">
        <v>260</v>
      </c>
      <c r="F43" s="18">
        <v>15.64</v>
      </c>
      <c r="G43">
        <v>93696</v>
      </c>
      <c r="H43">
        <v>21761</v>
      </c>
      <c r="I43" s="1">
        <v>3.5</v>
      </c>
      <c r="J43" t="s">
        <v>42</v>
      </c>
      <c r="K43" s="4" t="s">
        <v>959</v>
      </c>
      <c r="L43" t="s">
        <v>139</v>
      </c>
      <c r="M43" s="1">
        <f t="shared" si="0"/>
        <v>0.15640000000000001</v>
      </c>
      <c r="N43" s="1">
        <f t="shared" si="1"/>
        <v>3.5000000000000003E-2</v>
      </c>
      <c r="O43" s="3">
        <f t="shared" si="2"/>
        <v>13470</v>
      </c>
      <c r="P43" s="1">
        <f t="shared" si="3"/>
        <v>0.61899728872754012</v>
      </c>
      <c r="Q43" t="str">
        <f t="shared" si="4"/>
        <v>High CTR</v>
      </c>
      <c r="R43" t="str">
        <f t="shared" si="5"/>
        <v>High</v>
      </c>
      <c r="S43" t="str">
        <f t="shared" si="6"/>
        <v>Morning</v>
      </c>
      <c r="T43">
        <f t="shared" si="7"/>
        <v>3</v>
      </c>
    </row>
    <row r="44" spans="1:20" x14ac:dyDescent="0.3">
      <c r="A44" t="s">
        <v>140</v>
      </c>
      <c r="B44" t="s">
        <v>141</v>
      </c>
      <c r="C44" s="2">
        <v>5043</v>
      </c>
      <c r="D44" s="2">
        <v>3879</v>
      </c>
      <c r="E44" s="2">
        <v>1895</v>
      </c>
      <c r="F44" s="18">
        <v>18.100000000000001</v>
      </c>
      <c r="G44">
        <v>51702</v>
      </c>
      <c r="H44">
        <v>80939</v>
      </c>
      <c r="I44" s="1">
        <v>7.53</v>
      </c>
      <c r="J44" t="s">
        <v>12</v>
      </c>
      <c r="K44" s="4" t="s">
        <v>960</v>
      </c>
      <c r="L44" t="s">
        <v>142</v>
      </c>
      <c r="M44" s="1">
        <f t="shared" si="0"/>
        <v>0.18100000000000002</v>
      </c>
      <c r="N44" s="1">
        <f t="shared" si="1"/>
        <v>7.5300000000000006E-2</v>
      </c>
      <c r="O44" s="3">
        <f t="shared" si="2"/>
        <v>10817</v>
      </c>
      <c r="P44" s="1">
        <f t="shared" si="3"/>
        <v>0.1336438552490147</v>
      </c>
      <c r="Q44" t="str">
        <f t="shared" si="4"/>
        <v>High CTR</v>
      </c>
      <c r="R44" t="str">
        <f t="shared" si="5"/>
        <v>High</v>
      </c>
      <c r="S44" t="str">
        <f t="shared" si="6"/>
        <v>Afternoon</v>
      </c>
      <c r="T44">
        <f t="shared" si="7"/>
        <v>3</v>
      </c>
    </row>
    <row r="45" spans="1:20" x14ac:dyDescent="0.3">
      <c r="A45" t="s">
        <v>143</v>
      </c>
      <c r="B45" t="s">
        <v>144</v>
      </c>
      <c r="C45" s="2">
        <v>6071</v>
      </c>
      <c r="D45" s="2">
        <v>2432</v>
      </c>
      <c r="E45" s="2">
        <v>796</v>
      </c>
      <c r="F45" s="18">
        <v>70.34</v>
      </c>
      <c r="G45">
        <v>18190</v>
      </c>
      <c r="H45">
        <v>26719</v>
      </c>
      <c r="I45" s="1">
        <v>4.8499999999999996</v>
      </c>
      <c r="J45" t="s">
        <v>20</v>
      </c>
      <c r="K45" s="4" t="s">
        <v>961</v>
      </c>
      <c r="L45" t="s">
        <v>145</v>
      </c>
      <c r="M45" s="1">
        <f t="shared" si="0"/>
        <v>0.70340000000000003</v>
      </c>
      <c r="N45" s="1">
        <f t="shared" si="1"/>
        <v>4.8499999999999995E-2</v>
      </c>
      <c r="O45" s="3">
        <f t="shared" si="2"/>
        <v>9299</v>
      </c>
      <c r="P45" s="1">
        <f t="shared" si="3"/>
        <v>0.34802949212171114</v>
      </c>
      <c r="Q45" t="str">
        <f t="shared" si="4"/>
        <v>High CTR</v>
      </c>
      <c r="R45" t="str">
        <f t="shared" si="5"/>
        <v>High</v>
      </c>
      <c r="S45" t="str">
        <f t="shared" si="6"/>
        <v>Morning</v>
      </c>
      <c r="T45">
        <f t="shared" si="7"/>
        <v>3</v>
      </c>
    </row>
    <row r="46" spans="1:20" x14ac:dyDescent="0.3">
      <c r="A46" t="s">
        <v>146</v>
      </c>
      <c r="B46" t="s">
        <v>147</v>
      </c>
      <c r="C46" s="2">
        <v>9182</v>
      </c>
      <c r="D46" s="2">
        <v>508</v>
      </c>
      <c r="E46" s="2">
        <v>1681</v>
      </c>
      <c r="F46" s="18">
        <v>19.579999999999998</v>
      </c>
      <c r="G46">
        <v>47232</v>
      </c>
      <c r="H46">
        <v>17005</v>
      </c>
      <c r="I46" s="1">
        <v>5.39</v>
      </c>
      <c r="J46" t="s">
        <v>42</v>
      </c>
      <c r="K46" s="4" t="s">
        <v>962</v>
      </c>
      <c r="L46" t="s">
        <v>148</v>
      </c>
      <c r="M46" s="1">
        <f t="shared" si="0"/>
        <v>0.19579999999999997</v>
      </c>
      <c r="N46" s="1">
        <f t="shared" si="1"/>
        <v>5.3899999999999997E-2</v>
      </c>
      <c r="O46" s="3">
        <f t="shared" si="2"/>
        <v>11371</v>
      </c>
      <c r="P46" s="1">
        <f t="shared" si="3"/>
        <v>0.66868568068215228</v>
      </c>
      <c r="Q46" t="str">
        <f t="shared" si="4"/>
        <v>High CTR</v>
      </c>
      <c r="R46" t="str">
        <f t="shared" si="5"/>
        <v>High</v>
      </c>
      <c r="S46" t="str">
        <f t="shared" si="6"/>
        <v>Night</v>
      </c>
      <c r="T46">
        <f t="shared" si="7"/>
        <v>3</v>
      </c>
    </row>
    <row r="47" spans="1:20" x14ac:dyDescent="0.3">
      <c r="A47" t="s">
        <v>149</v>
      </c>
      <c r="B47" t="s">
        <v>150</v>
      </c>
      <c r="C47" s="2">
        <v>2272</v>
      </c>
      <c r="D47" s="2">
        <v>3862</v>
      </c>
      <c r="E47" s="2">
        <v>828</v>
      </c>
      <c r="F47" s="18">
        <v>79.010000000000005</v>
      </c>
      <c r="G47">
        <v>15374</v>
      </c>
      <c r="H47">
        <v>31058</v>
      </c>
      <c r="I47" s="1">
        <v>8.5500000000000007</v>
      </c>
      <c r="J47" t="s">
        <v>12</v>
      </c>
      <c r="K47" s="4" t="s">
        <v>963</v>
      </c>
      <c r="L47" t="s">
        <v>151</v>
      </c>
      <c r="M47" s="1">
        <f t="shared" si="0"/>
        <v>0.79010000000000002</v>
      </c>
      <c r="N47" s="1">
        <f t="shared" si="1"/>
        <v>8.5500000000000007E-2</v>
      </c>
      <c r="O47" s="3">
        <f t="shared" si="2"/>
        <v>6962</v>
      </c>
      <c r="P47" s="1">
        <f t="shared" si="3"/>
        <v>0.22416124669972309</v>
      </c>
      <c r="Q47" t="str">
        <f t="shared" si="4"/>
        <v>High CTR</v>
      </c>
      <c r="R47" t="str">
        <f t="shared" si="5"/>
        <v>High</v>
      </c>
      <c r="S47" t="str">
        <f t="shared" si="6"/>
        <v>Afternoon</v>
      </c>
      <c r="T47">
        <f t="shared" si="7"/>
        <v>3</v>
      </c>
    </row>
    <row r="48" spans="1:20" x14ac:dyDescent="0.3">
      <c r="A48" t="s">
        <v>152</v>
      </c>
      <c r="B48" t="s">
        <v>153</v>
      </c>
      <c r="C48" s="2">
        <v>4082</v>
      </c>
      <c r="D48" s="2">
        <v>4792</v>
      </c>
      <c r="E48" s="2">
        <v>1502</v>
      </c>
      <c r="F48" s="18">
        <v>81.569999999999993</v>
      </c>
      <c r="G48">
        <v>23524</v>
      </c>
      <c r="H48">
        <v>75191</v>
      </c>
      <c r="I48" s="1">
        <v>4.21</v>
      </c>
      <c r="J48" t="s">
        <v>16</v>
      </c>
      <c r="K48" s="4" t="s">
        <v>964</v>
      </c>
      <c r="L48" t="s">
        <v>154</v>
      </c>
      <c r="M48" s="1">
        <f t="shared" si="0"/>
        <v>0.81569999999999998</v>
      </c>
      <c r="N48" s="1">
        <f t="shared" si="1"/>
        <v>4.2099999999999999E-2</v>
      </c>
      <c r="O48" s="3">
        <f t="shared" si="2"/>
        <v>10376</v>
      </c>
      <c r="P48" s="1">
        <f t="shared" si="3"/>
        <v>0.1379952387918767</v>
      </c>
      <c r="Q48" t="str">
        <f t="shared" si="4"/>
        <v>High CTR</v>
      </c>
      <c r="R48" t="str">
        <f t="shared" si="5"/>
        <v>High</v>
      </c>
      <c r="S48" t="str">
        <f t="shared" si="6"/>
        <v>Night</v>
      </c>
      <c r="T48">
        <f t="shared" si="7"/>
        <v>3</v>
      </c>
    </row>
    <row r="49" spans="1:20" x14ac:dyDescent="0.3">
      <c r="A49" t="s">
        <v>155</v>
      </c>
      <c r="B49" t="s">
        <v>156</v>
      </c>
      <c r="C49" s="2">
        <v>8817</v>
      </c>
      <c r="D49" s="2">
        <v>4149</v>
      </c>
      <c r="E49" s="2">
        <v>1717</v>
      </c>
      <c r="F49" s="18">
        <v>58.01</v>
      </c>
      <c r="G49">
        <v>8463</v>
      </c>
      <c r="H49">
        <v>74991</v>
      </c>
      <c r="I49" s="1">
        <v>5.77</v>
      </c>
      <c r="J49" t="s">
        <v>42</v>
      </c>
      <c r="K49" s="4" t="s">
        <v>965</v>
      </c>
      <c r="L49" t="s">
        <v>157</v>
      </c>
      <c r="M49" s="1">
        <f t="shared" si="0"/>
        <v>0.58009999999999995</v>
      </c>
      <c r="N49" s="1">
        <f t="shared" si="1"/>
        <v>5.7699999999999994E-2</v>
      </c>
      <c r="O49" s="3">
        <f t="shared" si="2"/>
        <v>14683</v>
      </c>
      <c r="P49" s="1">
        <f t="shared" si="3"/>
        <v>0.19579682895280767</v>
      </c>
      <c r="Q49" t="str">
        <f t="shared" si="4"/>
        <v>High CTR</v>
      </c>
      <c r="R49" t="str">
        <f t="shared" si="5"/>
        <v>High</v>
      </c>
      <c r="S49" t="str">
        <f t="shared" si="6"/>
        <v>Morning</v>
      </c>
      <c r="T49">
        <f t="shared" si="7"/>
        <v>3</v>
      </c>
    </row>
    <row r="50" spans="1:20" x14ac:dyDescent="0.3">
      <c r="A50" t="s">
        <v>158</v>
      </c>
      <c r="B50" t="s">
        <v>159</v>
      </c>
      <c r="C50" s="2">
        <v>8155</v>
      </c>
      <c r="D50" s="2">
        <v>3475</v>
      </c>
      <c r="E50" s="2">
        <v>976</v>
      </c>
      <c r="F50" s="18">
        <v>28.24</v>
      </c>
      <c r="G50">
        <v>92686</v>
      </c>
      <c r="H50">
        <v>46354</v>
      </c>
      <c r="I50" s="1">
        <v>0.04</v>
      </c>
      <c r="J50" t="s">
        <v>12</v>
      </c>
      <c r="K50" s="4" t="s">
        <v>966</v>
      </c>
      <c r="L50" t="s">
        <v>160</v>
      </c>
      <c r="M50" s="1">
        <f t="shared" si="0"/>
        <v>0.28239999999999998</v>
      </c>
      <c r="N50" s="1">
        <f t="shared" si="1"/>
        <v>4.0000000000000002E-4</v>
      </c>
      <c r="O50" s="3">
        <f t="shared" si="2"/>
        <v>12606</v>
      </c>
      <c r="P50" s="1">
        <f t="shared" si="3"/>
        <v>0.27195064072140485</v>
      </c>
      <c r="Q50" t="str">
        <f t="shared" si="4"/>
        <v>Low CTR</v>
      </c>
      <c r="R50" t="str">
        <f t="shared" si="5"/>
        <v>High</v>
      </c>
      <c r="S50" t="str">
        <f t="shared" si="6"/>
        <v>Morning</v>
      </c>
      <c r="T50">
        <f t="shared" si="7"/>
        <v>3</v>
      </c>
    </row>
    <row r="51" spans="1:20" x14ac:dyDescent="0.3">
      <c r="A51" t="s">
        <v>161</v>
      </c>
      <c r="B51" t="s">
        <v>162</v>
      </c>
      <c r="C51" s="2">
        <v>442</v>
      </c>
      <c r="D51" s="2">
        <v>4595</v>
      </c>
      <c r="E51" s="2">
        <v>438</v>
      </c>
      <c r="F51" s="18">
        <v>45.99</v>
      </c>
      <c r="G51">
        <v>92672</v>
      </c>
      <c r="H51">
        <v>41708</v>
      </c>
      <c r="I51" s="1">
        <v>1.47</v>
      </c>
      <c r="J51" t="s">
        <v>42</v>
      </c>
      <c r="K51" s="4" t="s">
        <v>967</v>
      </c>
      <c r="L51" t="s">
        <v>163</v>
      </c>
      <c r="M51" s="1">
        <f t="shared" si="0"/>
        <v>0.45990000000000003</v>
      </c>
      <c r="N51" s="1">
        <f t="shared" si="1"/>
        <v>1.47E-2</v>
      </c>
      <c r="O51" s="3">
        <f t="shared" si="2"/>
        <v>5475</v>
      </c>
      <c r="P51" s="1">
        <f t="shared" si="3"/>
        <v>0.13126978037786516</v>
      </c>
      <c r="Q51" t="str">
        <f t="shared" si="4"/>
        <v>High CTR</v>
      </c>
      <c r="R51" t="str">
        <f t="shared" si="5"/>
        <v>High</v>
      </c>
      <c r="S51" t="str">
        <f t="shared" si="6"/>
        <v>Morning</v>
      </c>
      <c r="T51">
        <f t="shared" si="7"/>
        <v>3</v>
      </c>
    </row>
    <row r="52" spans="1:20" x14ac:dyDescent="0.3">
      <c r="A52" t="s">
        <v>164</v>
      </c>
      <c r="B52" t="s">
        <v>165</v>
      </c>
      <c r="C52" s="2">
        <v>4686</v>
      </c>
      <c r="D52" s="2">
        <v>3253</v>
      </c>
      <c r="E52" s="2">
        <v>1210</v>
      </c>
      <c r="F52" s="18">
        <v>86.55</v>
      </c>
      <c r="G52">
        <v>8706</v>
      </c>
      <c r="H52">
        <v>82522</v>
      </c>
      <c r="I52" s="1">
        <v>3.31</v>
      </c>
      <c r="J52" t="s">
        <v>16</v>
      </c>
      <c r="K52" s="4" t="s">
        <v>968</v>
      </c>
      <c r="L52" t="s">
        <v>166</v>
      </c>
      <c r="M52" s="1">
        <f t="shared" si="0"/>
        <v>0.86549999999999994</v>
      </c>
      <c r="N52" s="1">
        <f t="shared" si="1"/>
        <v>3.3099999999999997E-2</v>
      </c>
      <c r="O52" s="3">
        <f t="shared" si="2"/>
        <v>9149</v>
      </c>
      <c r="P52" s="1">
        <f t="shared" si="3"/>
        <v>0.11086740505562154</v>
      </c>
      <c r="Q52" t="str">
        <f t="shared" si="4"/>
        <v>High CTR</v>
      </c>
      <c r="R52" t="str">
        <f t="shared" si="5"/>
        <v>High</v>
      </c>
      <c r="S52" t="str">
        <f t="shared" si="6"/>
        <v>Morning</v>
      </c>
      <c r="T52">
        <f t="shared" si="7"/>
        <v>3</v>
      </c>
    </row>
    <row r="53" spans="1:20" x14ac:dyDescent="0.3">
      <c r="A53" t="s">
        <v>167</v>
      </c>
      <c r="B53" t="s">
        <v>168</v>
      </c>
      <c r="C53" s="2">
        <v>3940</v>
      </c>
      <c r="D53" s="2">
        <v>1710</v>
      </c>
      <c r="E53" s="2">
        <v>1805</v>
      </c>
      <c r="F53" s="18">
        <v>85.12</v>
      </c>
      <c r="G53">
        <v>34681</v>
      </c>
      <c r="H53">
        <v>43696</v>
      </c>
      <c r="I53" s="1">
        <v>2.65</v>
      </c>
      <c r="J53" t="s">
        <v>20</v>
      </c>
      <c r="K53" s="4" t="s">
        <v>969</v>
      </c>
      <c r="L53" t="s">
        <v>169</v>
      </c>
      <c r="M53" s="1">
        <f t="shared" si="0"/>
        <v>0.85120000000000007</v>
      </c>
      <c r="N53" s="1">
        <f t="shared" si="1"/>
        <v>2.6499999999999999E-2</v>
      </c>
      <c r="O53" s="3">
        <f t="shared" si="2"/>
        <v>7455</v>
      </c>
      <c r="P53" s="1">
        <f t="shared" si="3"/>
        <v>0.17061058220432077</v>
      </c>
      <c r="Q53" t="str">
        <f t="shared" si="4"/>
        <v>High CTR</v>
      </c>
      <c r="R53" t="str">
        <f t="shared" si="5"/>
        <v>High</v>
      </c>
      <c r="S53" t="str">
        <f t="shared" si="6"/>
        <v>Morning</v>
      </c>
      <c r="T53">
        <f t="shared" si="7"/>
        <v>3</v>
      </c>
    </row>
    <row r="54" spans="1:20" x14ac:dyDescent="0.3">
      <c r="A54" t="s">
        <v>170</v>
      </c>
      <c r="B54" t="s">
        <v>171</v>
      </c>
      <c r="C54" s="2">
        <v>8032</v>
      </c>
      <c r="D54" s="2">
        <v>3244</v>
      </c>
      <c r="E54" s="2">
        <v>931</v>
      </c>
      <c r="F54" s="18">
        <v>93.34</v>
      </c>
      <c r="G54">
        <v>72236</v>
      </c>
      <c r="H54">
        <v>45739</v>
      </c>
      <c r="I54" s="1">
        <v>6.94</v>
      </c>
      <c r="J54" t="s">
        <v>20</v>
      </c>
      <c r="K54" s="4" t="s">
        <v>970</v>
      </c>
      <c r="L54" t="s">
        <v>172</v>
      </c>
      <c r="M54" s="1">
        <f t="shared" si="0"/>
        <v>0.93340000000000001</v>
      </c>
      <c r="N54" s="1">
        <f t="shared" si="1"/>
        <v>6.9400000000000003E-2</v>
      </c>
      <c r="O54" s="3">
        <f t="shared" si="2"/>
        <v>12207</v>
      </c>
      <c r="P54" s="1">
        <f t="shared" si="3"/>
        <v>0.26688384092350076</v>
      </c>
      <c r="Q54" t="str">
        <f t="shared" si="4"/>
        <v>High CTR</v>
      </c>
      <c r="R54" t="str">
        <f t="shared" si="5"/>
        <v>High</v>
      </c>
      <c r="S54" t="str">
        <f t="shared" si="6"/>
        <v>Evening</v>
      </c>
      <c r="T54">
        <f t="shared" si="7"/>
        <v>3</v>
      </c>
    </row>
    <row r="55" spans="1:20" x14ac:dyDescent="0.3">
      <c r="A55" t="s">
        <v>173</v>
      </c>
      <c r="B55" t="s">
        <v>174</v>
      </c>
      <c r="C55" s="2">
        <v>6864</v>
      </c>
      <c r="D55" s="2">
        <v>3244</v>
      </c>
      <c r="E55" s="2">
        <v>273</v>
      </c>
      <c r="F55" s="18">
        <v>43.37</v>
      </c>
      <c r="G55">
        <v>60915</v>
      </c>
      <c r="H55">
        <v>8474</v>
      </c>
      <c r="I55" s="1">
        <v>2.69</v>
      </c>
      <c r="J55" t="s">
        <v>12</v>
      </c>
      <c r="K55" s="4" t="s">
        <v>971</v>
      </c>
      <c r="L55" t="s">
        <v>175</v>
      </c>
      <c r="M55" s="1">
        <f t="shared" si="0"/>
        <v>0.43369999999999997</v>
      </c>
      <c r="N55" s="1">
        <f t="shared" si="1"/>
        <v>2.69E-2</v>
      </c>
      <c r="O55" s="3">
        <f t="shared" si="2"/>
        <v>10381</v>
      </c>
      <c r="P55" s="1">
        <f t="shared" si="3"/>
        <v>1</v>
      </c>
      <c r="Q55" t="str">
        <f t="shared" si="4"/>
        <v>High CTR</v>
      </c>
      <c r="R55" t="str">
        <f t="shared" si="5"/>
        <v>High</v>
      </c>
      <c r="S55" t="str">
        <f t="shared" si="6"/>
        <v>Night</v>
      </c>
      <c r="T55">
        <f t="shared" si="7"/>
        <v>3</v>
      </c>
    </row>
    <row r="56" spans="1:20" x14ac:dyDescent="0.3">
      <c r="A56" t="s">
        <v>176</v>
      </c>
      <c r="B56" t="s">
        <v>177</v>
      </c>
      <c r="C56" s="2">
        <v>6910</v>
      </c>
      <c r="D56" s="2">
        <v>1183</v>
      </c>
      <c r="E56" s="2">
        <v>412</v>
      </c>
      <c r="F56" s="18">
        <v>76.010000000000005</v>
      </c>
      <c r="G56">
        <v>39520</v>
      </c>
      <c r="H56">
        <v>10185</v>
      </c>
      <c r="I56" s="1">
        <v>7.92</v>
      </c>
      <c r="J56" t="s">
        <v>20</v>
      </c>
      <c r="K56" s="4" t="s">
        <v>972</v>
      </c>
      <c r="L56" t="s">
        <v>178</v>
      </c>
      <c r="M56" s="1">
        <f t="shared" si="0"/>
        <v>0.7601</v>
      </c>
      <c r="N56" s="1">
        <f t="shared" si="1"/>
        <v>7.9199999999999993E-2</v>
      </c>
      <c r="O56" s="3">
        <f t="shared" si="2"/>
        <v>8505</v>
      </c>
      <c r="P56" s="1">
        <f t="shared" si="3"/>
        <v>0.83505154639175261</v>
      </c>
      <c r="Q56" t="str">
        <f t="shared" si="4"/>
        <v>High CTR</v>
      </c>
      <c r="R56" t="str">
        <f t="shared" si="5"/>
        <v>High</v>
      </c>
      <c r="S56" t="str">
        <f t="shared" si="6"/>
        <v>Afternoon</v>
      </c>
      <c r="T56">
        <f t="shared" si="7"/>
        <v>3</v>
      </c>
    </row>
    <row r="57" spans="1:20" x14ac:dyDescent="0.3">
      <c r="A57" t="s">
        <v>179</v>
      </c>
      <c r="B57" t="s">
        <v>180</v>
      </c>
      <c r="C57" s="2">
        <v>2467</v>
      </c>
      <c r="D57" s="2">
        <v>3431</v>
      </c>
      <c r="E57" s="2">
        <v>543</v>
      </c>
      <c r="F57" s="18">
        <v>65.56</v>
      </c>
      <c r="G57">
        <v>23172</v>
      </c>
      <c r="H57">
        <v>60291</v>
      </c>
      <c r="I57" s="1">
        <v>3.28</v>
      </c>
      <c r="J57" t="s">
        <v>42</v>
      </c>
      <c r="K57" s="4" t="s">
        <v>973</v>
      </c>
      <c r="L57" t="s">
        <v>181</v>
      </c>
      <c r="M57" s="1">
        <f t="shared" si="0"/>
        <v>0.65560000000000007</v>
      </c>
      <c r="N57" s="1">
        <f t="shared" si="1"/>
        <v>3.2799999999999996E-2</v>
      </c>
      <c r="O57" s="3">
        <f t="shared" si="2"/>
        <v>6441</v>
      </c>
      <c r="P57" s="1">
        <f t="shared" si="3"/>
        <v>0.1068318654525551</v>
      </c>
      <c r="Q57" t="str">
        <f t="shared" si="4"/>
        <v>High CTR</v>
      </c>
      <c r="R57" t="str">
        <f t="shared" si="5"/>
        <v>High</v>
      </c>
      <c r="S57" t="str">
        <f t="shared" si="6"/>
        <v>Morning</v>
      </c>
      <c r="T57">
        <f t="shared" si="7"/>
        <v>3</v>
      </c>
    </row>
    <row r="58" spans="1:20" x14ac:dyDescent="0.3">
      <c r="A58" t="s">
        <v>182</v>
      </c>
      <c r="B58" t="s">
        <v>183</v>
      </c>
      <c r="C58" s="2">
        <v>7340</v>
      </c>
      <c r="D58" s="2">
        <v>3833</v>
      </c>
      <c r="E58" s="2">
        <v>1540</v>
      </c>
      <c r="F58" s="18">
        <v>57.3</v>
      </c>
      <c r="G58">
        <v>89664</v>
      </c>
      <c r="H58">
        <v>4521</v>
      </c>
      <c r="I58" s="1">
        <v>3.01</v>
      </c>
      <c r="J58" t="s">
        <v>16</v>
      </c>
      <c r="K58" s="4" t="s">
        <v>974</v>
      </c>
      <c r="L58" t="s">
        <v>184</v>
      </c>
      <c r="M58" s="1">
        <f t="shared" si="0"/>
        <v>0.57299999999999995</v>
      </c>
      <c r="N58" s="1">
        <f t="shared" si="1"/>
        <v>3.0099999999999998E-2</v>
      </c>
      <c r="O58" s="3">
        <f t="shared" si="2"/>
        <v>12713</v>
      </c>
      <c r="P58" s="1">
        <f t="shared" si="3"/>
        <v>1</v>
      </c>
      <c r="Q58" t="str">
        <f t="shared" si="4"/>
        <v>High CTR</v>
      </c>
      <c r="R58" t="str">
        <f t="shared" si="5"/>
        <v>High</v>
      </c>
      <c r="S58" t="str">
        <f t="shared" si="6"/>
        <v>Night</v>
      </c>
      <c r="T58">
        <f t="shared" si="7"/>
        <v>3</v>
      </c>
    </row>
    <row r="59" spans="1:20" x14ac:dyDescent="0.3">
      <c r="A59" t="s">
        <v>185</v>
      </c>
      <c r="B59" t="s">
        <v>186</v>
      </c>
      <c r="C59" s="2">
        <v>4233</v>
      </c>
      <c r="D59" s="2">
        <v>4710</v>
      </c>
      <c r="E59" s="2">
        <v>1712</v>
      </c>
      <c r="F59" s="18">
        <v>69.64</v>
      </c>
      <c r="G59">
        <v>72129</v>
      </c>
      <c r="H59">
        <v>32810</v>
      </c>
      <c r="I59" s="1">
        <v>1.59</v>
      </c>
      <c r="J59" t="s">
        <v>16</v>
      </c>
      <c r="K59" s="4" t="s">
        <v>975</v>
      </c>
      <c r="L59" t="s">
        <v>187</v>
      </c>
      <c r="M59" s="1">
        <f t="shared" si="0"/>
        <v>0.69640000000000002</v>
      </c>
      <c r="N59" s="1">
        <f t="shared" si="1"/>
        <v>1.5900000000000001E-2</v>
      </c>
      <c r="O59" s="3">
        <f t="shared" si="2"/>
        <v>10655</v>
      </c>
      <c r="P59" s="1">
        <f t="shared" si="3"/>
        <v>0.32474855227064919</v>
      </c>
      <c r="Q59" t="str">
        <f t="shared" si="4"/>
        <v>High CTR</v>
      </c>
      <c r="R59" t="str">
        <f t="shared" si="5"/>
        <v>High</v>
      </c>
      <c r="S59" t="str">
        <f t="shared" si="6"/>
        <v>Morning</v>
      </c>
      <c r="T59">
        <f t="shared" si="7"/>
        <v>3</v>
      </c>
    </row>
    <row r="60" spans="1:20" x14ac:dyDescent="0.3">
      <c r="A60" t="s">
        <v>188</v>
      </c>
      <c r="B60" t="s">
        <v>189</v>
      </c>
      <c r="C60" s="2">
        <v>634</v>
      </c>
      <c r="D60" s="2">
        <v>4731</v>
      </c>
      <c r="E60" s="2">
        <v>594</v>
      </c>
      <c r="F60" s="18">
        <v>91.68</v>
      </c>
      <c r="G60">
        <v>32937</v>
      </c>
      <c r="H60">
        <v>36252</v>
      </c>
      <c r="I60" s="1">
        <v>3.93</v>
      </c>
      <c r="J60" t="s">
        <v>42</v>
      </c>
      <c r="K60" s="4" t="s">
        <v>976</v>
      </c>
      <c r="L60" t="s">
        <v>190</v>
      </c>
      <c r="M60" s="1">
        <f t="shared" si="0"/>
        <v>0.91680000000000006</v>
      </c>
      <c r="N60" s="1">
        <f t="shared" si="1"/>
        <v>3.9300000000000002E-2</v>
      </c>
      <c r="O60" s="3">
        <f t="shared" si="2"/>
        <v>5959</v>
      </c>
      <c r="P60" s="1">
        <f t="shared" si="3"/>
        <v>0.16437713781308619</v>
      </c>
      <c r="Q60" t="str">
        <f t="shared" si="4"/>
        <v>High CTR</v>
      </c>
      <c r="R60" t="str">
        <f t="shared" si="5"/>
        <v>High</v>
      </c>
      <c r="S60" t="str">
        <f t="shared" si="6"/>
        <v>Morning</v>
      </c>
      <c r="T60">
        <f t="shared" si="7"/>
        <v>3</v>
      </c>
    </row>
    <row r="61" spans="1:20" x14ac:dyDescent="0.3">
      <c r="A61" t="s">
        <v>191</v>
      </c>
      <c r="B61" t="s">
        <v>192</v>
      </c>
      <c r="C61" s="2">
        <v>9147</v>
      </c>
      <c r="D61" s="2">
        <v>2487</v>
      </c>
      <c r="E61" s="2">
        <v>682</v>
      </c>
      <c r="F61" s="18">
        <v>8.3800000000000008</v>
      </c>
      <c r="G61">
        <v>81440</v>
      </c>
      <c r="H61">
        <v>38733</v>
      </c>
      <c r="I61" s="1">
        <v>5.0599999999999996</v>
      </c>
      <c r="J61" t="s">
        <v>12</v>
      </c>
      <c r="K61" s="4" t="s">
        <v>977</v>
      </c>
      <c r="L61" t="s">
        <v>193</v>
      </c>
      <c r="M61" s="1">
        <f t="shared" si="0"/>
        <v>8.3800000000000013E-2</v>
      </c>
      <c r="N61" s="1">
        <f t="shared" si="1"/>
        <v>5.0599999999999999E-2</v>
      </c>
      <c r="O61" s="3">
        <f t="shared" si="2"/>
        <v>12316</v>
      </c>
      <c r="P61" s="1">
        <f t="shared" si="3"/>
        <v>0.31797175535073452</v>
      </c>
      <c r="Q61" t="str">
        <f t="shared" si="4"/>
        <v>High CTR</v>
      </c>
      <c r="R61" t="str">
        <f t="shared" si="5"/>
        <v>High</v>
      </c>
      <c r="S61" t="str">
        <f t="shared" si="6"/>
        <v>Morning</v>
      </c>
      <c r="T61">
        <f t="shared" si="7"/>
        <v>3</v>
      </c>
    </row>
    <row r="62" spans="1:20" x14ac:dyDescent="0.3">
      <c r="A62" t="s">
        <v>194</v>
      </c>
      <c r="B62" t="s">
        <v>195</v>
      </c>
      <c r="C62" s="2">
        <v>1539</v>
      </c>
      <c r="D62" s="2">
        <v>1142</v>
      </c>
      <c r="E62" s="2">
        <v>1348</v>
      </c>
      <c r="F62" s="18">
        <v>56.35</v>
      </c>
      <c r="G62">
        <v>71384</v>
      </c>
      <c r="H62">
        <v>70613</v>
      </c>
      <c r="I62" s="1">
        <v>2.82</v>
      </c>
      <c r="J62" t="s">
        <v>16</v>
      </c>
      <c r="K62" s="4" t="s">
        <v>978</v>
      </c>
      <c r="L62" t="s">
        <v>196</v>
      </c>
      <c r="M62" s="1">
        <f t="shared" si="0"/>
        <v>0.5635</v>
      </c>
      <c r="N62" s="1">
        <f t="shared" si="1"/>
        <v>2.8199999999999999E-2</v>
      </c>
      <c r="O62" s="3">
        <f t="shared" si="2"/>
        <v>4029</v>
      </c>
      <c r="P62" s="1">
        <f t="shared" si="3"/>
        <v>5.7057482333281409E-2</v>
      </c>
      <c r="Q62" t="str">
        <f t="shared" si="4"/>
        <v>High CTR</v>
      </c>
      <c r="R62" t="str">
        <f t="shared" si="5"/>
        <v>High</v>
      </c>
      <c r="S62" t="str">
        <f t="shared" si="6"/>
        <v>Afternoon</v>
      </c>
      <c r="T62">
        <f t="shared" si="7"/>
        <v>3</v>
      </c>
    </row>
    <row r="63" spans="1:20" x14ac:dyDescent="0.3">
      <c r="A63" t="s">
        <v>197</v>
      </c>
      <c r="B63" t="s">
        <v>198</v>
      </c>
      <c r="C63" s="2">
        <v>6402</v>
      </c>
      <c r="D63" s="2">
        <v>3168</v>
      </c>
      <c r="E63" s="2">
        <v>390</v>
      </c>
      <c r="F63" s="18">
        <v>38.01</v>
      </c>
      <c r="G63">
        <v>40172</v>
      </c>
      <c r="H63">
        <v>81320</v>
      </c>
      <c r="I63" s="1">
        <v>8.4600000000000009</v>
      </c>
      <c r="J63" t="s">
        <v>12</v>
      </c>
      <c r="K63" s="4" t="s">
        <v>979</v>
      </c>
      <c r="L63" t="s">
        <v>199</v>
      </c>
      <c r="M63" s="1">
        <f t="shared" si="0"/>
        <v>0.38009999999999999</v>
      </c>
      <c r="N63" s="1">
        <f t="shared" si="1"/>
        <v>8.4600000000000009E-2</v>
      </c>
      <c r="O63" s="3">
        <f t="shared" si="2"/>
        <v>9960</v>
      </c>
      <c r="P63" s="1">
        <f t="shared" si="3"/>
        <v>0.12247909493359567</v>
      </c>
      <c r="Q63" t="str">
        <f t="shared" si="4"/>
        <v>High CTR</v>
      </c>
      <c r="R63" t="str">
        <f t="shared" si="5"/>
        <v>High</v>
      </c>
      <c r="S63" t="str">
        <f t="shared" si="6"/>
        <v>Morning</v>
      </c>
      <c r="T63">
        <f t="shared" si="7"/>
        <v>3</v>
      </c>
    </row>
    <row r="64" spans="1:20" x14ac:dyDescent="0.3">
      <c r="A64" t="s">
        <v>200</v>
      </c>
      <c r="B64" t="s">
        <v>201</v>
      </c>
      <c r="C64" s="2">
        <v>1177</v>
      </c>
      <c r="D64" s="2">
        <v>2086</v>
      </c>
      <c r="E64" s="2">
        <v>1174</v>
      </c>
      <c r="F64" s="18">
        <v>28.82</v>
      </c>
      <c r="G64">
        <v>79052</v>
      </c>
      <c r="H64">
        <v>53208</v>
      </c>
      <c r="I64" s="1">
        <v>8.11</v>
      </c>
      <c r="J64" t="s">
        <v>20</v>
      </c>
      <c r="K64" s="4" t="s">
        <v>980</v>
      </c>
      <c r="L64" t="s">
        <v>202</v>
      </c>
      <c r="M64" s="1">
        <f t="shared" si="0"/>
        <v>0.28820000000000001</v>
      </c>
      <c r="N64" s="1">
        <f t="shared" si="1"/>
        <v>8.1099999999999992E-2</v>
      </c>
      <c r="O64" s="3">
        <f t="shared" si="2"/>
        <v>4437</v>
      </c>
      <c r="P64" s="1">
        <f t="shared" si="3"/>
        <v>8.3389715832205683E-2</v>
      </c>
      <c r="Q64" t="str">
        <f t="shared" si="4"/>
        <v>High CTR</v>
      </c>
      <c r="R64" t="str">
        <f t="shared" si="5"/>
        <v>High</v>
      </c>
      <c r="S64" t="str">
        <f t="shared" si="6"/>
        <v>Evening</v>
      </c>
      <c r="T64">
        <f t="shared" si="7"/>
        <v>3</v>
      </c>
    </row>
    <row r="65" spans="1:20" x14ac:dyDescent="0.3">
      <c r="A65" t="s">
        <v>203</v>
      </c>
      <c r="B65" t="s">
        <v>204</v>
      </c>
      <c r="C65" s="2">
        <v>4125</v>
      </c>
      <c r="D65" s="2">
        <v>1929</v>
      </c>
      <c r="E65" s="2">
        <v>1163</v>
      </c>
      <c r="F65" s="18">
        <v>39.28</v>
      </c>
      <c r="G65">
        <v>25416</v>
      </c>
      <c r="H65">
        <v>93965</v>
      </c>
      <c r="I65" s="1">
        <v>4.57</v>
      </c>
      <c r="J65" t="s">
        <v>20</v>
      </c>
      <c r="K65" s="4" t="s">
        <v>981</v>
      </c>
      <c r="L65" t="s">
        <v>205</v>
      </c>
      <c r="M65" s="1">
        <f t="shared" si="0"/>
        <v>0.39280000000000004</v>
      </c>
      <c r="N65" s="1">
        <f t="shared" si="1"/>
        <v>4.5700000000000005E-2</v>
      </c>
      <c r="O65" s="3">
        <f t="shared" si="2"/>
        <v>7217</v>
      </c>
      <c r="P65" s="1">
        <f t="shared" si="3"/>
        <v>7.6805193423083062E-2</v>
      </c>
      <c r="Q65" t="str">
        <f t="shared" si="4"/>
        <v>High CTR</v>
      </c>
      <c r="R65" t="str">
        <f t="shared" si="5"/>
        <v>High</v>
      </c>
      <c r="S65" t="str">
        <f t="shared" si="6"/>
        <v>Morning</v>
      </c>
      <c r="T65">
        <f t="shared" si="7"/>
        <v>3</v>
      </c>
    </row>
    <row r="66" spans="1:20" x14ac:dyDescent="0.3">
      <c r="A66" t="s">
        <v>206</v>
      </c>
      <c r="B66" t="s">
        <v>207</v>
      </c>
      <c r="C66" s="2">
        <v>5820</v>
      </c>
      <c r="D66" s="2">
        <v>4013</v>
      </c>
      <c r="E66" s="2">
        <v>538</v>
      </c>
      <c r="F66" s="18">
        <v>83.64</v>
      </c>
      <c r="G66">
        <v>66201</v>
      </c>
      <c r="H66">
        <v>86547</v>
      </c>
      <c r="I66" s="1">
        <v>5.41</v>
      </c>
      <c r="J66" t="s">
        <v>12</v>
      </c>
      <c r="K66" s="4" t="s">
        <v>982</v>
      </c>
      <c r="L66" t="s">
        <v>208</v>
      </c>
      <c r="M66" s="1">
        <f t="shared" si="0"/>
        <v>0.83640000000000003</v>
      </c>
      <c r="N66" s="1">
        <f t="shared" si="1"/>
        <v>5.4100000000000002E-2</v>
      </c>
      <c r="O66" s="3">
        <f t="shared" si="2"/>
        <v>10371</v>
      </c>
      <c r="P66" s="1">
        <f t="shared" si="3"/>
        <v>0.1198308433567888</v>
      </c>
      <c r="Q66" t="str">
        <f t="shared" si="4"/>
        <v>High CTR</v>
      </c>
      <c r="R66" t="str">
        <f t="shared" si="5"/>
        <v>High</v>
      </c>
      <c r="S66" t="str">
        <f t="shared" si="6"/>
        <v>Afternoon</v>
      </c>
      <c r="T66">
        <f t="shared" si="7"/>
        <v>3</v>
      </c>
    </row>
    <row r="67" spans="1:20" x14ac:dyDescent="0.3">
      <c r="A67" t="s">
        <v>209</v>
      </c>
      <c r="B67" t="s">
        <v>210</v>
      </c>
      <c r="C67" s="2">
        <v>9329</v>
      </c>
      <c r="D67" s="2">
        <v>2816</v>
      </c>
      <c r="E67" s="2">
        <v>829</v>
      </c>
      <c r="F67" s="18">
        <v>33.369999999999997</v>
      </c>
      <c r="G67">
        <v>39740</v>
      </c>
      <c r="H67">
        <v>76850</v>
      </c>
      <c r="I67" s="1">
        <v>4.66</v>
      </c>
      <c r="J67" t="s">
        <v>12</v>
      </c>
      <c r="K67" s="4" t="s">
        <v>983</v>
      </c>
      <c r="L67" t="s">
        <v>211</v>
      </c>
      <c r="M67" s="1">
        <f t="shared" ref="M67:M130" si="8">F67/100</f>
        <v>0.3337</v>
      </c>
      <c r="N67" s="1">
        <f t="shared" ref="N67:N130" si="9">I67/100</f>
        <v>4.6600000000000003E-2</v>
      </c>
      <c r="O67" s="3">
        <f t="shared" ref="O67:O130" si="10">C67+D67+E67</f>
        <v>12974</v>
      </c>
      <c r="P67" s="1">
        <f t="shared" ref="P67:P130" si="11">IF((C67+D67+E67)/H67&gt;1,1,(C67+D67+E67)/H67)</f>
        <v>0.16882238126219909</v>
      </c>
      <c r="Q67" t="str">
        <f t="shared" ref="Q67:Q130" si="12">IF(I67&gt;0.1,"High CTR",
 IF(I67&gt;0.05,"Medium CTR","Low CTR"))</f>
        <v>High CTR</v>
      </c>
      <c r="R67" t="str">
        <f t="shared" ref="R67:R130" si="13">IF($F67&gt;0.1,"High",
 IF($F67&gt;0.05,"Medium","Low"))</f>
        <v>High</v>
      </c>
      <c r="S67" t="str">
        <f t="shared" ref="S67:S130" si="14">IF(HOUR(L67)&lt;12,"Morning",
 IF(HOUR(L67)&lt;17,"Afternoon",
 IF(HOUR(L67)&lt;21,"Evening","Night")))</f>
        <v>Afternoon</v>
      </c>
      <c r="T67">
        <f t="shared" ref="T67:T130" si="15">LEN($K67)-LEN(SUBSTITUTE($K67,",",""))+1</f>
        <v>3</v>
      </c>
    </row>
    <row r="68" spans="1:20" x14ac:dyDescent="0.3">
      <c r="A68" t="s">
        <v>212</v>
      </c>
      <c r="B68" t="s">
        <v>213</v>
      </c>
      <c r="C68" s="2">
        <v>5237</v>
      </c>
      <c r="D68" s="2">
        <v>1959</v>
      </c>
      <c r="E68" s="2">
        <v>1002</v>
      </c>
      <c r="F68" s="18">
        <v>84.09</v>
      </c>
      <c r="G68">
        <v>30521</v>
      </c>
      <c r="H68">
        <v>79392</v>
      </c>
      <c r="I68" s="1">
        <v>1.18</v>
      </c>
      <c r="J68" t="s">
        <v>12</v>
      </c>
      <c r="K68" s="4" t="s">
        <v>984</v>
      </c>
      <c r="L68" t="s">
        <v>214</v>
      </c>
      <c r="M68" s="1">
        <f t="shared" si="8"/>
        <v>0.84089999999999998</v>
      </c>
      <c r="N68" s="1">
        <f t="shared" si="9"/>
        <v>1.18E-2</v>
      </c>
      <c r="O68" s="3">
        <f t="shared" si="10"/>
        <v>8198</v>
      </c>
      <c r="P68" s="1">
        <f t="shared" si="11"/>
        <v>0.10325977428456268</v>
      </c>
      <c r="Q68" t="str">
        <f t="shared" si="12"/>
        <v>High CTR</v>
      </c>
      <c r="R68" t="str">
        <f t="shared" si="13"/>
        <v>High</v>
      </c>
      <c r="S68" t="str">
        <f t="shared" si="14"/>
        <v>Morning</v>
      </c>
      <c r="T68">
        <f t="shared" si="15"/>
        <v>3</v>
      </c>
    </row>
    <row r="69" spans="1:20" x14ac:dyDescent="0.3">
      <c r="A69" t="s">
        <v>215</v>
      </c>
      <c r="B69" t="s">
        <v>216</v>
      </c>
      <c r="C69" s="2">
        <v>8547</v>
      </c>
      <c r="D69" s="2">
        <v>1210</v>
      </c>
      <c r="E69" s="2">
        <v>1608</v>
      </c>
      <c r="F69" s="18">
        <v>98.82</v>
      </c>
      <c r="G69">
        <v>22409</v>
      </c>
      <c r="H69">
        <v>38463</v>
      </c>
      <c r="I69" s="1">
        <v>5.0199999999999996</v>
      </c>
      <c r="J69" t="s">
        <v>42</v>
      </c>
      <c r="K69" s="4" t="s">
        <v>985</v>
      </c>
      <c r="L69" t="s">
        <v>217</v>
      </c>
      <c r="M69" s="1">
        <f t="shared" si="8"/>
        <v>0.98819999999999997</v>
      </c>
      <c r="N69" s="1">
        <f t="shared" si="9"/>
        <v>5.0199999999999995E-2</v>
      </c>
      <c r="O69" s="3">
        <f t="shared" si="10"/>
        <v>11365</v>
      </c>
      <c r="P69" s="1">
        <f t="shared" si="11"/>
        <v>0.29547877180667137</v>
      </c>
      <c r="Q69" t="str">
        <f t="shared" si="12"/>
        <v>High CTR</v>
      </c>
      <c r="R69" t="str">
        <f t="shared" si="13"/>
        <v>High</v>
      </c>
      <c r="S69" t="str">
        <f t="shared" si="14"/>
        <v>Night</v>
      </c>
      <c r="T69">
        <f t="shared" si="15"/>
        <v>3</v>
      </c>
    </row>
    <row r="70" spans="1:20" x14ac:dyDescent="0.3">
      <c r="A70" t="s">
        <v>218</v>
      </c>
      <c r="B70" t="s">
        <v>219</v>
      </c>
      <c r="C70" s="2">
        <v>1558</v>
      </c>
      <c r="D70" s="2">
        <v>1770</v>
      </c>
      <c r="E70" s="2">
        <v>257</v>
      </c>
      <c r="F70" s="18">
        <v>46.78</v>
      </c>
      <c r="G70">
        <v>99233</v>
      </c>
      <c r="H70">
        <v>68892</v>
      </c>
      <c r="I70" s="1">
        <v>9.34</v>
      </c>
      <c r="J70" t="s">
        <v>20</v>
      </c>
      <c r="K70" s="4" t="s">
        <v>986</v>
      </c>
      <c r="L70" t="s">
        <v>220</v>
      </c>
      <c r="M70" s="1">
        <f t="shared" si="8"/>
        <v>0.46779999999999999</v>
      </c>
      <c r="N70" s="1">
        <f t="shared" si="9"/>
        <v>9.3399999999999997E-2</v>
      </c>
      <c r="O70" s="3">
        <f t="shared" si="10"/>
        <v>3585</v>
      </c>
      <c r="P70" s="1">
        <f t="shared" si="11"/>
        <v>5.2037972478662251E-2</v>
      </c>
      <c r="Q70" t="str">
        <f t="shared" si="12"/>
        <v>High CTR</v>
      </c>
      <c r="R70" t="str">
        <f t="shared" si="13"/>
        <v>High</v>
      </c>
      <c r="S70" t="str">
        <f t="shared" si="14"/>
        <v>Morning</v>
      </c>
      <c r="T70">
        <f t="shared" si="15"/>
        <v>3</v>
      </c>
    </row>
    <row r="71" spans="1:20" x14ac:dyDescent="0.3">
      <c r="A71" t="s">
        <v>221</v>
      </c>
      <c r="B71" t="s">
        <v>222</v>
      </c>
      <c r="C71" s="2">
        <v>7107</v>
      </c>
      <c r="D71" s="2">
        <v>1726</v>
      </c>
      <c r="E71" s="2">
        <v>617</v>
      </c>
      <c r="F71" s="18">
        <v>34.4</v>
      </c>
      <c r="G71">
        <v>82278</v>
      </c>
      <c r="H71">
        <v>99906</v>
      </c>
      <c r="I71" s="1">
        <v>3.45</v>
      </c>
      <c r="J71" t="s">
        <v>12</v>
      </c>
      <c r="K71" s="4" t="s">
        <v>987</v>
      </c>
      <c r="L71" t="s">
        <v>223</v>
      </c>
      <c r="M71" s="1">
        <f t="shared" si="8"/>
        <v>0.34399999999999997</v>
      </c>
      <c r="N71" s="1">
        <f t="shared" si="9"/>
        <v>3.4500000000000003E-2</v>
      </c>
      <c r="O71" s="3">
        <f t="shared" si="10"/>
        <v>9450</v>
      </c>
      <c r="P71" s="1">
        <f t="shared" si="11"/>
        <v>9.4588913578764033E-2</v>
      </c>
      <c r="Q71" t="str">
        <f t="shared" si="12"/>
        <v>High CTR</v>
      </c>
      <c r="R71" t="str">
        <f t="shared" si="13"/>
        <v>High</v>
      </c>
      <c r="S71" t="str">
        <f t="shared" si="14"/>
        <v>Afternoon</v>
      </c>
      <c r="T71">
        <f t="shared" si="15"/>
        <v>3</v>
      </c>
    </row>
    <row r="72" spans="1:20" x14ac:dyDescent="0.3">
      <c r="A72" t="s">
        <v>224</v>
      </c>
      <c r="B72" t="s">
        <v>225</v>
      </c>
      <c r="C72" s="2">
        <v>7076</v>
      </c>
      <c r="D72" s="2">
        <v>3721</v>
      </c>
      <c r="E72" s="2">
        <v>775</v>
      </c>
      <c r="F72" s="18">
        <v>26.12</v>
      </c>
      <c r="G72">
        <v>3316</v>
      </c>
      <c r="H72">
        <v>79256</v>
      </c>
      <c r="I72" s="1">
        <v>9.11</v>
      </c>
      <c r="J72" t="s">
        <v>16</v>
      </c>
      <c r="K72" s="4" t="s">
        <v>988</v>
      </c>
      <c r="L72" t="s">
        <v>226</v>
      </c>
      <c r="M72" s="1">
        <f t="shared" si="8"/>
        <v>0.26119999999999999</v>
      </c>
      <c r="N72" s="1">
        <f t="shared" si="9"/>
        <v>9.11E-2</v>
      </c>
      <c r="O72" s="3">
        <f t="shared" si="10"/>
        <v>11572</v>
      </c>
      <c r="P72" s="1">
        <f t="shared" si="11"/>
        <v>0.14600787322095488</v>
      </c>
      <c r="Q72" t="str">
        <f t="shared" si="12"/>
        <v>High CTR</v>
      </c>
      <c r="R72" t="str">
        <f t="shared" si="13"/>
        <v>High</v>
      </c>
      <c r="S72" t="str">
        <f t="shared" si="14"/>
        <v>Morning</v>
      </c>
      <c r="T72">
        <f t="shared" si="15"/>
        <v>3</v>
      </c>
    </row>
    <row r="73" spans="1:20" x14ac:dyDescent="0.3">
      <c r="A73" t="s">
        <v>227</v>
      </c>
      <c r="B73" t="s">
        <v>228</v>
      </c>
      <c r="C73" s="2">
        <v>8667</v>
      </c>
      <c r="D73" s="2">
        <v>4659</v>
      </c>
      <c r="E73" s="2">
        <v>222</v>
      </c>
      <c r="F73" s="18">
        <v>29.22</v>
      </c>
      <c r="G73">
        <v>73362</v>
      </c>
      <c r="H73">
        <v>87835</v>
      </c>
      <c r="I73" s="1">
        <v>7.53</v>
      </c>
      <c r="J73" t="s">
        <v>42</v>
      </c>
      <c r="K73" s="4" t="s">
        <v>989</v>
      </c>
      <c r="L73" t="s">
        <v>229</v>
      </c>
      <c r="M73" s="1">
        <f t="shared" si="8"/>
        <v>0.29220000000000002</v>
      </c>
      <c r="N73" s="1">
        <f t="shared" si="9"/>
        <v>7.5300000000000006E-2</v>
      </c>
      <c r="O73" s="3">
        <f t="shared" si="10"/>
        <v>13548</v>
      </c>
      <c r="P73" s="1">
        <f t="shared" si="11"/>
        <v>0.15424375249046507</v>
      </c>
      <c r="Q73" t="str">
        <f t="shared" si="12"/>
        <v>High CTR</v>
      </c>
      <c r="R73" t="str">
        <f t="shared" si="13"/>
        <v>High</v>
      </c>
      <c r="S73" t="str">
        <f t="shared" si="14"/>
        <v>Afternoon</v>
      </c>
      <c r="T73">
        <f t="shared" si="15"/>
        <v>3</v>
      </c>
    </row>
    <row r="74" spans="1:20" x14ac:dyDescent="0.3">
      <c r="A74" t="s">
        <v>230</v>
      </c>
      <c r="B74" t="s">
        <v>231</v>
      </c>
      <c r="C74" s="2">
        <v>5517</v>
      </c>
      <c r="D74" s="2">
        <v>3317</v>
      </c>
      <c r="E74" s="2">
        <v>1629</v>
      </c>
      <c r="F74" s="18">
        <v>81.040000000000006</v>
      </c>
      <c r="G74">
        <v>35082</v>
      </c>
      <c r="H74">
        <v>71686</v>
      </c>
      <c r="I74" s="1">
        <v>6.3</v>
      </c>
      <c r="J74" t="s">
        <v>16</v>
      </c>
      <c r="K74" s="4" t="s">
        <v>990</v>
      </c>
      <c r="L74" t="s">
        <v>232</v>
      </c>
      <c r="M74" s="1">
        <f t="shared" si="8"/>
        <v>0.81040000000000001</v>
      </c>
      <c r="N74" s="1">
        <f t="shared" si="9"/>
        <v>6.3E-2</v>
      </c>
      <c r="O74" s="3">
        <f t="shared" si="10"/>
        <v>10463</v>
      </c>
      <c r="P74" s="1">
        <f t="shared" si="11"/>
        <v>0.14595597466729907</v>
      </c>
      <c r="Q74" t="str">
        <f t="shared" si="12"/>
        <v>High CTR</v>
      </c>
      <c r="R74" t="str">
        <f t="shared" si="13"/>
        <v>High</v>
      </c>
      <c r="S74" t="str">
        <f t="shared" si="14"/>
        <v>Morning</v>
      </c>
      <c r="T74">
        <f t="shared" si="15"/>
        <v>3</v>
      </c>
    </row>
    <row r="75" spans="1:20" x14ac:dyDescent="0.3">
      <c r="A75" t="s">
        <v>233</v>
      </c>
      <c r="B75" t="s">
        <v>234</v>
      </c>
      <c r="C75" s="2">
        <v>602</v>
      </c>
      <c r="D75" s="2">
        <v>3325</v>
      </c>
      <c r="E75" s="2">
        <v>1378</v>
      </c>
      <c r="F75" s="18">
        <v>97.5</v>
      </c>
      <c r="G75">
        <v>2480</v>
      </c>
      <c r="H75">
        <v>36321</v>
      </c>
      <c r="I75" s="1">
        <v>8.34</v>
      </c>
      <c r="J75" t="s">
        <v>12</v>
      </c>
      <c r="K75" s="4" t="s">
        <v>991</v>
      </c>
      <c r="L75" t="s">
        <v>235</v>
      </c>
      <c r="M75" s="1">
        <f t="shared" si="8"/>
        <v>0.97499999999999998</v>
      </c>
      <c r="N75" s="1">
        <f t="shared" si="9"/>
        <v>8.3400000000000002E-2</v>
      </c>
      <c r="O75" s="3">
        <f t="shared" si="10"/>
        <v>5305</v>
      </c>
      <c r="P75" s="1">
        <f t="shared" si="11"/>
        <v>0.14605875388893477</v>
      </c>
      <c r="Q75" t="str">
        <f t="shared" si="12"/>
        <v>High CTR</v>
      </c>
      <c r="R75" t="str">
        <f t="shared" si="13"/>
        <v>High</v>
      </c>
      <c r="S75" t="str">
        <f t="shared" si="14"/>
        <v>Evening</v>
      </c>
      <c r="T75">
        <f t="shared" si="15"/>
        <v>3</v>
      </c>
    </row>
    <row r="76" spans="1:20" x14ac:dyDescent="0.3">
      <c r="A76" t="s">
        <v>236</v>
      </c>
      <c r="B76" t="s">
        <v>237</v>
      </c>
      <c r="C76" s="2">
        <v>9150</v>
      </c>
      <c r="D76" s="2">
        <v>923</v>
      </c>
      <c r="E76" s="2">
        <v>1938</v>
      </c>
      <c r="F76" s="18">
        <v>15.72</v>
      </c>
      <c r="G76">
        <v>8652</v>
      </c>
      <c r="H76">
        <v>49195</v>
      </c>
      <c r="I76" s="1">
        <v>3.78</v>
      </c>
      <c r="J76" t="s">
        <v>20</v>
      </c>
      <c r="K76" s="4" t="s">
        <v>992</v>
      </c>
      <c r="L76" t="s">
        <v>238</v>
      </c>
      <c r="M76" s="1">
        <f t="shared" si="8"/>
        <v>0.15720000000000001</v>
      </c>
      <c r="N76" s="1">
        <f t="shared" si="9"/>
        <v>3.78E-2</v>
      </c>
      <c r="O76" s="3">
        <f t="shared" si="10"/>
        <v>12011</v>
      </c>
      <c r="P76" s="1">
        <f t="shared" si="11"/>
        <v>0.24415082833621302</v>
      </c>
      <c r="Q76" t="str">
        <f t="shared" si="12"/>
        <v>High CTR</v>
      </c>
      <c r="R76" t="str">
        <f t="shared" si="13"/>
        <v>High</v>
      </c>
      <c r="S76" t="str">
        <f t="shared" si="14"/>
        <v>Evening</v>
      </c>
      <c r="T76">
        <f t="shared" si="15"/>
        <v>3</v>
      </c>
    </row>
    <row r="77" spans="1:20" x14ac:dyDescent="0.3">
      <c r="A77" t="s">
        <v>239</v>
      </c>
      <c r="B77" t="s">
        <v>240</v>
      </c>
      <c r="C77" s="2">
        <v>3461</v>
      </c>
      <c r="D77" s="2">
        <v>2000</v>
      </c>
      <c r="E77" s="2">
        <v>1629</v>
      </c>
      <c r="F77" s="18">
        <v>40.06</v>
      </c>
      <c r="G77">
        <v>92139</v>
      </c>
      <c r="H77">
        <v>49340</v>
      </c>
      <c r="I77" s="1">
        <v>8.91</v>
      </c>
      <c r="J77" t="s">
        <v>20</v>
      </c>
      <c r="K77" s="4" t="s">
        <v>993</v>
      </c>
      <c r="L77" t="s">
        <v>241</v>
      </c>
      <c r="M77" s="1">
        <f t="shared" si="8"/>
        <v>0.40060000000000001</v>
      </c>
      <c r="N77" s="1">
        <f t="shared" si="9"/>
        <v>8.9099999999999999E-2</v>
      </c>
      <c r="O77" s="3">
        <f t="shared" si="10"/>
        <v>7090</v>
      </c>
      <c r="P77" s="1">
        <f t="shared" si="11"/>
        <v>0.14369679773003649</v>
      </c>
      <c r="Q77" t="str">
        <f t="shared" si="12"/>
        <v>High CTR</v>
      </c>
      <c r="R77" t="str">
        <f t="shared" si="13"/>
        <v>High</v>
      </c>
      <c r="S77" t="str">
        <f t="shared" si="14"/>
        <v>Evening</v>
      </c>
      <c r="T77">
        <f t="shared" si="15"/>
        <v>3</v>
      </c>
    </row>
    <row r="78" spans="1:20" x14ac:dyDescent="0.3">
      <c r="A78" t="s">
        <v>242</v>
      </c>
      <c r="B78" t="s">
        <v>243</v>
      </c>
      <c r="C78" s="2">
        <v>5268</v>
      </c>
      <c r="D78" s="2">
        <v>3213</v>
      </c>
      <c r="E78" s="2">
        <v>82</v>
      </c>
      <c r="F78" s="18">
        <v>68.69</v>
      </c>
      <c r="G78">
        <v>47249</v>
      </c>
      <c r="H78">
        <v>83097</v>
      </c>
      <c r="I78" s="1">
        <v>5.13</v>
      </c>
      <c r="J78" t="s">
        <v>16</v>
      </c>
      <c r="K78" s="4" t="s">
        <v>994</v>
      </c>
      <c r="L78" t="s">
        <v>244</v>
      </c>
      <c r="M78" s="1">
        <f t="shared" si="8"/>
        <v>0.68689999999999996</v>
      </c>
      <c r="N78" s="1">
        <f t="shared" si="9"/>
        <v>5.1299999999999998E-2</v>
      </c>
      <c r="O78" s="3">
        <f t="shared" si="10"/>
        <v>8563</v>
      </c>
      <c r="P78" s="1">
        <f t="shared" si="11"/>
        <v>0.10304824482231609</v>
      </c>
      <c r="Q78" t="str">
        <f t="shared" si="12"/>
        <v>High CTR</v>
      </c>
      <c r="R78" t="str">
        <f t="shared" si="13"/>
        <v>High</v>
      </c>
      <c r="S78" t="str">
        <f t="shared" si="14"/>
        <v>Afternoon</v>
      </c>
      <c r="T78">
        <f t="shared" si="15"/>
        <v>3</v>
      </c>
    </row>
    <row r="79" spans="1:20" x14ac:dyDescent="0.3">
      <c r="A79" t="s">
        <v>245</v>
      </c>
      <c r="B79" t="s">
        <v>246</v>
      </c>
      <c r="C79" s="2">
        <v>7568</v>
      </c>
      <c r="D79" s="2">
        <v>702</v>
      </c>
      <c r="E79" s="2">
        <v>1902</v>
      </c>
      <c r="F79" s="18">
        <v>39.590000000000003</v>
      </c>
      <c r="G79">
        <v>49045</v>
      </c>
      <c r="H79">
        <v>43783</v>
      </c>
      <c r="I79" s="1">
        <v>6.7</v>
      </c>
      <c r="J79" t="s">
        <v>12</v>
      </c>
      <c r="K79" s="4" t="s">
        <v>995</v>
      </c>
      <c r="L79" t="s">
        <v>247</v>
      </c>
      <c r="M79" s="1">
        <f t="shared" si="8"/>
        <v>0.39590000000000003</v>
      </c>
      <c r="N79" s="1">
        <f t="shared" si="9"/>
        <v>6.7000000000000004E-2</v>
      </c>
      <c r="O79" s="3">
        <f t="shared" si="10"/>
        <v>10172</v>
      </c>
      <c r="P79" s="1">
        <f t="shared" si="11"/>
        <v>0.23232761574126945</v>
      </c>
      <c r="Q79" t="str">
        <f t="shared" si="12"/>
        <v>High CTR</v>
      </c>
      <c r="R79" t="str">
        <f t="shared" si="13"/>
        <v>High</v>
      </c>
      <c r="S79" t="str">
        <f t="shared" si="14"/>
        <v>Morning</v>
      </c>
      <c r="T79">
        <f t="shared" si="15"/>
        <v>3</v>
      </c>
    </row>
    <row r="80" spans="1:20" x14ac:dyDescent="0.3">
      <c r="A80" t="s">
        <v>248</v>
      </c>
      <c r="B80" t="s">
        <v>249</v>
      </c>
      <c r="C80" s="2">
        <v>9439</v>
      </c>
      <c r="D80" s="2">
        <v>70</v>
      </c>
      <c r="E80" s="2">
        <v>1991</v>
      </c>
      <c r="F80" s="18">
        <v>26</v>
      </c>
      <c r="G80">
        <v>62277</v>
      </c>
      <c r="H80">
        <v>82850</v>
      </c>
      <c r="I80" s="1">
        <v>1.34</v>
      </c>
      <c r="J80" t="s">
        <v>20</v>
      </c>
      <c r="K80" s="4" t="s">
        <v>996</v>
      </c>
      <c r="L80" t="s">
        <v>250</v>
      </c>
      <c r="M80" s="1">
        <f t="shared" si="8"/>
        <v>0.26</v>
      </c>
      <c r="N80" s="1">
        <f t="shared" si="9"/>
        <v>1.34E-2</v>
      </c>
      <c r="O80" s="3">
        <f t="shared" si="10"/>
        <v>11500</v>
      </c>
      <c r="P80" s="1">
        <f t="shared" si="11"/>
        <v>0.1388050694025347</v>
      </c>
      <c r="Q80" t="str">
        <f t="shared" si="12"/>
        <v>High CTR</v>
      </c>
      <c r="R80" t="str">
        <f t="shared" si="13"/>
        <v>High</v>
      </c>
      <c r="S80" t="str">
        <f t="shared" si="14"/>
        <v>Morning</v>
      </c>
      <c r="T80">
        <f t="shared" si="15"/>
        <v>3</v>
      </c>
    </row>
    <row r="81" spans="1:20" x14ac:dyDescent="0.3">
      <c r="A81" t="s">
        <v>251</v>
      </c>
      <c r="B81" t="s">
        <v>252</v>
      </c>
      <c r="C81" s="2">
        <v>3583</v>
      </c>
      <c r="D81" s="2">
        <v>2614</v>
      </c>
      <c r="E81" s="2">
        <v>204</v>
      </c>
      <c r="F81" s="18">
        <v>94.59</v>
      </c>
      <c r="G81">
        <v>90859</v>
      </c>
      <c r="H81">
        <v>67298</v>
      </c>
      <c r="I81" s="1">
        <v>8.7100000000000009</v>
      </c>
      <c r="J81" t="s">
        <v>20</v>
      </c>
      <c r="K81" s="4" t="s">
        <v>997</v>
      </c>
      <c r="L81" t="s">
        <v>253</v>
      </c>
      <c r="M81" s="1">
        <f t="shared" si="8"/>
        <v>0.94590000000000007</v>
      </c>
      <c r="N81" s="1">
        <f t="shared" si="9"/>
        <v>8.7100000000000011E-2</v>
      </c>
      <c r="O81" s="3">
        <f t="shared" si="10"/>
        <v>6401</v>
      </c>
      <c r="P81" s="1">
        <f t="shared" si="11"/>
        <v>9.51142678831466E-2</v>
      </c>
      <c r="Q81" t="str">
        <f t="shared" si="12"/>
        <v>High CTR</v>
      </c>
      <c r="R81" t="str">
        <f t="shared" si="13"/>
        <v>High</v>
      </c>
      <c r="S81" t="str">
        <f t="shared" si="14"/>
        <v>Afternoon</v>
      </c>
      <c r="T81">
        <f t="shared" si="15"/>
        <v>3</v>
      </c>
    </row>
    <row r="82" spans="1:20" x14ac:dyDescent="0.3">
      <c r="A82" t="s">
        <v>254</v>
      </c>
      <c r="B82" t="s">
        <v>255</v>
      </c>
      <c r="C82" s="2">
        <v>2821</v>
      </c>
      <c r="D82" s="2">
        <v>2985</v>
      </c>
      <c r="E82" s="2">
        <v>286</v>
      </c>
      <c r="F82" s="18">
        <v>70.62</v>
      </c>
      <c r="G82">
        <v>32368</v>
      </c>
      <c r="H82">
        <v>12941</v>
      </c>
      <c r="I82" s="1">
        <v>4.54</v>
      </c>
      <c r="J82" t="s">
        <v>16</v>
      </c>
      <c r="K82" s="4" t="s">
        <v>998</v>
      </c>
      <c r="L82" t="s">
        <v>256</v>
      </c>
      <c r="M82" s="1">
        <f t="shared" si="8"/>
        <v>0.70620000000000005</v>
      </c>
      <c r="N82" s="1">
        <f t="shared" si="9"/>
        <v>4.5400000000000003E-2</v>
      </c>
      <c r="O82" s="3">
        <f t="shared" si="10"/>
        <v>6092</v>
      </c>
      <c r="P82" s="1">
        <f t="shared" si="11"/>
        <v>0.47075187388918938</v>
      </c>
      <c r="Q82" t="str">
        <f t="shared" si="12"/>
        <v>High CTR</v>
      </c>
      <c r="R82" t="str">
        <f t="shared" si="13"/>
        <v>High</v>
      </c>
      <c r="S82" t="str">
        <f t="shared" si="14"/>
        <v>Afternoon</v>
      </c>
      <c r="T82">
        <f t="shared" si="15"/>
        <v>3</v>
      </c>
    </row>
    <row r="83" spans="1:20" x14ac:dyDescent="0.3">
      <c r="A83" t="s">
        <v>257</v>
      </c>
      <c r="B83" t="s">
        <v>258</v>
      </c>
      <c r="C83" s="2">
        <v>3048</v>
      </c>
      <c r="D83" s="2">
        <v>264</v>
      </c>
      <c r="E83" s="2">
        <v>1071</v>
      </c>
      <c r="F83" s="18">
        <v>24.42</v>
      </c>
      <c r="G83">
        <v>52404</v>
      </c>
      <c r="H83">
        <v>4977</v>
      </c>
      <c r="I83" s="1">
        <v>7.7</v>
      </c>
      <c r="J83" t="s">
        <v>12</v>
      </c>
      <c r="K83" s="4" t="s">
        <v>999</v>
      </c>
      <c r="L83" t="s">
        <v>259</v>
      </c>
      <c r="M83" s="1">
        <f t="shared" si="8"/>
        <v>0.24420000000000003</v>
      </c>
      <c r="N83" s="1">
        <f t="shared" si="9"/>
        <v>7.6999999999999999E-2</v>
      </c>
      <c r="O83" s="3">
        <f t="shared" si="10"/>
        <v>4383</v>
      </c>
      <c r="P83" s="1">
        <f t="shared" si="11"/>
        <v>0.88065099457504525</v>
      </c>
      <c r="Q83" t="str">
        <f t="shared" si="12"/>
        <v>High CTR</v>
      </c>
      <c r="R83" t="str">
        <f t="shared" si="13"/>
        <v>High</v>
      </c>
      <c r="S83" t="str">
        <f t="shared" si="14"/>
        <v>Morning</v>
      </c>
      <c r="T83">
        <f t="shared" si="15"/>
        <v>3</v>
      </c>
    </row>
    <row r="84" spans="1:20" x14ac:dyDescent="0.3">
      <c r="A84" t="s">
        <v>260</v>
      </c>
      <c r="B84" t="s">
        <v>261</v>
      </c>
      <c r="C84" s="2">
        <v>4727</v>
      </c>
      <c r="D84" s="2">
        <v>1101</v>
      </c>
      <c r="E84" s="2">
        <v>955</v>
      </c>
      <c r="F84" s="18">
        <v>20.07</v>
      </c>
      <c r="G84">
        <v>93207</v>
      </c>
      <c r="H84">
        <v>720</v>
      </c>
      <c r="I84" s="1">
        <v>9.51</v>
      </c>
      <c r="J84" t="s">
        <v>12</v>
      </c>
      <c r="K84" s="4" t="s">
        <v>1000</v>
      </c>
      <c r="L84" t="s">
        <v>262</v>
      </c>
      <c r="M84" s="1">
        <f t="shared" si="8"/>
        <v>0.20069999999999999</v>
      </c>
      <c r="N84" s="1">
        <f t="shared" si="9"/>
        <v>9.5100000000000004E-2</v>
      </c>
      <c r="O84" s="3">
        <f t="shared" si="10"/>
        <v>6783</v>
      </c>
      <c r="P84" s="1">
        <f t="shared" si="11"/>
        <v>1</v>
      </c>
      <c r="Q84" t="str">
        <f t="shared" si="12"/>
        <v>High CTR</v>
      </c>
      <c r="R84" t="str">
        <f t="shared" si="13"/>
        <v>High</v>
      </c>
      <c r="S84" t="str">
        <f t="shared" si="14"/>
        <v>Afternoon</v>
      </c>
      <c r="T84">
        <f t="shared" si="15"/>
        <v>3</v>
      </c>
    </row>
    <row r="85" spans="1:20" x14ac:dyDescent="0.3">
      <c r="A85" t="s">
        <v>263</v>
      </c>
      <c r="B85" t="s">
        <v>264</v>
      </c>
      <c r="C85" s="2">
        <v>1789</v>
      </c>
      <c r="D85" s="2">
        <v>2811</v>
      </c>
      <c r="E85" s="2">
        <v>189</v>
      </c>
      <c r="F85" s="18">
        <v>47.45</v>
      </c>
      <c r="G85">
        <v>98331</v>
      </c>
      <c r="H85">
        <v>26899</v>
      </c>
      <c r="I85" s="1">
        <v>7.31</v>
      </c>
      <c r="J85" t="s">
        <v>20</v>
      </c>
      <c r="K85" s="4" t="s">
        <v>1001</v>
      </c>
      <c r="L85" t="s">
        <v>265</v>
      </c>
      <c r="M85" s="1">
        <f t="shared" si="8"/>
        <v>0.47450000000000003</v>
      </c>
      <c r="N85" s="1">
        <f t="shared" si="9"/>
        <v>7.3099999999999998E-2</v>
      </c>
      <c r="O85" s="3">
        <f t="shared" si="10"/>
        <v>4789</v>
      </c>
      <c r="P85" s="1">
        <f t="shared" si="11"/>
        <v>0.17803635822893044</v>
      </c>
      <c r="Q85" t="str">
        <f t="shared" si="12"/>
        <v>High CTR</v>
      </c>
      <c r="R85" t="str">
        <f t="shared" si="13"/>
        <v>High</v>
      </c>
      <c r="S85" t="str">
        <f t="shared" si="14"/>
        <v>Morning</v>
      </c>
      <c r="T85">
        <f t="shared" si="15"/>
        <v>3</v>
      </c>
    </row>
    <row r="86" spans="1:20" x14ac:dyDescent="0.3">
      <c r="A86" t="s">
        <v>266</v>
      </c>
      <c r="B86" t="s">
        <v>267</v>
      </c>
      <c r="C86" s="2">
        <v>9044</v>
      </c>
      <c r="D86" s="2">
        <v>2270</v>
      </c>
      <c r="E86" s="2">
        <v>1186</v>
      </c>
      <c r="F86" s="18">
        <v>58.57</v>
      </c>
      <c r="G86">
        <v>47548</v>
      </c>
      <c r="H86">
        <v>26322</v>
      </c>
      <c r="I86" s="1">
        <v>8.1300000000000008</v>
      </c>
      <c r="J86" t="s">
        <v>42</v>
      </c>
      <c r="K86" s="4" t="s">
        <v>1002</v>
      </c>
      <c r="L86" t="s">
        <v>268</v>
      </c>
      <c r="M86" s="1">
        <f t="shared" si="8"/>
        <v>0.5857</v>
      </c>
      <c r="N86" s="1">
        <f t="shared" si="9"/>
        <v>8.1300000000000011E-2</v>
      </c>
      <c r="O86" s="3">
        <f t="shared" si="10"/>
        <v>12500</v>
      </c>
      <c r="P86" s="1">
        <f t="shared" si="11"/>
        <v>0.47488792644935796</v>
      </c>
      <c r="Q86" t="str">
        <f t="shared" si="12"/>
        <v>High CTR</v>
      </c>
      <c r="R86" t="str">
        <f t="shared" si="13"/>
        <v>High</v>
      </c>
      <c r="S86" t="str">
        <f t="shared" si="14"/>
        <v>Afternoon</v>
      </c>
      <c r="T86">
        <f t="shared" si="15"/>
        <v>3</v>
      </c>
    </row>
    <row r="87" spans="1:20" x14ac:dyDescent="0.3">
      <c r="A87" t="s">
        <v>269</v>
      </c>
      <c r="B87" t="s">
        <v>270</v>
      </c>
      <c r="C87" s="2">
        <v>1687</v>
      </c>
      <c r="D87" s="2">
        <v>4560</v>
      </c>
      <c r="E87" s="2">
        <v>1797</v>
      </c>
      <c r="F87" s="18">
        <v>34.58</v>
      </c>
      <c r="G87">
        <v>97067</v>
      </c>
      <c r="H87">
        <v>92674</v>
      </c>
      <c r="I87" s="1">
        <v>8.14</v>
      </c>
      <c r="J87" t="s">
        <v>20</v>
      </c>
      <c r="K87" s="4" t="s">
        <v>1003</v>
      </c>
      <c r="L87" t="s">
        <v>271</v>
      </c>
      <c r="M87" s="1">
        <f t="shared" si="8"/>
        <v>0.3458</v>
      </c>
      <c r="N87" s="1">
        <f t="shared" si="9"/>
        <v>8.14E-2</v>
      </c>
      <c r="O87" s="3">
        <f t="shared" si="10"/>
        <v>8044</v>
      </c>
      <c r="P87" s="1">
        <f t="shared" si="11"/>
        <v>8.6798886419060362E-2</v>
      </c>
      <c r="Q87" t="str">
        <f t="shared" si="12"/>
        <v>High CTR</v>
      </c>
      <c r="R87" t="str">
        <f t="shared" si="13"/>
        <v>High</v>
      </c>
      <c r="S87" t="str">
        <f t="shared" si="14"/>
        <v>Evening</v>
      </c>
      <c r="T87">
        <f t="shared" si="15"/>
        <v>3</v>
      </c>
    </row>
    <row r="88" spans="1:20" x14ac:dyDescent="0.3">
      <c r="A88" t="s">
        <v>272</v>
      </c>
      <c r="B88" t="s">
        <v>273</v>
      </c>
      <c r="C88" s="2">
        <v>6654</v>
      </c>
      <c r="D88" s="2">
        <v>4904</v>
      </c>
      <c r="E88" s="2">
        <v>1902</v>
      </c>
      <c r="F88" s="18">
        <v>2.78</v>
      </c>
      <c r="G88">
        <v>95454</v>
      </c>
      <c r="H88">
        <v>83486</v>
      </c>
      <c r="I88" s="1">
        <v>2.31</v>
      </c>
      <c r="J88" t="s">
        <v>16</v>
      </c>
      <c r="K88" s="4" t="s">
        <v>1004</v>
      </c>
      <c r="L88" t="s">
        <v>274</v>
      </c>
      <c r="M88" s="1">
        <f t="shared" si="8"/>
        <v>2.7799999999999998E-2</v>
      </c>
      <c r="N88" s="1">
        <f t="shared" si="9"/>
        <v>2.3099999999999999E-2</v>
      </c>
      <c r="O88" s="3">
        <f t="shared" si="10"/>
        <v>13460</v>
      </c>
      <c r="P88" s="1">
        <f t="shared" si="11"/>
        <v>0.1612246364659943</v>
      </c>
      <c r="Q88" t="str">
        <f t="shared" si="12"/>
        <v>High CTR</v>
      </c>
      <c r="R88" t="str">
        <f t="shared" si="13"/>
        <v>High</v>
      </c>
      <c r="S88" t="str">
        <f t="shared" si="14"/>
        <v>Afternoon</v>
      </c>
      <c r="T88">
        <f t="shared" si="15"/>
        <v>3</v>
      </c>
    </row>
    <row r="89" spans="1:20" x14ac:dyDescent="0.3">
      <c r="A89" t="s">
        <v>275</v>
      </c>
      <c r="B89" t="s">
        <v>276</v>
      </c>
      <c r="C89" s="2">
        <v>5037</v>
      </c>
      <c r="D89" s="2">
        <v>1062</v>
      </c>
      <c r="E89" s="2">
        <v>1503</v>
      </c>
      <c r="F89" s="18">
        <v>42.56</v>
      </c>
      <c r="G89">
        <v>60545</v>
      </c>
      <c r="H89">
        <v>56487</v>
      </c>
      <c r="I89" s="1">
        <v>4.71</v>
      </c>
      <c r="J89" t="s">
        <v>42</v>
      </c>
      <c r="K89" s="4" t="s">
        <v>1005</v>
      </c>
      <c r="L89" t="s">
        <v>277</v>
      </c>
      <c r="M89" s="1">
        <f t="shared" si="8"/>
        <v>0.42560000000000003</v>
      </c>
      <c r="N89" s="1">
        <f t="shared" si="9"/>
        <v>4.7100000000000003E-2</v>
      </c>
      <c r="O89" s="3">
        <f t="shared" si="10"/>
        <v>7602</v>
      </c>
      <c r="P89" s="1">
        <f t="shared" si="11"/>
        <v>0.13457963779276647</v>
      </c>
      <c r="Q89" t="str">
        <f t="shared" si="12"/>
        <v>High CTR</v>
      </c>
      <c r="R89" t="str">
        <f t="shared" si="13"/>
        <v>High</v>
      </c>
      <c r="S89" t="str">
        <f t="shared" si="14"/>
        <v>Morning</v>
      </c>
      <c r="T89">
        <f t="shared" si="15"/>
        <v>3</v>
      </c>
    </row>
    <row r="90" spans="1:20" x14ac:dyDescent="0.3">
      <c r="A90" t="s">
        <v>278</v>
      </c>
      <c r="B90" t="s">
        <v>279</v>
      </c>
      <c r="C90" s="2">
        <v>7103</v>
      </c>
      <c r="D90" s="2">
        <v>2117</v>
      </c>
      <c r="E90" s="2">
        <v>722</v>
      </c>
      <c r="F90" s="18">
        <v>46.58</v>
      </c>
      <c r="G90">
        <v>67168</v>
      </c>
      <c r="H90">
        <v>129</v>
      </c>
      <c r="I90" s="1">
        <v>5.33</v>
      </c>
      <c r="J90" t="s">
        <v>12</v>
      </c>
      <c r="K90" s="4" t="s">
        <v>1006</v>
      </c>
      <c r="L90" t="s">
        <v>280</v>
      </c>
      <c r="M90" s="1">
        <f t="shared" si="8"/>
        <v>0.46579999999999999</v>
      </c>
      <c r="N90" s="1">
        <f t="shared" si="9"/>
        <v>5.33E-2</v>
      </c>
      <c r="O90" s="3">
        <f t="shared" si="10"/>
        <v>9942</v>
      </c>
      <c r="P90" s="1">
        <f t="shared" si="11"/>
        <v>1</v>
      </c>
      <c r="Q90" t="str">
        <f t="shared" si="12"/>
        <v>High CTR</v>
      </c>
      <c r="R90" t="str">
        <f t="shared" si="13"/>
        <v>High</v>
      </c>
      <c r="S90" t="str">
        <f t="shared" si="14"/>
        <v>Morning</v>
      </c>
      <c r="T90">
        <f t="shared" si="15"/>
        <v>3</v>
      </c>
    </row>
    <row r="91" spans="1:20" x14ac:dyDescent="0.3">
      <c r="A91" t="s">
        <v>281</v>
      </c>
      <c r="B91" t="s">
        <v>282</v>
      </c>
      <c r="C91" s="2">
        <v>6656</v>
      </c>
      <c r="D91" s="2">
        <v>4230</v>
      </c>
      <c r="E91" s="2">
        <v>1568</v>
      </c>
      <c r="F91" s="18">
        <v>3.49</v>
      </c>
      <c r="G91">
        <v>58449</v>
      </c>
      <c r="H91">
        <v>22641</v>
      </c>
      <c r="I91" s="1">
        <v>7.45</v>
      </c>
      <c r="J91" t="s">
        <v>16</v>
      </c>
      <c r="K91" s="4" t="s">
        <v>1007</v>
      </c>
      <c r="L91" t="s">
        <v>283</v>
      </c>
      <c r="M91" s="1">
        <f t="shared" si="8"/>
        <v>3.49E-2</v>
      </c>
      <c r="N91" s="1">
        <f t="shared" si="9"/>
        <v>7.4499999999999997E-2</v>
      </c>
      <c r="O91" s="3">
        <f t="shared" si="10"/>
        <v>12454</v>
      </c>
      <c r="P91" s="1">
        <f t="shared" si="11"/>
        <v>0.55006404310763657</v>
      </c>
      <c r="Q91" t="str">
        <f t="shared" si="12"/>
        <v>High CTR</v>
      </c>
      <c r="R91" t="str">
        <f t="shared" si="13"/>
        <v>High</v>
      </c>
      <c r="S91" t="str">
        <f t="shared" si="14"/>
        <v>Morning</v>
      </c>
      <c r="T91">
        <f t="shared" si="15"/>
        <v>3</v>
      </c>
    </row>
    <row r="92" spans="1:20" x14ac:dyDescent="0.3">
      <c r="A92" t="s">
        <v>284</v>
      </c>
      <c r="B92" t="s">
        <v>285</v>
      </c>
      <c r="C92" s="2">
        <v>7774</v>
      </c>
      <c r="D92" s="2">
        <v>3054</v>
      </c>
      <c r="E92" s="2">
        <v>1911</v>
      </c>
      <c r="F92" s="18">
        <v>58.15</v>
      </c>
      <c r="G92">
        <v>30927</v>
      </c>
      <c r="H92">
        <v>10061</v>
      </c>
      <c r="I92" s="1">
        <v>5.8</v>
      </c>
      <c r="J92" t="s">
        <v>16</v>
      </c>
      <c r="K92" s="4" t="s">
        <v>1008</v>
      </c>
      <c r="L92" t="s">
        <v>286</v>
      </c>
      <c r="M92" s="1">
        <f t="shared" si="8"/>
        <v>0.58150000000000002</v>
      </c>
      <c r="N92" s="1">
        <f t="shared" si="9"/>
        <v>5.7999999999999996E-2</v>
      </c>
      <c r="O92" s="3">
        <f t="shared" si="10"/>
        <v>12739</v>
      </c>
      <c r="P92" s="1">
        <f t="shared" si="11"/>
        <v>1</v>
      </c>
      <c r="Q92" t="str">
        <f t="shared" si="12"/>
        <v>High CTR</v>
      </c>
      <c r="R92" t="str">
        <f t="shared" si="13"/>
        <v>High</v>
      </c>
      <c r="S92" t="str">
        <f t="shared" si="14"/>
        <v>Afternoon</v>
      </c>
      <c r="T92">
        <f t="shared" si="15"/>
        <v>3</v>
      </c>
    </row>
    <row r="93" spans="1:20" x14ac:dyDescent="0.3">
      <c r="A93" t="s">
        <v>287</v>
      </c>
      <c r="B93" t="s">
        <v>288</v>
      </c>
      <c r="C93" s="2">
        <v>2598</v>
      </c>
      <c r="D93" s="2">
        <v>2256</v>
      </c>
      <c r="E93" s="2">
        <v>173</v>
      </c>
      <c r="F93" s="18">
        <v>72.27</v>
      </c>
      <c r="G93">
        <v>22647</v>
      </c>
      <c r="H93">
        <v>73157</v>
      </c>
      <c r="I93" s="1">
        <v>3.9</v>
      </c>
      <c r="J93" t="s">
        <v>16</v>
      </c>
      <c r="K93" s="4" t="s">
        <v>1009</v>
      </c>
      <c r="L93" t="s">
        <v>289</v>
      </c>
      <c r="M93" s="1">
        <f t="shared" si="8"/>
        <v>0.72270000000000001</v>
      </c>
      <c r="N93" s="1">
        <f t="shared" si="9"/>
        <v>3.9E-2</v>
      </c>
      <c r="O93" s="3">
        <f t="shared" si="10"/>
        <v>5027</v>
      </c>
      <c r="P93" s="1">
        <f t="shared" si="11"/>
        <v>6.8715228891288602E-2</v>
      </c>
      <c r="Q93" t="str">
        <f t="shared" si="12"/>
        <v>High CTR</v>
      </c>
      <c r="R93" t="str">
        <f t="shared" si="13"/>
        <v>High</v>
      </c>
      <c r="S93" t="str">
        <f t="shared" si="14"/>
        <v>Morning</v>
      </c>
      <c r="T93">
        <f t="shared" si="15"/>
        <v>3</v>
      </c>
    </row>
    <row r="94" spans="1:20" x14ac:dyDescent="0.3">
      <c r="A94" t="s">
        <v>290</v>
      </c>
      <c r="B94" t="s">
        <v>291</v>
      </c>
      <c r="C94" s="2">
        <v>6470</v>
      </c>
      <c r="D94" s="2">
        <v>1291</v>
      </c>
      <c r="E94" s="2">
        <v>504</v>
      </c>
      <c r="F94" s="18">
        <v>28.59</v>
      </c>
      <c r="G94">
        <v>77700</v>
      </c>
      <c r="H94">
        <v>78884</v>
      </c>
      <c r="I94" s="1">
        <v>8.2100000000000009</v>
      </c>
      <c r="J94" t="s">
        <v>16</v>
      </c>
      <c r="K94" s="4" t="s">
        <v>1010</v>
      </c>
      <c r="L94" t="s">
        <v>292</v>
      </c>
      <c r="M94" s="1">
        <f t="shared" si="8"/>
        <v>0.28589999999999999</v>
      </c>
      <c r="N94" s="1">
        <f t="shared" si="9"/>
        <v>8.2100000000000006E-2</v>
      </c>
      <c r="O94" s="3">
        <f t="shared" si="10"/>
        <v>8265</v>
      </c>
      <c r="P94" s="1">
        <f t="shared" si="11"/>
        <v>0.1047740986765377</v>
      </c>
      <c r="Q94" t="str">
        <f t="shared" si="12"/>
        <v>High CTR</v>
      </c>
      <c r="R94" t="str">
        <f t="shared" si="13"/>
        <v>High</v>
      </c>
      <c r="S94" t="str">
        <f t="shared" si="14"/>
        <v>Morning</v>
      </c>
      <c r="T94">
        <f t="shared" si="15"/>
        <v>3</v>
      </c>
    </row>
    <row r="95" spans="1:20" x14ac:dyDescent="0.3">
      <c r="A95" t="s">
        <v>293</v>
      </c>
      <c r="B95" t="s">
        <v>294</v>
      </c>
      <c r="C95" s="2">
        <v>4435</v>
      </c>
      <c r="D95" s="2">
        <v>2890</v>
      </c>
      <c r="E95" s="2">
        <v>1787</v>
      </c>
      <c r="F95" s="18">
        <v>20.11</v>
      </c>
      <c r="G95">
        <v>15038</v>
      </c>
      <c r="H95">
        <v>78322</v>
      </c>
      <c r="I95" s="1">
        <v>1.01</v>
      </c>
      <c r="J95" t="s">
        <v>42</v>
      </c>
      <c r="K95" s="4" t="s">
        <v>1011</v>
      </c>
      <c r="L95" t="s">
        <v>295</v>
      </c>
      <c r="M95" s="1">
        <f t="shared" si="8"/>
        <v>0.2011</v>
      </c>
      <c r="N95" s="1">
        <f t="shared" si="9"/>
        <v>1.01E-2</v>
      </c>
      <c r="O95" s="3">
        <f t="shared" si="10"/>
        <v>9112</v>
      </c>
      <c r="P95" s="1">
        <f t="shared" si="11"/>
        <v>0.11634023645974312</v>
      </c>
      <c r="Q95" t="str">
        <f t="shared" si="12"/>
        <v>High CTR</v>
      </c>
      <c r="R95" t="str">
        <f t="shared" si="13"/>
        <v>High</v>
      </c>
      <c r="S95" t="str">
        <f t="shared" si="14"/>
        <v>Morning</v>
      </c>
      <c r="T95">
        <f t="shared" si="15"/>
        <v>3</v>
      </c>
    </row>
    <row r="96" spans="1:20" x14ac:dyDescent="0.3">
      <c r="A96" t="s">
        <v>296</v>
      </c>
      <c r="B96" t="s">
        <v>297</v>
      </c>
      <c r="C96" s="2">
        <v>3919</v>
      </c>
      <c r="D96" s="2">
        <v>2352</v>
      </c>
      <c r="E96" s="2">
        <v>386</v>
      </c>
      <c r="F96" s="18">
        <v>19.28</v>
      </c>
      <c r="G96">
        <v>95721</v>
      </c>
      <c r="H96">
        <v>54682</v>
      </c>
      <c r="I96" s="1">
        <v>8.9</v>
      </c>
      <c r="J96" t="s">
        <v>12</v>
      </c>
      <c r="K96" s="4" t="s">
        <v>1012</v>
      </c>
      <c r="L96" t="s">
        <v>298</v>
      </c>
      <c r="M96" s="1">
        <f t="shared" si="8"/>
        <v>0.1928</v>
      </c>
      <c r="N96" s="1">
        <f t="shared" si="9"/>
        <v>8.900000000000001E-2</v>
      </c>
      <c r="O96" s="3">
        <f t="shared" si="10"/>
        <v>6657</v>
      </c>
      <c r="P96" s="1">
        <f t="shared" si="11"/>
        <v>0.1217402435902125</v>
      </c>
      <c r="Q96" t="str">
        <f t="shared" si="12"/>
        <v>High CTR</v>
      </c>
      <c r="R96" t="str">
        <f t="shared" si="13"/>
        <v>High</v>
      </c>
      <c r="S96" t="str">
        <f t="shared" si="14"/>
        <v>Morning</v>
      </c>
      <c r="T96">
        <f t="shared" si="15"/>
        <v>3</v>
      </c>
    </row>
    <row r="97" spans="1:20" x14ac:dyDescent="0.3">
      <c r="A97" t="s">
        <v>299</v>
      </c>
      <c r="B97" t="s">
        <v>300</v>
      </c>
      <c r="C97" s="2">
        <v>4743</v>
      </c>
      <c r="D97" s="2">
        <v>3938</v>
      </c>
      <c r="E97" s="2">
        <v>644</v>
      </c>
      <c r="F97" s="18">
        <v>39.96</v>
      </c>
      <c r="G97">
        <v>8930</v>
      </c>
      <c r="H97">
        <v>16454</v>
      </c>
      <c r="I97" s="1">
        <v>5.89</v>
      </c>
      <c r="J97" t="s">
        <v>16</v>
      </c>
      <c r="K97" s="4" t="s">
        <v>1013</v>
      </c>
      <c r="L97" t="s">
        <v>301</v>
      </c>
      <c r="M97" s="1">
        <f t="shared" si="8"/>
        <v>0.39960000000000001</v>
      </c>
      <c r="N97" s="1">
        <f t="shared" si="9"/>
        <v>5.8899999999999994E-2</v>
      </c>
      <c r="O97" s="3">
        <f t="shared" si="10"/>
        <v>9325</v>
      </c>
      <c r="P97" s="1">
        <f t="shared" si="11"/>
        <v>0.56673149386167498</v>
      </c>
      <c r="Q97" t="str">
        <f t="shared" si="12"/>
        <v>High CTR</v>
      </c>
      <c r="R97" t="str">
        <f t="shared" si="13"/>
        <v>High</v>
      </c>
      <c r="S97" t="str">
        <f t="shared" si="14"/>
        <v>Morning</v>
      </c>
      <c r="T97">
        <f t="shared" si="15"/>
        <v>3</v>
      </c>
    </row>
    <row r="98" spans="1:20" x14ac:dyDescent="0.3">
      <c r="A98" t="s">
        <v>302</v>
      </c>
      <c r="B98" t="s">
        <v>303</v>
      </c>
      <c r="C98" s="2">
        <v>390</v>
      </c>
      <c r="D98" s="2">
        <v>4436</v>
      </c>
      <c r="E98" s="2">
        <v>873</v>
      </c>
      <c r="F98" s="18">
        <v>47.94</v>
      </c>
      <c r="G98">
        <v>94020</v>
      </c>
      <c r="H98">
        <v>99250</v>
      </c>
      <c r="I98" s="1">
        <v>5.34</v>
      </c>
      <c r="J98" t="s">
        <v>42</v>
      </c>
      <c r="K98" s="4" t="s">
        <v>1014</v>
      </c>
      <c r="L98" t="s">
        <v>304</v>
      </c>
      <c r="M98" s="1">
        <f t="shared" si="8"/>
        <v>0.47939999999999999</v>
      </c>
      <c r="N98" s="1">
        <f t="shared" si="9"/>
        <v>5.3399999999999996E-2</v>
      </c>
      <c r="O98" s="3">
        <f t="shared" si="10"/>
        <v>5699</v>
      </c>
      <c r="P98" s="1">
        <f t="shared" si="11"/>
        <v>5.7420654911838793E-2</v>
      </c>
      <c r="Q98" t="str">
        <f t="shared" si="12"/>
        <v>High CTR</v>
      </c>
      <c r="R98" t="str">
        <f t="shared" si="13"/>
        <v>High</v>
      </c>
      <c r="S98" t="str">
        <f t="shared" si="14"/>
        <v>Morning</v>
      </c>
      <c r="T98">
        <f t="shared" si="15"/>
        <v>3</v>
      </c>
    </row>
    <row r="99" spans="1:20" x14ac:dyDescent="0.3">
      <c r="A99" t="s">
        <v>305</v>
      </c>
      <c r="B99" t="s">
        <v>306</v>
      </c>
      <c r="C99" s="2">
        <v>9232</v>
      </c>
      <c r="D99" s="2">
        <v>3905</v>
      </c>
      <c r="E99" s="2">
        <v>1196</v>
      </c>
      <c r="F99" s="18">
        <v>78.66</v>
      </c>
      <c r="G99">
        <v>35909</v>
      </c>
      <c r="H99">
        <v>71586</v>
      </c>
      <c r="I99" s="1">
        <v>5.67</v>
      </c>
      <c r="J99" t="s">
        <v>12</v>
      </c>
      <c r="K99" s="4" t="s">
        <v>1015</v>
      </c>
      <c r="L99" t="s">
        <v>307</v>
      </c>
      <c r="M99" s="1">
        <f t="shared" si="8"/>
        <v>0.78659999999999997</v>
      </c>
      <c r="N99" s="1">
        <f t="shared" si="9"/>
        <v>5.67E-2</v>
      </c>
      <c r="O99" s="3">
        <f t="shared" si="10"/>
        <v>14333</v>
      </c>
      <c r="P99" s="1">
        <f t="shared" si="11"/>
        <v>0.20022071354734167</v>
      </c>
      <c r="Q99" t="str">
        <f t="shared" si="12"/>
        <v>High CTR</v>
      </c>
      <c r="R99" t="str">
        <f t="shared" si="13"/>
        <v>High</v>
      </c>
      <c r="S99" t="str">
        <f t="shared" si="14"/>
        <v>Evening</v>
      </c>
      <c r="T99">
        <f t="shared" si="15"/>
        <v>3</v>
      </c>
    </row>
    <row r="100" spans="1:20" x14ac:dyDescent="0.3">
      <c r="A100" t="s">
        <v>308</v>
      </c>
      <c r="B100" t="s">
        <v>309</v>
      </c>
      <c r="C100" s="2">
        <v>2556</v>
      </c>
      <c r="D100" s="2">
        <v>2071</v>
      </c>
      <c r="E100" s="2">
        <v>1395</v>
      </c>
      <c r="F100" s="18">
        <v>63.53</v>
      </c>
      <c r="G100">
        <v>98007</v>
      </c>
      <c r="H100">
        <v>76384</v>
      </c>
      <c r="I100" s="1">
        <v>6.36</v>
      </c>
      <c r="J100" t="s">
        <v>42</v>
      </c>
      <c r="K100" s="4" t="s">
        <v>1016</v>
      </c>
      <c r="L100" t="s">
        <v>310</v>
      </c>
      <c r="M100" s="1">
        <f t="shared" si="8"/>
        <v>0.63529999999999998</v>
      </c>
      <c r="N100" s="1">
        <f t="shared" si="9"/>
        <v>6.3600000000000004E-2</v>
      </c>
      <c r="O100" s="3">
        <f t="shared" si="10"/>
        <v>6022</v>
      </c>
      <c r="P100" s="1">
        <f t="shared" si="11"/>
        <v>7.8838500209467949E-2</v>
      </c>
      <c r="Q100" t="str">
        <f t="shared" si="12"/>
        <v>High CTR</v>
      </c>
      <c r="R100" t="str">
        <f t="shared" si="13"/>
        <v>High</v>
      </c>
      <c r="S100" t="str">
        <f t="shared" si="14"/>
        <v>Evening</v>
      </c>
      <c r="T100">
        <f t="shared" si="15"/>
        <v>3</v>
      </c>
    </row>
    <row r="101" spans="1:20" x14ac:dyDescent="0.3">
      <c r="A101" t="s">
        <v>311</v>
      </c>
      <c r="B101" t="s">
        <v>312</v>
      </c>
      <c r="C101" s="2">
        <v>8260</v>
      </c>
      <c r="D101" s="2">
        <v>4763</v>
      </c>
      <c r="E101" s="2">
        <v>272</v>
      </c>
      <c r="F101" s="18">
        <v>14.91</v>
      </c>
      <c r="G101">
        <v>11526</v>
      </c>
      <c r="H101">
        <v>43575</v>
      </c>
      <c r="I101" s="1">
        <v>0.63</v>
      </c>
      <c r="J101" t="s">
        <v>20</v>
      </c>
      <c r="K101" s="4" t="s">
        <v>1017</v>
      </c>
      <c r="L101" t="s">
        <v>313</v>
      </c>
      <c r="M101" s="1">
        <f t="shared" si="8"/>
        <v>0.14910000000000001</v>
      </c>
      <c r="N101" s="1">
        <f t="shared" si="9"/>
        <v>6.3E-3</v>
      </c>
      <c r="O101" s="3">
        <f t="shared" si="10"/>
        <v>13295</v>
      </c>
      <c r="P101" s="1">
        <f t="shared" si="11"/>
        <v>0.30510613884107862</v>
      </c>
      <c r="Q101" t="str">
        <f t="shared" si="12"/>
        <v>High CTR</v>
      </c>
      <c r="R101" t="str">
        <f t="shared" si="13"/>
        <v>High</v>
      </c>
      <c r="S101" t="str">
        <f t="shared" si="14"/>
        <v>Morning</v>
      </c>
      <c r="T101">
        <f t="shared" si="15"/>
        <v>3</v>
      </c>
    </row>
    <row r="102" spans="1:20" x14ac:dyDescent="0.3">
      <c r="A102" t="s">
        <v>314</v>
      </c>
      <c r="B102" t="s">
        <v>315</v>
      </c>
      <c r="C102" s="2">
        <v>2019</v>
      </c>
      <c r="D102" s="2">
        <v>3901</v>
      </c>
      <c r="E102" s="2">
        <v>1420</v>
      </c>
      <c r="F102" s="18">
        <v>37.909999999999997</v>
      </c>
      <c r="G102">
        <v>34639</v>
      </c>
      <c r="H102">
        <v>82360</v>
      </c>
      <c r="I102" s="1">
        <v>9.25</v>
      </c>
      <c r="J102" t="s">
        <v>16</v>
      </c>
      <c r="K102" s="4" t="s">
        <v>1018</v>
      </c>
      <c r="L102" t="s">
        <v>316</v>
      </c>
      <c r="M102" s="1">
        <f t="shared" si="8"/>
        <v>0.37909999999999999</v>
      </c>
      <c r="N102" s="1">
        <f t="shared" si="9"/>
        <v>9.2499999999999999E-2</v>
      </c>
      <c r="O102" s="3">
        <f t="shared" si="10"/>
        <v>7340</v>
      </c>
      <c r="P102" s="1">
        <f t="shared" si="11"/>
        <v>8.9120932491500729E-2</v>
      </c>
      <c r="Q102" t="str">
        <f t="shared" si="12"/>
        <v>High CTR</v>
      </c>
      <c r="R102" t="str">
        <f t="shared" si="13"/>
        <v>High</v>
      </c>
      <c r="S102" t="str">
        <f t="shared" si="14"/>
        <v>Morning</v>
      </c>
      <c r="T102">
        <f t="shared" si="15"/>
        <v>3</v>
      </c>
    </row>
    <row r="103" spans="1:20" x14ac:dyDescent="0.3">
      <c r="A103" t="s">
        <v>317</v>
      </c>
      <c r="B103" t="s">
        <v>318</v>
      </c>
      <c r="C103" s="2">
        <v>6936</v>
      </c>
      <c r="D103" s="2">
        <v>1317</v>
      </c>
      <c r="E103" s="2">
        <v>252</v>
      </c>
      <c r="F103" s="18">
        <v>91.92</v>
      </c>
      <c r="G103">
        <v>34801</v>
      </c>
      <c r="H103">
        <v>30720</v>
      </c>
      <c r="I103" s="1">
        <v>2.5499999999999998</v>
      </c>
      <c r="J103" t="s">
        <v>12</v>
      </c>
      <c r="K103" s="4" t="s">
        <v>1019</v>
      </c>
      <c r="L103" t="s">
        <v>319</v>
      </c>
      <c r="M103" s="1">
        <f t="shared" si="8"/>
        <v>0.91920000000000002</v>
      </c>
      <c r="N103" s="1">
        <f t="shared" si="9"/>
        <v>2.5499999999999998E-2</v>
      </c>
      <c r="O103" s="3">
        <f t="shared" si="10"/>
        <v>8505</v>
      </c>
      <c r="P103" s="1">
        <f t="shared" si="11"/>
        <v>0.27685546875</v>
      </c>
      <c r="Q103" t="str">
        <f t="shared" si="12"/>
        <v>High CTR</v>
      </c>
      <c r="R103" t="str">
        <f t="shared" si="13"/>
        <v>High</v>
      </c>
      <c r="S103" t="str">
        <f t="shared" si="14"/>
        <v>Morning</v>
      </c>
      <c r="T103">
        <f t="shared" si="15"/>
        <v>3</v>
      </c>
    </row>
    <row r="104" spans="1:20" x14ac:dyDescent="0.3">
      <c r="A104" t="s">
        <v>320</v>
      </c>
      <c r="B104" t="s">
        <v>321</v>
      </c>
      <c r="C104" s="2">
        <v>552</v>
      </c>
      <c r="D104" s="2">
        <v>2286</v>
      </c>
      <c r="E104" s="2">
        <v>763</v>
      </c>
      <c r="F104" s="18">
        <v>46.05</v>
      </c>
      <c r="G104">
        <v>81628</v>
      </c>
      <c r="H104">
        <v>75769</v>
      </c>
      <c r="I104" s="1">
        <v>5.81</v>
      </c>
      <c r="J104" t="s">
        <v>42</v>
      </c>
      <c r="K104" s="4" t="s">
        <v>1020</v>
      </c>
      <c r="L104" t="s">
        <v>322</v>
      </c>
      <c r="M104" s="1">
        <f t="shared" si="8"/>
        <v>0.46049999999999996</v>
      </c>
      <c r="N104" s="1">
        <f t="shared" si="9"/>
        <v>5.8099999999999999E-2</v>
      </c>
      <c r="O104" s="3">
        <f t="shared" si="10"/>
        <v>3601</v>
      </c>
      <c r="P104" s="1">
        <f t="shared" si="11"/>
        <v>4.7526033074212409E-2</v>
      </c>
      <c r="Q104" t="str">
        <f t="shared" si="12"/>
        <v>High CTR</v>
      </c>
      <c r="R104" t="str">
        <f t="shared" si="13"/>
        <v>High</v>
      </c>
      <c r="S104" t="str">
        <f t="shared" si="14"/>
        <v>Morning</v>
      </c>
      <c r="T104">
        <f t="shared" si="15"/>
        <v>3</v>
      </c>
    </row>
    <row r="105" spans="1:20" x14ac:dyDescent="0.3">
      <c r="A105" t="s">
        <v>323</v>
      </c>
      <c r="B105" t="s">
        <v>324</v>
      </c>
      <c r="C105" s="2">
        <v>7826</v>
      </c>
      <c r="D105" s="2">
        <v>1407</v>
      </c>
      <c r="E105" s="2">
        <v>427</v>
      </c>
      <c r="F105" s="18">
        <v>29.94</v>
      </c>
      <c r="G105">
        <v>67495</v>
      </c>
      <c r="H105">
        <v>98182</v>
      </c>
      <c r="I105" s="1">
        <v>4.6399999999999997</v>
      </c>
      <c r="J105" t="s">
        <v>16</v>
      </c>
      <c r="K105" s="4" t="s">
        <v>1021</v>
      </c>
      <c r="L105" t="s">
        <v>325</v>
      </c>
      <c r="M105" s="1">
        <f t="shared" si="8"/>
        <v>0.2994</v>
      </c>
      <c r="N105" s="1">
        <f t="shared" si="9"/>
        <v>4.6399999999999997E-2</v>
      </c>
      <c r="O105" s="3">
        <f t="shared" si="10"/>
        <v>9660</v>
      </c>
      <c r="P105" s="1">
        <f t="shared" si="11"/>
        <v>9.8388706687580207E-2</v>
      </c>
      <c r="Q105" t="str">
        <f t="shared" si="12"/>
        <v>High CTR</v>
      </c>
      <c r="R105" t="str">
        <f t="shared" si="13"/>
        <v>High</v>
      </c>
      <c r="S105" t="str">
        <f t="shared" si="14"/>
        <v>Afternoon</v>
      </c>
      <c r="T105">
        <f t="shared" si="15"/>
        <v>3</v>
      </c>
    </row>
    <row r="106" spans="1:20" x14ac:dyDescent="0.3">
      <c r="A106" t="s">
        <v>326</v>
      </c>
      <c r="B106" t="s">
        <v>327</v>
      </c>
      <c r="C106" s="2">
        <v>9798</v>
      </c>
      <c r="D106" s="2">
        <v>1586</v>
      </c>
      <c r="E106" s="2">
        <v>371</v>
      </c>
      <c r="F106" s="18">
        <v>70.7</v>
      </c>
      <c r="G106">
        <v>11652</v>
      </c>
      <c r="H106">
        <v>82422</v>
      </c>
      <c r="I106" s="1">
        <v>0.85</v>
      </c>
      <c r="J106" t="s">
        <v>12</v>
      </c>
      <c r="K106" s="4" t="s">
        <v>1022</v>
      </c>
      <c r="L106" t="s">
        <v>328</v>
      </c>
      <c r="M106" s="1">
        <f t="shared" si="8"/>
        <v>0.70700000000000007</v>
      </c>
      <c r="N106" s="1">
        <f t="shared" si="9"/>
        <v>8.5000000000000006E-3</v>
      </c>
      <c r="O106" s="3">
        <f t="shared" si="10"/>
        <v>11755</v>
      </c>
      <c r="P106" s="1">
        <f t="shared" si="11"/>
        <v>0.14261968891800733</v>
      </c>
      <c r="Q106" t="str">
        <f t="shared" si="12"/>
        <v>High CTR</v>
      </c>
      <c r="R106" t="str">
        <f t="shared" si="13"/>
        <v>High</v>
      </c>
      <c r="S106" t="str">
        <f t="shared" si="14"/>
        <v>Afternoon</v>
      </c>
      <c r="T106">
        <f t="shared" si="15"/>
        <v>3</v>
      </c>
    </row>
    <row r="107" spans="1:20" x14ac:dyDescent="0.3">
      <c r="A107" t="s">
        <v>329</v>
      </c>
      <c r="B107" t="s">
        <v>330</v>
      </c>
      <c r="C107" s="2">
        <v>1355</v>
      </c>
      <c r="D107" s="2">
        <v>647</v>
      </c>
      <c r="E107" s="2">
        <v>439</v>
      </c>
      <c r="F107" s="18">
        <v>69.41</v>
      </c>
      <c r="G107">
        <v>70517</v>
      </c>
      <c r="H107">
        <v>53575</v>
      </c>
      <c r="I107" s="1">
        <v>8.75</v>
      </c>
      <c r="J107" t="s">
        <v>12</v>
      </c>
      <c r="K107" s="4" t="s">
        <v>1023</v>
      </c>
      <c r="L107" t="s">
        <v>331</v>
      </c>
      <c r="M107" s="1">
        <f t="shared" si="8"/>
        <v>0.69409999999999994</v>
      </c>
      <c r="N107" s="1">
        <f t="shared" si="9"/>
        <v>8.7499999999999994E-2</v>
      </c>
      <c r="O107" s="3">
        <f t="shared" si="10"/>
        <v>2441</v>
      </c>
      <c r="P107" s="1">
        <f t="shared" si="11"/>
        <v>4.5562295846943539E-2</v>
      </c>
      <c r="Q107" t="str">
        <f t="shared" si="12"/>
        <v>High CTR</v>
      </c>
      <c r="R107" t="str">
        <f t="shared" si="13"/>
        <v>High</v>
      </c>
      <c r="S107" t="str">
        <f t="shared" si="14"/>
        <v>Morning</v>
      </c>
      <c r="T107">
        <f t="shared" si="15"/>
        <v>3</v>
      </c>
    </row>
    <row r="108" spans="1:20" x14ac:dyDescent="0.3">
      <c r="A108" t="s">
        <v>332</v>
      </c>
      <c r="B108" t="s">
        <v>333</v>
      </c>
      <c r="C108" s="2">
        <v>729</v>
      </c>
      <c r="D108" s="2">
        <v>2752</v>
      </c>
      <c r="E108" s="2">
        <v>619</v>
      </c>
      <c r="F108" s="18">
        <v>78.13</v>
      </c>
      <c r="G108">
        <v>26732</v>
      </c>
      <c r="H108">
        <v>34691</v>
      </c>
      <c r="I108" s="1">
        <v>9.9600000000000009</v>
      </c>
      <c r="J108" t="s">
        <v>16</v>
      </c>
      <c r="K108" s="4" t="s">
        <v>1024</v>
      </c>
      <c r="L108" t="s">
        <v>334</v>
      </c>
      <c r="M108" s="1">
        <f t="shared" si="8"/>
        <v>0.78129999999999999</v>
      </c>
      <c r="N108" s="1">
        <f t="shared" si="9"/>
        <v>9.9600000000000008E-2</v>
      </c>
      <c r="O108" s="3">
        <f t="shared" si="10"/>
        <v>4100</v>
      </c>
      <c r="P108" s="1">
        <f t="shared" si="11"/>
        <v>0.11818627309676862</v>
      </c>
      <c r="Q108" t="str">
        <f t="shared" si="12"/>
        <v>High CTR</v>
      </c>
      <c r="R108" t="str">
        <f t="shared" si="13"/>
        <v>High</v>
      </c>
      <c r="S108" t="str">
        <f t="shared" si="14"/>
        <v>Evening</v>
      </c>
      <c r="T108">
        <f t="shared" si="15"/>
        <v>3</v>
      </c>
    </row>
    <row r="109" spans="1:20" x14ac:dyDescent="0.3">
      <c r="A109" t="s">
        <v>335</v>
      </c>
      <c r="B109" t="s">
        <v>336</v>
      </c>
      <c r="C109" s="2">
        <v>6350</v>
      </c>
      <c r="D109" s="2">
        <v>3692</v>
      </c>
      <c r="E109" s="2">
        <v>581</v>
      </c>
      <c r="F109" s="18">
        <v>65.849999999999994</v>
      </c>
      <c r="G109">
        <v>21250</v>
      </c>
      <c r="H109">
        <v>2416</v>
      </c>
      <c r="I109" s="1">
        <v>4.46</v>
      </c>
      <c r="J109" t="s">
        <v>42</v>
      </c>
      <c r="K109" s="4" t="s">
        <v>1025</v>
      </c>
      <c r="L109" t="s">
        <v>337</v>
      </c>
      <c r="M109" s="1">
        <f t="shared" si="8"/>
        <v>0.65849999999999997</v>
      </c>
      <c r="N109" s="1">
        <f t="shared" si="9"/>
        <v>4.4600000000000001E-2</v>
      </c>
      <c r="O109" s="3">
        <f t="shared" si="10"/>
        <v>10623</v>
      </c>
      <c r="P109" s="1">
        <f t="shared" si="11"/>
        <v>1</v>
      </c>
      <c r="Q109" t="str">
        <f t="shared" si="12"/>
        <v>High CTR</v>
      </c>
      <c r="R109" t="str">
        <f t="shared" si="13"/>
        <v>High</v>
      </c>
      <c r="S109" t="str">
        <f t="shared" si="14"/>
        <v>Morning</v>
      </c>
      <c r="T109">
        <f t="shared" si="15"/>
        <v>3</v>
      </c>
    </row>
    <row r="110" spans="1:20" x14ac:dyDescent="0.3">
      <c r="A110" t="s">
        <v>338</v>
      </c>
      <c r="B110" t="s">
        <v>339</v>
      </c>
      <c r="C110" s="2">
        <v>776</v>
      </c>
      <c r="D110" s="2">
        <v>4575</v>
      </c>
      <c r="E110" s="2">
        <v>160</v>
      </c>
      <c r="F110" s="18">
        <v>31.28</v>
      </c>
      <c r="G110">
        <v>88608</v>
      </c>
      <c r="H110">
        <v>51369</v>
      </c>
      <c r="I110" s="1">
        <v>0.27</v>
      </c>
      <c r="J110" t="s">
        <v>42</v>
      </c>
      <c r="K110" s="4" t="s">
        <v>1026</v>
      </c>
      <c r="L110" t="s">
        <v>340</v>
      </c>
      <c r="M110" s="1">
        <f t="shared" si="8"/>
        <v>0.31280000000000002</v>
      </c>
      <c r="N110" s="1">
        <f t="shared" si="9"/>
        <v>2.7000000000000001E-3</v>
      </c>
      <c r="O110" s="3">
        <f t="shared" si="10"/>
        <v>5511</v>
      </c>
      <c r="P110" s="1">
        <f t="shared" si="11"/>
        <v>0.10728260234771944</v>
      </c>
      <c r="Q110" t="str">
        <f t="shared" si="12"/>
        <v>High CTR</v>
      </c>
      <c r="R110" t="str">
        <f t="shared" si="13"/>
        <v>High</v>
      </c>
      <c r="S110" t="str">
        <f t="shared" si="14"/>
        <v>Afternoon</v>
      </c>
      <c r="T110">
        <f t="shared" si="15"/>
        <v>3</v>
      </c>
    </row>
    <row r="111" spans="1:20" x14ac:dyDescent="0.3">
      <c r="A111" t="s">
        <v>341</v>
      </c>
      <c r="B111" t="s">
        <v>342</v>
      </c>
      <c r="C111" s="2">
        <v>1033</v>
      </c>
      <c r="D111" s="2">
        <v>3708</v>
      </c>
      <c r="E111" s="2">
        <v>188</v>
      </c>
      <c r="F111" s="18">
        <v>23.38</v>
      </c>
      <c r="G111">
        <v>65915</v>
      </c>
      <c r="H111">
        <v>41656</v>
      </c>
      <c r="I111" s="1">
        <v>5.84</v>
      </c>
      <c r="J111" t="s">
        <v>12</v>
      </c>
      <c r="K111" s="4" t="s">
        <v>1027</v>
      </c>
      <c r="L111" t="s">
        <v>343</v>
      </c>
      <c r="M111" s="1">
        <f t="shared" si="8"/>
        <v>0.23379999999999998</v>
      </c>
      <c r="N111" s="1">
        <f t="shared" si="9"/>
        <v>5.8400000000000001E-2</v>
      </c>
      <c r="O111" s="3">
        <f t="shared" si="10"/>
        <v>4929</v>
      </c>
      <c r="P111" s="1">
        <f t="shared" si="11"/>
        <v>0.11832629153063184</v>
      </c>
      <c r="Q111" t="str">
        <f t="shared" si="12"/>
        <v>High CTR</v>
      </c>
      <c r="R111" t="str">
        <f t="shared" si="13"/>
        <v>High</v>
      </c>
      <c r="S111" t="str">
        <f t="shared" si="14"/>
        <v>Morning</v>
      </c>
      <c r="T111">
        <f t="shared" si="15"/>
        <v>3</v>
      </c>
    </row>
    <row r="112" spans="1:20" x14ac:dyDescent="0.3">
      <c r="A112" t="s">
        <v>344</v>
      </c>
      <c r="B112" t="s">
        <v>345</v>
      </c>
      <c r="C112" s="2">
        <v>5087</v>
      </c>
      <c r="D112" s="2">
        <v>2117</v>
      </c>
      <c r="E112" s="2">
        <v>203</v>
      </c>
      <c r="F112" s="18">
        <v>84.39</v>
      </c>
      <c r="G112">
        <v>68505</v>
      </c>
      <c r="H112">
        <v>99558</v>
      </c>
      <c r="I112" s="1">
        <v>0.94</v>
      </c>
      <c r="J112" t="s">
        <v>16</v>
      </c>
      <c r="K112" s="4" t="s">
        <v>1028</v>
      </c>
      <c r="L112" t="s">
        <v>346</v>
      </c>
      <c r="M112" s="1">
        <f t="shared" si="8"/>
        <v>0.84389999999999998</v>
      </c>
      <c r="N112" s="1">
        <f t="shared" si="9"/>
        <v>9.3999999999999986E-3</v>
      </c>
      <c r="O112" s="3">
        <f t="shared" si="10"/>
        <v>7407</v>
      </c>
      <c r="P112" s="1">
        <f t="shared" si="11"/>
        <v>7.4398842885554151E-2</v>
      </c>
      <c r="Q112" t="str">
        <f t="shared" si="12"/>
        <v>High CTR</v>
      </c>
      <c r="R112" t="str">
        <f t="shared" si="13"/>
        <v>High</v>
      </c>
      <c r="S112" t="str">
        <f t="shared" si="14"/>
        <v>Morning</v>
      </c>
      <c r="T112">
        <f t="shared" si="15"/>
        <v>3</v>
      </c>
    </row>
    <row r="113" spans="1:20" x14ac:dyDescent="0.3">
      <c r="A113" t="s">
        <v>347</v>
      </c>
      <c r="B113" t="s">
        <v>348</v>
      </c>
      <c r="C113" s="2">
        <v>9246</v>
      </c>
      <c r="D113" s="2">
        <v>1805</v>
      </c>
      <c r="E113" s="2">
        <v>884</v>
      </c>
      <c r="F113" s="18">
        <v>95.41</v>
      </c>
      <c r="G113">
        <v>59259</v>
      </c>
      <c r="H113">
        <v>30700</v>
      </c>
      <c r="I113" s="1">
        <v>4.7300000000000004</v>
      </c>
      <c r="J113" t="s">
        <v>20</v>
      </c>
      <c r="K113" s="4" t="s">
        <v>1029</v>
      </c>
      <c r="L113" t="s">
        <v>349</v>
      </c>
      <c r="M113" s="1">
        <f t="shared" si="8"/>
        <v>0.95409999999999995</v>
      </c>
      <c r="N113" s="1">
        <f t="shared" si="9"/>
        <v>4.7300000000000002E-2</v>
      </c>
      <c r="O113" s="3">
        <f t="shared" si="10"/>
        <v>11935</v>
      </c>
      <c r="P113" s="1">
        <f t="shared" si="11"/>
        <v>0.38876221498371333</v>
      </c>
      <c r="Q113" t="str">
        <f t="shared" si="12"/>
        <v>High CTR</v>
      </c>
      <c r="R113" t="str">
        <f t="shared" si="13"/>
        <v>High</v>
      </c>
      <c r="S113" t="str">
        <f t="shared" si="14"/>
        <v>Evening</v>
      </c>
      <c r="T113">
        <f t="shared" si="15"/>
        <v>3</v>
      </c>
    </row>
    <row r="114" spans="1:20" x14ac:dyDescent="0.3">
      <c r="A114" t="s">
        <v>350</v>
      </c>
      <c r="B114" t="s">
        <v>351</v>
      </c>
      <c r="C114" s="2">
        <v>5992</v>
      </c>
      <c r="D114" s="2">
        <v>883</v>
      </c>
      <c r="E114" s="2">
        <v>220</v>
      </c>
      <c r="F114" s="18">
        <v>75.5</v>
      </c>
      <c r="G114">
        <v>35807</v>
      </c>
      <c r="H114">
        <v>71829</v>
      </c>
      <c r="I114" s="1">
        <v>7.09</v>
      </c>
      <c r="J114" t="s">
        <v>20</v>
      </c>
      <c r="K114" s="4" t="s">
        <v>1030</v>
      </c>
      <c r="L114" t="s">
        <v>352</v>
      </c>
      <c r="M114" s="1">
        <f t="shared" si="8"/>
        <v>0.755</v>
      </c>
      <c r="N114" s="1">
        <f t="shared" si="9"/>
        <v>7.0900000000000005E-2</v>
      </c>
      <c r="O114" s="3">
        <f t="shared" si="10"/>
        <v>7095</v>
      </c>
      <c r="P114" s="1">
        <f t="shared" si="11"/>
        <v>9.8776260284843168E-2</v>
      </c>
      <c r="Q114" t="str">
        <f t="shared" si="12"/>
        <v>High CTR</v>
      </c>
      <c r="R114" t="str">
        <f t="shared" si="13"/>
        <v>High</v>
      </c>
      <c r="S114" t="str">
        <f t="shared" si="14"/>
        <v>Afternoon</v>
      </c>
      <c r="T114">
        <f t="shared" si="15"/>
        <v>3</v>
      </c>
    </row>
    <row r="115" spans="1:20" x14ac:dyDescent="0.3">
      <c r="A115" t="s">
        <v>353</v>
      </c>
      <c r="B115" t="s">
        <v>354</v>
      </c>
      <c r="C115" s="2">
        <v>1179</v>
      </c>
      <c r="D115" s="2">
        <v>1612</v>
      </c>
      <c r="E115" s="2">
        <v>524</v>
      </c>
      <c r="F115" s="18">
        <v>27.02</v>
      </c>
      <c r="G115">
        <v>91703</v>
      </c>
      <c r="H115">
        <v>27903</v>
      </c>
      <c r="I115" s="1">
        <v>6.83</v>
      </c>
      <c r="J115" t="s">
        <v>42</v>
      </c>
      <c r="K115" s="4" t="s">
        <v>1031</v>
      </c>
      <c r="L115" t="s">
        <v>355</v>
      </c>
      <c r="M115" s="1">
        <f t="shared" si="8"/>
        <v>0.2702</v>
      </c>
      <c r="N115" s="1">
        <f t="shared" si="9"/>
        <v>6.83E-2</v>
      </c>
      <c r="O115" s="3">
        <f t="shared" si="10"/>
        <v>3315</v>
      </c>
      <c r="P115" s="1">
        <f t="shared" si="11"/>
        <v>0.11880442963122245</v>
      </c>
      <c r="Q115" t="str">
        <f t="shared" si="12"/>
        <v>High CTR</v>
      </c>
      <c r="R115" t="str">
        <f t="shared" si="13"/>
        <v>High</v>
      </c>
      <c r="S115" t="str">
        <f t="shared" si="14"/>
        <v>Afternoon</v>
      </c>
      <c r="T115">
        <f t="shared" si="15"/>
        <v>3</v>
      </c>
    </row>
    <row r="116" spans="1:20" x14ac:dyDescent="0.3">
      <c r="A116" t="s">
        <v>356</v>
      </c>
      <c r="B116" t="s">
        <v>357</v>
      </c>
      <c r="C116" s="2">
        <v>7149</v>
      </c>
      <c r="D116" s="2">
        <v>1416</v>
      </c>
      <c r="E116" s="2">
        <v>1315</v>
      </c>
      <c r="F116" s="18">
        <v>15.76</v>
      </c>
      <c r="G116">
        <v>64237</v>
      </c>
      <c r="H116">
        <v>26491</v>
      </c>
      <c r="I116" s="1">
        <v>2.82</v>
      </c>
      <c r="J116" t="s">
        <v>20</v>
      </c>
      <c r="K116" s="4" t="s">
        <v>1032</v>
      </c>
      <c r="L116" t="s">
        <v>358</v>
      </c>
      <c r="M116" s="1">
        <f t="shared" si="8"/>
        <v>0.15759999999999999</v>
      </c>
      <c r="N116" s="1">
        <f t="shared" si="9"/>
        <v>2.8199999999999999E-2</v>
      </c>
      <c r="O116" s="3">
        <f t="shared" si="10"/>
        <v>9880</v>
      </c>
      <c r="P116" s="1">
        <f t="shared" si="11"/>
        <v>0.37295685327092221</v>
      </c>
      <c r="Q116" t="str">
        <f t="shared" si="12"/>
        <v>High CTR</v>
      </c>
      <c r="R116" t="str">
        <f t="shared" si="13"/>
        <v>High</v>
      </c>
      <c r="S116" t="str">
        <f t="shared" si="14"/>
        <v>Morning</v>
      </c>
      <c r="T116">
        <f t="shared" si="15"/>
        <v>3</v>
      </c>
    </row>
    <row r="117" spans="1:20" x14ac:dyDescent="0.3">
      <c r="A117" t="s">
        <v>359</v>
      </c>
      <c r="B117" t="s">
        <v>360</v>
      </c>
      <c r="C117" s="2">
        <v>2392</v>
      </c>
      <c r="D117" s="2">
        <v>3832</v>
      </c>
      <c r="E117" s="2">
        <v>1315</v>
      </c>
      <c r="F117" s="18">
        <v>84.48</v>
      </c>
      <c r="G117">
        <v>91743</v>
      </c>
      <c r="H117">
        <v>60195</v>
      </c>
      <c r="I117" s="1">
        <v>1.08</v>
      </c>
      <c r="J117" t="s">
        <v>20</v>
      </c>
      <c r="K117" s="4" t="s">
        <v>1033</v>
      </c>
      <c r="L117" t="s">
        <v>361</v>
      </c>
      <c r="M117" s="1">
        <f t="shared" si="8"/>
        <v>0.8448</v>
      </c>
      <c r="N117" s="1">
        <f t="shared" si="9"/>
        <v>1.0800000000000001E-2</v>
      </c>
      <c r="O117" s="3">
        <f t="shared" si="10"/>
        <v>7539</v>
      </c>
      <c r="P117" s="1">
        <f t="shared" si="11"/>
        <v>0.125242960378769</v>
      </c>
      <c r="Q117" t="str">
        <f t="shared" si="12"/>
        <v>High CTR</v>
      </c>
      <c r="R117" t="str">
        <f t="shared" si="13"/>
        <v>High</v>
      </c>
      <c r="S117" t="str">
        <f t="shared" si="14"/>
        <v>Afternoon</v>
      </c>
      <c r="T117">
        <f t="shared" si="15"/>
        <v>3</v>
      </c>
    </row>
    <row r="118" spans="1:20" x14ac:dyDescent="0.3">
      <c r="A118" t="s">
        <v>362</v>
      </c>
      <c r="B118" t="s">
        <v>363</v>
      </c>
      <c r="C118" s="2">
        <v>3307</v>
      </c>
      <c r="D118" s="2">
        <v>3730</v>
      </c>
      <c r="E118" s="2">
        <v>201</v>
      </c>
      <c r="F118" s="18">
        <v>85.4</v>
      </c>
      <c r="G118">
        <v>7873</v>
      </c>
      <c r="H118">
        <v>91099</v>
      </c>
      <c r="I118" s="1">
        <v>3.41</v>
      </c>
      <c r="J118" t="s">
        <v>42</v>
      </c>
      <c r="K118" s="4" t="s">
        <v>1034</v>
      </c>
      <c r="L118" t="s">
        <v>364</v>
      </c>
      <c r="M118" s="1">
        <f t="shared" si="8"/>
        <v>0.85400000000000009</v>
      </c>
      <c r="N118" s="1">
        <f t="shared" si="9"/>
        <v>3.4099999999999998E-2</v>
      </c>
      <c r="O118" s="3">
        <f t="shared" si="10"/>
        <v>7238</v>
      </c>
      <c r="P118" s="1">
        <f t="shared" si="11"/>
        <v>7.9452024720359171E-2</v>
      </c>
      <c r="Q118" t="str">
        <f t="shared" si="12"/>
        <v>High CTR</v>
      </c>
      <c r="R118" t="str">
        <f t="shared" si="13"/>
        <v>High</v>
      </c>
      <c r="S118" t="str">
        <f t="shared" si="14"/>
        <v>Night</v>
      </c>
      <c r="T118">
        <f t="shared" si="15"/>
        <v>3</v>
      </c>
    </row>
    <row r="119" spans="1:20" x14ac:dyDescent="0.3">
      <c r="A119" t="s">
        <v>365</v>
      </c>
      <c r="B119" t="s">
        <v>366</v>
      </c>
      <c r="C119" s="2">
        <v>8127</v>
      </c>
      <c r="D119" s="2">
        <v>3948</v>
      </c>
      <c r="E119" s="2">
        <v>1622</v>
      </c>
      <c r="F119" s="18">
        <v>11.77</v>
      </c>
      <c r="G119">
        <v>32112</v>
      </c>
      <c r="H119">
        <v>63971</v>
      </c>
      <c r="I119" s="1">
        <v>3.89</v>
      </c>
      <c r="J119" t="s">
        <v>16</v>
      </c>
      <c r="K119" s="4" t="s">
        <v>1035</v>
      </c>
      <c r="L119" t="s">
        <v>367</v>
      </c>
      <c r="M119" s="1">
        <f t="shared" si="8"/>
        <v>0.1177</v>
      </c>
      <c r="N119" s="1">
        <f t="shared" si="9"/>
        <v>3.8900000000000004E-2</v>
      </c>
      <c r="O119" s="3">
        <f t="shared" si="10"/>
        <v>13697</v>
      </c>
      <c r="P119" s="1">
        <f t="shared" si="11"/>
        <v>0.21411264479217146</v>
      </c>
      <c r="Q119" t="str">
        <f t="shared" si="12"/>
        <v>High CTR</v>
      </c>
      <c r="R119" t="str">
        <f t="shared" si="13"/>
        <v>High</v>
      </c>
      <c r="S119" t="str">
        <f t="shared" si="14"/>
        <v>Evening</v>
      </c>
      <c r="T119">
        <f t="shared" si="15"/>
        <v>3</v>
      </c>
    </row>
    <row r="120" spans="1:20" x14ac:dyDescent="0.3">
      <c r="A120" t="s">
        <v>368</v>
      </c>
      <c r="B120" t="s">
        <v>369</v>
      </c>
      <c r="C120" s="2">
        <v>2799</v>
      </c>
      <c r="D120" s="2">
        <v>2515</v>
      </c>
      <c r="E120" s="2">
        <v>349</v>
      </c>
      <c r="F120" s="18">
        <v>49.91</v>
      </c>
      <c r="G120">
        <v>27576</v>
      </c>
      <c r="H120">
        <v>87596</v>
      </c>
      <c r="I120" s="1">
        <v>1.2</v>
      </c>
      <c r="J120" t="s">
        <v>20</v>
      </c>
      <c r="K120" s="4" t="s">
        <v>1036</v>
      </c>
      <c r="L120" t="s">
        <v>370</v>
      </c>
      <c r="M120" s="1">
        <f t="shared" si="8"/>
        <v>0.49909999999999999</v>
      </c>
      <c r="N120" s="1">
        <f t="shared" si="9"/>
        <v>1.2E-2</v>
      </c>
      <c r="O120" s="3">
        <f t="shared" si="10"/>
        <v>5663</v>
      </c>
      <c r="P120" s="1">
        <f t="shared" si="11"/>
        <v>6.4649070733823463E-2</v>
      </c>
      <c r="Q120" t="str">
        <f t="shared" si="12"/>
        <v>High CTR</v>
      </c>
      <c r="R120" t="str">
        <f t="shared" si="13"/>
        <v>High</v>
      </c>
      <c r="S120" t="str">
        <f t="shared" si="14"/>
        <v>Night</v>
      </c>
      <c r="T120">
        <f t="shared" si="15"/>
        <v>3</v>
      </c>
    </row>
    <row r="121" spans="1:20" x14ac:dyDescent="0.3">
      <c r="A121" t="s">
        <v>371</v>
      </c>
      <c r="B121" t="s">
        <v>372</v>
      </c>
      <c r="C121" s="2">
        <v>4455</v>
      </c>
      <c r="D121" s="2">
        <v>4130</v>
      </c>
      <c r="E121" s="2">
        <v>649</v>
      </c>
      <c r="F121" s="18">
        <v>79.67</v>
      </c>
      <c r="G121">
        <v>14460</v>
      </c>
      <c r="H121">
        <v>45538</v>
      </c>
      <c r="I121" s="1">
        <v>3.85</v>
      </c>
      <c r="J121" t="s">
        <v>42</v>
      </c>
      <c r="K121" s="4" t="s">
        <v>1037</v>
      </c>
      <c r="L121" t="s">
        <v>373</v>
      </c>
      <c r="M121" s="1">
        <f t="shared" si="8"/>
        <v>0.79669999999999996</v>
      </c>
      <c r="N121" s="1">
        <f t="shared" si="9"/>
        <v>3.85E-2</v>
      </c>
      <c r="O121" s="3">
        <f t="shared" si="10"/>
        <v>9234</v>
      </c>
      <c r="P121" s="1">
        <f t="shared" si="11"/>
        <v>0.20277570380780885</v>
      </c>
      <c r="Q121" t="str">
        <f t="shared" si="12"/>
        <v>High CTR</v>
      </c>
      <c r="R121" t="str">
        <f t="shared" si="13"/>
        <v>High</v>
      </c>
      <c r="S121" t="str">
        <f t="shared" si="14"/>
        <v>Morning</v>
      </c>
      <c r="T121">
        <f t="shared" si="15"/>
        <v>3</v>
      </c>
    </row>
    <row r="122" spans="1:20" x14ac:dyDescent="0.3">
      <c r="A122" t="s">
        <v>374</v>
      </c>
      <c r="B122" t="s">
        <v>375</v>
      </c>
      <c r="C122" s="2">
        <v>7761</v>
      </c>
      <c r="D122" s="2">
        <v>251</v>
      </c>
      <c r="E122" s="2">
        <v>1234</v>
      </c>
      <c r="F122" s="18">
        <v>39.409999999999997</v>
      </c>
      <c r="G122">
        <v>79321</v>
      </c>
      <c r="H122">
        <v>83204</v>
      </c>
      <c r="I122" s="1">
        <v>7.35</v>
      </c>
      <c r="J122" t="s">
        <v>20</v>
      </c>
      <c r="K122" s="4" t="s">
        <v>1038</v>
      </c>
      <c r="L122" t="s">
        <v>376</v>
      </c>
      <c r="M122" s="1">
        <f t="shared" si="8"/>
        <v>0.39409999999999995</v>
      </c>
      <c r="N122" s="1">
        <f t="shared" si="9"/>
        <v>7.3499999999999996E-2</v>
      </c>
      <c r="O122" s="3">
        <f t="shared" si="10"/>
        <v>9246</v>
      </c>
      <c r="P122" s="1">
        <f t="shared" si="11"/>
        <v>0.11112446516994376</v>
      </c>
      <c r="Q122" t="str">
        <f t="shared" si="12"/>
        <v>High CTR</v>
      </c>
      <c r="R122" t="str">
        <f t="shared" si="13"/>
        <v>High</v>
      </c>
      <c r="S122" t="str">
        <f t="shared" si="14"/>
        <v>Afternoon</v>
      </c>
      <c r="T122">
        <f t="shared" si="15"/>
        <v>3</v>
      </c>
    </row>
    <row r="123" spans="1:20" x14ac:dyDescent="0.3">
      <c r="A123" t="s">
        <v>377</v>
      </c>
      <c r="B123" t="s">
        <v>378</v>
      </c>
      <c r="C123" s="2">
        <v>4546</v>
      </c>
      <c r="D123" s="2">
        <v>4820</v>
      </c>
      <c r="E123" s="2">
        <v>1460</v>
      </c>
      <c r="F123" s="18">
        <v>6.65</v>
      </c>
      <c r="G123">
        <v>97996</v>
      </c>
      <c r="H123">
        <v>86585</v>
      </c>
      <c r="I123" s="1">
        <v>1.51</v>
      </c>
      <c r="J123" t="s">
        <v>16</v>
      </c>
      <c r="K123" s="4" t="s">
        <v>1039</v>
      </c>
      <c r="L123" t="s">
        <v>379</v>
      </c>
      <c r="M123" s="1">
        <f t="shared" si="8"/>
        <v>6.6500000000000004E-2</v>
      </c>
      <c r="N123" s="1">
        <f t="shared" si="9"/>
        <v>1.5100000000000001E-2</v>
      </c>
      <c r="O123" s="3">
        <f t="shared" si="10"/>
        <v>10826</v>
      </c>
      <c r="P123" s="1">
        <f t="shared" si="11"/>
        <v>0.12503320436565224</v>
      </c>
      <c r="Q123" t="str">
        <f t="shared" si="12"/>
        <v>High CTR</v>
      </c>
      <c r="R123" t="str">
        <f t="shared" si="13"/>
        <v>High</v>
      </c>
      <c r="S123" t="str">
        <f t="shared" si="14"/>
        <v>Morning</v>
      </c>
      <c r="T123">
        <f t="shared" si="15"/>
        <v>3</v>
      </c>
    </row>
    <row r="124" spans="1:20" x14ac:dyDescent="0.3">
      <c r="A124" t="s">
        <v>380</v>
      </c>
      <c r="B124" t="s">
        <v>381</v>
      </c>
      <c r="C124" s="2">
        <v>4424</v>
      </c>
      <c r="D124" s="2">
        <v>3491</v>
      </c>
      <c r="E124" s="2">
        <v>1587</v>
      </c>
      <c r="F124" s="18">
        <v>73.010000000000005</v>
      </c>
      <c r="G124">
        <v>4102</v>
      </c>
      <c r="H124">
        <v>95838</v>
      </c>
      <c r="I124" s="1">
        <v>0.25</v>
      </c>
      <c r="J124" t="s">
        <v>16</v>
      </c>
      <c r="K124" s="4" t="s">
        <v>1040</v>
      </c>
      <c r="L124" t="s">
        <v>382</v>
      </c>
      <c r="M124" s="1">
        <f t="shared" si="8"/>
        <v>0.73010000000000008</v>
      </c>
      <c r="N124" s="1">
        <f t="shared" si="9"/>
        <v>2.5000000000000001E-3</v>
      </c>
      <c r="O124" s="3">
        <f t="shared" si="10"/>
        <v>9502</v>
      </c>
      <c r="P124" s="1">
        <f t="shared" si="11"/>
        <v>9.9146476345499696E-2</v>
      </c>
      <c r="Q124" t="str">
        <f t="shared" si="12"/>
        <v>High CTR</v>
      </c>
      <c r="R124" t="str">
        <f t="shared" si="13"/>
        <v>High</v>
      </c>
      <c r="S124" t="str">
        <f t="shared" si="14"/>
        <v>Morning</v>
      </c>
      <c r="T124">
        <f t="shared" si="15"/>
        <v>3</v>
      </c>
    </row>
    <row r="125" spans="1:20" x14ac:dyDescent="0.3">
      <c r="A125" t="s">
        <v>383</v>
      </c>
      <c r="B125" t="s">
        <v>384</v>
      </c>
      <c r="C125" s="2">
        <v>4153</v>
      </c>
      <c r="D125" s="2">
        <v>869</v>
      </c>
      <c r="E125" s="2">
        <v>698</v>
      </c>
      <c r="F125" s="18">
        <v>12.51</v>
      </c>
      <c r="G125">
        <v>41737</v>
      </c>
      <c r="H125">
        <v>85872</v>
      </c>
      <c r="I125" s="1">
        <v>3.32</v>
      </c>
      <c r="J125" t="s">
        <v>42</v>
      </c>
      <c r="K125" s="4" t="s">
        <v>1041</v>
      </c>
      <c r="L125" t="s">
        <v>385</v>
      </c>
      <c r="M125" s="1">
        <f t="shared" si="8"/>
        <v>0.12509999999999999</v>
      </c>
      <c r="N125" s="1">
        <f t="shared" si="9"/>
        <v>3.32E-2</v>
      </c>
      <c r="O125" s="3">
        <f t="shared" si="10"/>
        <v>5720</v>
      </c>
      <c r="P125" s="1">
        <f t="shared" si="11"/>
        <v>6.6610769517421273E-2</v>
      </c>
      <c r="Q125" t="str">
        <f t="shared" si="12"/>
        <v>High CTR</v>
      </c>
      <c r="R125" t="str">
        <f t="shared" si="13"/>
        <v>High</v>
      </c>
      <c r="S125" t="str">
        <f t="shared" si="14"/>
        <v>Morning</v>
      </c>
      <c r="T125">
        <f t="shared" si="15"/>
        <v>3</v>
      </c>
    </row>
    <row r="126" spans="1:20" x14ac:dyDescent="0.3">
      <c r="A126" t="s">
        <v>386</v>
      </c>
      <c r="B126" t="s">
        <v>387</v>
      </c>
      <c r="C126" s="2">
        <v>1803</v>
      </c>
      <c r="D126" s="2">
        <v>1132</v>
      </c>
      <c r="E126" s="2">
        <v>973</v>
      </c>
      <c r="F126" s="18">
        <v>67.2</v>
      </c>
      <c r="G126">
        <v>82502</v>
      </c>
      <c r="H126">
        <v>35757</v>
      </c>
      <c r="I126" s="1">
        <v>1.58</v>
      </c>
      <c r="J126" t="s">
        <v>42</v>
      </c>
      <c r="K126" s="4" t="s">
        <v>1042</v>
      </c>
      <c r="L126" t="s">
        <v>388</v>
      </c>
      <c r="M126" s="1">
        <f t="shared" si="8"/>
        <v>0.67200000000000004</v>
      </c>
      <c r="N126" s="1">
        <f t="shared" si="9"/>
        <v>1.5800000000000002E-2</v>
      </c>
      <c r="O126" s="3">
        <f t="shared" si="10"/>
        <v>3908</v>
      </c>
      <c r="P126" s="1">
        <f t="shared" si="11"/>
        <v>0.10929328523086389</v>
      </c>
      <c r="Q126" t="str">
        <f t="shared" si="12"/>
        <v>High CTR</v>
      </c>
      <c r="R126" t="str">
        <f t="shared" si="13"/>
        <v>High</v>
      </c>
      <c r="S126" t="str">
        <f t="shared" si="14"/>
        <v>Evening</v>
      </c>
      <c r="T126">
        <f t="shared" si="15"/>
        <v>3</v>
      </c>
    </row>
    <row r="127" spans="1:20" x14ac:dyDescent="0.3">
      <c r="A127" t="s">
        <v>389</v>
      </c>
      <c r="B127" t="s">
        <v>390</v>
      </c>
      <c r="C127" s="2">
        <v>3871</v>
      </c>
      <c r="D127" s="2">
        <v>1989</v>
      </c>
      <c r="E127" s="2">
        <v>1533</v>
      </c>
      <c r="F127" s="18">
        <v>87.13</v>
      </c>
      <c r="G127">
        <v>18779</v>
      </c>
      <c r="H127">
        <v>78382</v>
      </c>
      <c r="I127" s="1">
        <v>6.26</v>
      </c>
      <c r="J127" t="s">
        <v>20</v>
      </c>
      <c r="K127" s="4" t="s">
        <v>1043</v>
      </c>
      <c r="L127" t="s">
        <v>391</v>
      </c>
      <c r="M127" s="1">
        <f t="shared" si="8"/>
        <v>0.87129999999999996</v>
      </c>
      <c r="N127" s="1">
        <f t="shared" si="9"/>
        <v>6.2600000000000003E-2</v>
      </c>
      <c r="O127" s="3">
        <f t="shared" si="10"/>
        <v>7393</v>
      </c>
      <c r="P127" s="1">
        <f t="shared" si="11"/>
        <v>9.4320124518384327E-2</v>
      </c>
      <c r="Q127" t="str">
        <f t="shared" si="12"/>
        <v>High CTR</v>
      </c>
      <c r="R127" t="str">
        <f t="shared" si="13"/>
        <v>High</v>
      </c>
      <c r="S127" t="str">
        <f t="shared" si="14"/>
        <v>Morning</v>
      </c>
      <c r="T127">
        <f t="shared" si="15"/>
        <v>3</v>
      </c>
    </row>
    <row r="128" spans="1:20" x14ac:dyDescent="0.3">
      <c r="A128" t="s">
        <v>392</v>
      </c>
      <c r="B128" t="s">
        <v>393</v>
      </c>
      <c r="C128" s="2">
        <v>6200</v>
      </c>
      <c r="D128" s="2">
        <v>3915</v>
      </c>
      <c r="E128" s="2">
        <v>1429</v>
      </c>
      <c r="F128" s="18">
        <v>42.99</v>
      </c>
      <c r="G128">
        <v>57594</v>
      </c>
      <c r="H128">
        <v>63213</v>
      </c>
      <c r="I128" s="1">
        <v>7.46</v>
      </c>
      <c r="J128" t="s">
        <v>12</v>
      </c>
      <c r="K128" s="4" t="s">
        <v>1044</v>
      </c>
      <c r="L128" t="s">
        <v>394</v>
      </c>
      <c r="M128" s="1">
        <f t="shared" si="8"/>
        <v>0.4299</v>
      </c>
      <c r="N128" s="1">
        <f t="shared" si="9"/>
        <v>7.46E-2</v>
      </c>
      <c r="O128" s="3">
        <f t="shared" si="10"/>
        <v>11544</v>
      </c>
      <c r="P128" s="1">
        <f t="shared" si="11"/>
        <v>0.18262066347112144</v>
      </c>
      <c r="Q128" t="str">
        <f t="shared" si="12"/>
        <v>High CTR</v>
      </c>
      <c r="R128" t="str">
        <f t="shared" si="13"/>
        <v>High</v>
      </c>
      <c r="S128" t="str">
        <f t="shared" si="14"/>
        <v>Morning</v>
      </c>
      <c r="T128">
        <f t="shared" si="15"/>
        <v>3</v>
      </c>
    </row>
    <row r="129" spans="1:20" x14ac:dyDescent="0.3">
      <c r="A129" t="s">
        <v>395</v>
      </c>
      <c r="B129" t="s">
        <v>396</v>
      </c>
      <c r="C129" s="2">
        <v>7796</v>
      </c>
      <c r="D129" s="2">
        <v>1433</v>
      </c>
      <c r="E129" s="2">
        <v>80</v>
      </c>
      <c r="F129" s="18">
        <v>95.11</v>
      </c>
      <c r="G129">
        <v>891</v>
      </c>
      <c r="H129">
        <v>45307</v>
      </c>
      <c r="I129" s="1">
        <v>7.49</v>
      </c>
      <c r="J129" t="s">
        <v>20</v>
      </c>
      <c r="K129" s="4" t="s">
        <v>1045</v>
      </c>
      <c r="L129" t="s">
        <v>397</v>
      </c>
      <c r="M129" s="1">
        <f t="shared" si="8"/>
        <v>0.95109999999999995</v>
      </c>
      <c r="N129" s="1">
        <f t="shared" si="9"/>
        <v>7.4900000000000008E-2</v>
      </c>
      <c r="O129" s="3">
        <f t="shared" si="10"/>
        <v>9309</v>
      </c>
      <c r="P129" s="1">
        <f t="shared" si="11"/>
        <v>0.20546493919261924</v>
      </c>
      <c r="Q129" t="str">
        <f t="shared" si="12"/>
        <v>High CTR</v>
      </c>
      <c r="R129" t="str">
        <f t="shared" si="13"/>
        <v>High</v>
      </c>
      <c r="S129" t="str">
        <f t="shared" si="14"/>
        <v>Morning</v>
      </c>
      <c r="T129">
        <f t="shared" si="15"/>
        <v>3</v>
      </c>
    </row>
    <row r="130" spans="1:20" x14ac:dyDescent="0.3">
      <c r="A130" t="s">
        <v>398</v>
      </c>
      <c r="B130" t="s">
        <v>399</v>
      </c>
      <c r="C130" s="2">
        <v>189</v>
      </c>
      <c r="D130" s="2">
        <v>2967</v>
      </c>
      <c r="E130" s="2">
        <v>451</v>
      </c>
      <c r="F130" s="18">
        <v>96.58</v>
      </c>
      <c r="G130">
        <v>34271</v>
      </c>
      <c r="H130">
        <v>29952</v>
      </c>
      <c r="I130" s="1">
        <v>9.56</v>
      </c>
      <c r="J130" t="s">
        <v>42</v>
      </c>
      <c r="K130" s="4" t="s">
        <v>1046</v>
      </c>
      <c r="L130" t="s">
        <v>400</v>
      </c>
      <c r="M130" s="1">
        <f t="shared" si="8"/>
        <v>0.96579999999999999</v>
      </c>
      <c r="N130" s="1">
        <f t="shared" si="9"/>
        <v>9.5600000000000004E-2</v>
      </c>
      <c r="O130" s="3">
        <f t="shared" si="10"/>
        <v>3607</v>
      </c>
      <c r="P130" s="1">
        <f t="shared" si="11"/>
        <v>0.12042601495726496</v>
      </c>
      <c r="Q130" t="str">
        <f t="shared" si="12"/>
        <v>High CTR</v>
      </c>
      <c r="R130" t="str">
        <f t="shared" si="13"/>
        <v>High</v>
      </c>
      <c r="S130" t="str">
        <f t="shared" si="14"/>
        <v>Evening</v>
      </c>
      <c r="T130">
        <f t="shared" si="15"/>
        <v>3</v>
      </c>
    </row>
    <row r="131" spans="1:20" x14ac:dyDescent="0.3">
      <c r="A131" t="s">
        <v>401</v>
      </c>
      <c r="B131" t="s">
        <v>402</v>
      </c>
      <c r="C131" s="2">
        <v>9478</v>
      </c>
      <c r="D131" s="2">
        <v>1280</v>
      </c>
      <c r="E131" s="2">
        <v>1562</v>
      </c>
      <c r="F131" s="18">
        <v>43.93</v>
      </c>
      <c r="G131">
        <v>87526</v>
      </c>
      <c r="H131">
        <v>2273</v>
      </c>
      <c r="I131" s="1">
        <v>6.25</v>
      </c>
      <c r="J131" t="s">
        <v>42</v>
      </c>
      <c r="K131" s="4" t="s">
        <v>1047</v>
      </c>
      <c r="L131" t="s">
        <v>403</v>
      </c>
      <c r="M131" s="1">
        <f t="shared" ref="M131:M194" si="16">F131/100</f>
        <v>0.43930000000000002</v>
      </c>
      <c r="N131" s="1">
        <f t="shared" ref="N131:N194" si="17">I131/100</f>
        <v>6.25E-2</v>
      </c>
      <c r="O131" s="3">
        <f t="shared" ref="O131:O194" si="18">C131+D131+E131</f>
        <v>12320</v>
      </c>
      <c r="P131" s="1">
        <f t="shared" ref="P131:P194" si="19">IF((C131+D131+E131)/H131&gt;1,1,(C131+D131+E131)/H131)</f>
        <v>1</v>
      </c>
      <c r="Q131" t="str">
        <f t="shared" ref="Q131:Q194" si="20">IF(I131&gt;0.1,"High CTR",
 IF(I131&gt;0.05,"Medium CTR","Low CTR"))</f>
        <v>High CTR</v>
      </c>
      <c r="R131" t="str">
        <f t="shared" ref="R131:R194" si="21">IF($F131&gt;0.1,"High",
 IF($F131&gt;0.05,"Medium","Low"))</f>
        <v>High</v>
      </c>
      <c r="S131" t="str">
        <f t="shared" ref="S131:S194" si="22">IF(HOUR(L131)&lt;12,"Morning",
 IF(HOUR(L131)&lt;17,"Afternoon",
 IF(HOUR(L131)&lt;21,"Evening","Night")))</f>
        <v>Morning</v>
      </c>
      <c r="T131">
        <f t="shared" ref="T131:T194" si="23">LEN($K131)-LEN(SUBSTITUTE($K131,",",""))+1</f>
        <v>3</v>
      </c>
    </row>
    <row r="132" spans="1:20" x14ac:dyDescent="0.3">
      <c r="A132" t="s">
        <v>404</v>
      </c>
      <c r="B132" t="s">
        <v>405</v>
      </c>
      <c r="C132" s="2">
        <v>6628</v>
      </c>
      <c r="D132" s="2">
        <v>139</v>
      </c>
      <c r="E132" s="2">
        <v>1886</v>
      </c>
      <c r="F132" s="18">
        <v>35.07</v>
      </c>
      <c r="G132">
        <v>68474</v>
      </c>
      <c r="H132">
        <v>86673</v>
      </c>
      <c r="I132" s="1">
        <v>0.73</v>
      </c>
      <c r="J132" t="s">
        <v>12</v>
      </c>
      <c r="K132" s="4" t="s">
        <v>1048</v>
      </c>
      <c r="L132" t="s">
        <v>406</v>
      </c>
      <c r="M132" s="1">
        <f t="shared" si="16"/>
        <v>0.35070000000000001</v>
      </c>
      <c r="N132" s="1">
        <f t="shared" si="17"/>
        <v>7.3000000000000001E-3</v>
      </c>
      <c r="O132" s="3">
        <f t="shared" si="18"/>
        <v>8653</v>
      </c>
      <c r="P132" s="1">
        <f t="shared" si="19"/>
        <v>9.9835012056811237E-2</v>
      </c>
      <c r="Q132" t="str">
        <f t="shared" si="20"/>
        <v>High CTR</v>
      </c>
      <c r="R132" t="str">
        <f t="shared" si="21"/>
        <v>High</v>
      </c>
      <c r="S132" t="str">
        <f t="shared" si="22"/>
        <v>Morning</v>
      </c>
      <c r="T132">
        <f t="shared" si="23"/>
        <v>3</v>
      </c>
    </row>
    <row r="133" spans="1:20" x14ac:dyDescent="0.3">
      <c r="A133" t="s">
        <v>407</v>
      </c>
      <c r="B133" t="s">
        <v>408</v>
      </c>
      <c r="C133" s="2">
        <v>5594</v>
      </c>
      <c r="D133" s="2">
        <v>3059</v>
      </c>
      <c r="E133" s="2">
        <v>448</v>
      </c>
      <c r="F133" s="18">
        <v>66.91</v>
      </c>
      <c r="G133">
        <v>37735</v>
      </c>
      <c r="H133">
        <v>39335</v>
      </c>
      <c r="I133" s="1">
        <v>8.0399999999999991</v>
      </c>
      <c r="J133" t="s">
        <v>16</v>
      </c>
      <c r="K133" s="4" t="s">
        <v>1049</v>
      </c>
      <c r="L133" t="s">
        <v>409</v>
      </c>
      <c r="M133" s="1">
        <f t="shared" si="16"/>
        <v>0.66909999999999992</v>
      </c>
      <c r="N133" s="1">
        <f t="shared" si="17"/>
        <v>8.0399999999999985E-2</v>
      </c>
      <c r="O133" s="3">
        <f t="shared" si="18"/>
        <v>9101</v>
      </c>
      <c r="P133" s="1">
        <f t="shared" si="19"/>
        <v>0.23137155205287913</v>
      </c>
      <c r="Q133" t="str">
        <f t="shared" si="20"/>
        <v>High CTR</v>
      </c>
      <c r="R133" t="str">
        <f t="shared" si="21"/>
        <v>High</v>
      </c>
      <c r="S133" t="str">
        <f t="shared" si="22"/>
        <v>Evening</v>
      </c>
      <c r="T133">
        <f t="shared" si="23"/>
        <v>3</v>
      </c>
    </row>
    <row r="134" spans="1:20" x14ac:dyDescent="0.3">
      <c r="A134" t="s">
        <v>410</v>
      </c>
      <c r="B134" t="s">
        <v>411</v>
      </c>
      <c r="C134" s="2">
        <v>4107</v>
      </c>
      <c r="D134" s="2">
        <v>1141</v>
      </c>
      <c r="E134" s="2">
        <v>495</v>
      </c>
      <c r="F134" s="18">
        <v>6.55</v>
      </c>
      <c r="G134">
        <v>49492</v>
      </c>
      <c r="H134">
        <v>68903</v>
      </c>
      <c r="I134" s="1">
        <v>9.1199999999999992</v>
      </c>
      <c r="J134" t="s">
        <v>20</v>
      </c>
      <c r="K134" s="4" t="s">
        <v>1050</v>
      </c>
      <c r="L134" t="s">
        <v>412</v>
      </c>
      <c r="M134" s="1">
        <f t="shared" si="16"/>
        <v>6.5500000000000003E-2</v>
      </c>
      <c r="N134" s="1">
        <f t="shared" si="17"/>
        <v>9.1199999999999989E-2</v>
      </c>
      <c r="O134" s="3">
        <f t="shared" si="18"/>
        <v>5743</v>
      </c>
      <c r="P134" s="1">
        <f t="shared" si="19"/>
        <v>8.3349055919190743E-2</v>
      </c>
      <c r="Q134" t="str">
        <f t="shared" si="20"/>
        <v>High CTR</v>
      </c>
      <c r="R134" t="str">
        <f t="shared" si="21"/>
        <v>High</v>
      </c>
      <c r="S134" t="str">
        <f t="shared" si="22"/>
        <v>Morning</v>
      </c>
      <c r="T134">
        <f t="shared" si="23"/>
        <v>3</v>
      </c>
    </row>
    <row r="135" spans="1:20" x14ac:dyDescent="0.3">
      <c r="A135" t="s">
        <v>413</v>
      </c>
      <c r="B135" t="s">
        <v>414</v>
      </c>
      <c r="C135" s="2">
        <v>8816</v>
      </c>
      <c r="D135" s="2">
        <v>4355</v>
      </c>
      <c r="E135" s="2">
        <v>1509</v>
      </c>
      <c r="F135" s="18">
        <v>40.520000000000003</v>
      </c>
      <c r="G135">
        <v>72174</v>
      </c>
      <c r="H135">
        <v>89385</v>
      </c>
      <c r="I135" s="1">
        <v>0.43</v>
      </c>
      <c r="J135" t="s">
        <v>42</v>
      </c>
      <c r="K135" s="4" t="s">
        <v>1051</v>
      </c>
      <c r="L135" t="s">
        <v>415</v>
      </c>
      <c r="M135" s="1">
        <f t="shared" si="16"/>
        <v>0.4052</v>
      </c>
      <c r="N135" s="1">
        <f t="shared" si="17"/>
        <v>4.3E-3</v>
      </c>
      <c r="O135" s="3">
        <f t="shared" si="18"/>
        <v>14680</v>
      </c>
      <c r="P135" s="1">
        <f t="shared" si="19"/>
        <v>0.16423337248979136</v>
      </c>
      <c r="Q135" t="str">
        <f t="shared" si="20"/>
        <v>High CTR</v>
      </c>
      <c r="R135" t="str">
        <f t="shared" si="21"/>
        <v>High</v>
      </c>
      <c r="S135" t="str">
        <f t="shared" si="22"/>
        <v>Afternoon</v>
      </c>
      <c r="T135">
        <f t="shared" si="23"/>
        <v>3</v>
      </c>
    </row>
    <row r="136" spans="1:20" x14ac:dyDescent="0.3">
      <c r="A136" t="s">
        <v>416</v>
      </c>
      <c r="B136" t="s">
        <v>417</v>
      </c>
      <c r="C136" s="2">
        <v>9875</v>
      </c>
      <c r="D136" s="2">
        <v>424</v>
      </c>
      <c r="E136" s="2">
        <v>455</v>
      </c>
      <c r="F136" s="18">
        <v>83.26</v>
      </c>
      <c r="G136">
        <v>74522</v>
      </c>
      <c r="H136">
        <v>95365</v>
      </c>
      <c r="I136" s="1">
        <v>5.49</v>
      </c>
      <c r="J136" t="s">
        <v>20</v>
      </c>
      <c r="K136" s="4" t="s">
        <v>1052</v>
      </c>
      <c r="L136" t="s">
        <v>418</v>
      </c>
      <c r="M136" s="1">
        <f t="shared" si="16"/>
        <v>0.83260000000000001</v>
      </c>
      <c r="N136" s="1">
        <f t="shared" si="17"/>
        <v>5.4900000000000004E-2</v>
      </c>
      <c r="O136" s="3">
        <f t="shared" si="18"/>
        <v>10754</v>
      </c>
      <c r="P136" s="1">
        <f t="shared" si="19"/>
        <v>0.11276673832118701</v>
      </c>
      <c r="Q136" t="str">
        <f t="shared" si="20"/>
        <v>High CTR</v>
      </c>
      <c r="R136" t="str">
        <f t="shared" si="21"/>
        <v>High</v>
      </c>
      <c r="S136" t="str">
        <f t="shared" si="22"/>
        <v>Evening</v>
      </c>
      <c r="T136">
        <f t="shared" si="23"/>
        <v>3</v>
      </c>
    </row>
    <row r="137" spans="1:20" x14ac:dyDescent="0.3">
      <c r="A137" t="s">
        <v>419</v>
      </c>
      <c r="B137" t="s">
        <v>420</v>
      </c>
      <c r="C137" s="2">
        <v>7241</v>
      </c>
      <c r="D137" s="2">
        <v>2131</v>
      </c>
      <c r="E137" s="2">
        <v>1240</v>
      </c>
      <c r="F137" s="18">
        <v>92.59</v>
      </c>
      <c r="G137">
        <v>24828</v>
      </c>
      <c r="H137">
        <v>14365</v>
      </c>
      <c r="I137" s="1">
        <v>1.7</v>
      </c>
      <c r="J137" t="s">
        <v>42</v>
      </c>
      <c r="K137" s="4" t="s">
        <v>1053</v>
      </c>
      <c r="L137" t="s">
        <v>421</v>
      </c>
      <c r="M137" s="1">
        <f t="shared" si="16"/>
        <v>0.92590000000000006</v>
      </c>
      <c r="N137" s="1">
        <f t="shared" si="17"/>
        <v>1.7000000000000001E-2</v>
      </c>
      <c r="O137" s="3">
        <f t="shared" si="18"/>
        <v>10612</v>
      </c>
      <c r="P137" s="1">
        <f t="shared" si="19"/>
        <v>0.73873999303863558</v>
      </c>
      <c r="Q137" t="str">
        <f t="shared" si="20"/>
        <v>High CTR</v>
      </c>
      <c r="R137" t="str">
        <f t="shared" si="21"/>
        <v>High</v>
      </c>
      <c r="S137" t="str">
        <f t="shared" si="22"/>
        <v>Morning</v>
      </c>
      <c r="T137">
        <f t="shared" si="23"/>
        <v>3</v>
      </c>
    </row>
    <row r="138" spans="1:20" x14ac:dyDescent="0.3">
      <c r="A138" t="s">
        <v>422</v>
      </c>
      <c r="B138" t="s">
        <v>423</v>
      </c>
      <c r="C138" s="2">
        <v>9322</v>
      </c>
      <c r="D138" s="2">
        <v>2279</v>
      </c>
      <c r="E138" s="2">
        <v>1836</v>
      </c>
      <c r="F138" s="18">
        <v>59.17</v>
      </c>
      <c r="G138">
        <v>54439</v>
      </c>
      <c r="H138">
        <v>81207</v>
      </c>
      <c r="I138" s="1">
        <v>4.83</v>
      </c>
      <c r="J138" t="s">
        <v>16</v>
      </c>
      <c r="K138" s="4" t="s">
        <v>1054</v>
      </c>
      <c r="L138" t="s">
        <v>424</v>
      </c>
      <c r="M138" s="1">
        <f t="shared" si="16"/>
        <v>0.5917</v>
      </c>
      <c r="N138" s="1">
        <f t="shared" si="17"/>
        <v>4.8300000000000003E-2</v>
      </c>
      <c r="O138" s="3">
        <f t="shared" si="18"/>
        <v>13437</v>
      </c>
      <c r="P138" s="1">
        <f t="shared" si="19"/>
        <v>0.16546603125346337</v>
      </c>
      <c r="Q138" t="str">
        <f t="shared" si="20"/>
        <v>High CTR</v>
      </c>
      <c r="R138" t="str">
        <f t="shared" si="21"/>
        <v>High</v>
      </c>
      <c r="S138" t="str">
        <f t="shared" si="22"/>
        <v>Morning</v>
      </c>
      <c r="T138">
        <f t="shared" si="23"/>
        <v>3</v>
      </c>
    </row>
    <row r="139" spans="1:20" x14ac:dyDescent="0.3">
      <c r="A139" t="s">
        <v>425</v>
      </c>
      <c r="B139" t="s">
        <v>426</v>
      </c>
      <c r="C139" s="2">
        <v>6463</v>
      </c>
      <c r="D139" s="2">
        <v>3452</v>
      </c>
      <c r="E139" s="2">
        <v>1467</v>
      </c>
      <c r="F139" s="18">
        <v>47.5</v>
      </c>
      <c r="G139">
        <v>4171</v>
      </c>
      <c r="H139">
        <v>8051</v>
      </c>
      <c r="I139" s="1">
        <v>5.1100000000000003</v>
      </c>
      <c r="J139" t="s">
        <v>20</v>
      </c>
      <c r="K139" s="4" t="s">
        <v>1055</v>
      </c>
      <c r="L139" t="s">
        <v>427</v>
      </c>
      <c r="M139" s="1">
        <f t="shared" si="16"/>
        <v>0.47499999999999998</v>
      </c>
      <c r="N139" s="1">
        <f t="shared" si="17"/>
        <v>5.1100000000000007E-2</v>
      </c>
      <c r="O139" s="3">
        <f t="shared" si="18"/>
        <v>11382</v>
      </c>
      <c r="P139" s="1">
        <f t="shared" si="19"/>
        <v>1</v>
      </c>
      <c r="Q139" t="str">
        <f t="shared" si="20"/>
        <v>High CTR</v>
      </c>
      <c r="R139" t="str">
        <f t="shared" si="21"/>
        <v>High</v>
      </c>
      <c r="S139" t="str">
        <f t="shared" si="22"/>
        <v>Morning</v>
      </c>
      <c r="T139">
        <f t="shared" si="23"/>
        <v>3</v>
      </c>
    </row>
    <row r="140" spans="1:20" x14ac:dyDescent="0.3">
      <c r="A140" t="s">
        <v>428</v>
      </c>
      <c r="B140" t="s">
        <v>429</v>
      </c>
      <c r="C140" s="2">
        <v>2319</v>
      </c>
      <c r="D140" s="2">
        <v>2516</v>
      </c>
      <c r="E140" s="2">
        <v>454</v>
      </c>
      <c r="F140" s="18">
        <v>41.18</v>
      </c>
      <c r="G140">
        <v>30713</v>
      </c>
      <c r="H140">
        <v>48082</v>
      </c>
      <c r="I140" s="1">
        <v>4.7300000000000004</v>
      </c>
      <c r="J140" t="s">
        <v>20</v>
      </c>
      <c r="K140" s="4" t="s">
        <v>1056</v>
      </c>
      <c r="L140" t="s">
        <v>430</v>
      </c>
      <c r="M140" s="1">
        <f t="shared" si="16"/>
        <v>0.4118</v>
      </c>
      <c r="N140" s="1">
        <f t="shared" si="17"/>
        <v>4.7300000000000002E-2</v>
      </c>
      <c r="O140" s="3">
        <f t="shared" si="18"/>
        <v>5289</v>
      </c>
      <c r="P140" s="1">
        <f t="shared" si="19"/>
        <v>0.10999958404392496</v>
      </c>
      <c r="Q140" t="str">
        <f t="shared" si="20"/>
        <v>High CTR</v>
      </c>
      <c r="R140" t="str">
        <f t="shared" si="21"/>
        <v>High</v>
      </c>
      <c r="S140" t="str">
        <f t="shared" si="22"/>
        <v>Morning</v>
      </c>
      <c r="T140">
        <f t="shared" si="23"/>
        <v>3</v>
      </c>
    </row>
    <row r="141" spans="1:20" x14ac:dyDescent="0.3">
      <c r="A141" t="s">
        <v>431</v>
      </c>
      <c r="B141" t="s">
        <v>432</v>
      </c>
      <c r="C141" s="2">
        <v>6654</v>
      </c>
      <c r="D141" s="2">
        <v>4979</v>
      </c>
      <c r="E141" s="2">
        <v>1202</v>
      </c>
      <c r="F141" s="18">
        <v>79.14</v>
      </c>
      <c r="G141">
        <v>22429</v>
      </c>
      <c r="H141">
        <v>58207</v>
      </c>
      <c r="I141" s="1">
        <v>2.3199999999999998</v>
      </c>
      <c r="J141" t="s">
        <v>42</v>
      </c>
      <c r="K141" s="4" t="s">
        <v>1057</v>
      </c>
      <c r="L141" t="s">
        <v>433</v>
      </c>
      <c r="M141" s="1">
        <f t="shared" si="16"/>
        <v>0.79139999999999999</v>
      </c>
      <c r="N141" s="1">
        <f t="shared" si="17"/>
        <v>2.3199999999999998E-2</v>
      </c>
      <c r="O141" s="3">
        <f t="shared" si="18"/>
        <v>12835</v>
      </c>
      <c r="P141" s="1">
        <f t="shared" si="19"/>
        <v>0.22050612469290634</v>
      </c>
      <c r="Q141" t="str">
        <f t="shared" si="20"/>
        <v>High CTR</v>
      </c>
      <c r="R141" t="str">
        <f t="shared" si="21"/>
        <v>High</v>
      </c>
      <c r="S141" t="str">
        <f t="shared" si="22"/>
        <v>Evening</v>
      </c>
      <c r="T141">
        <f t="shared" si="23"/>
        <v>3</v>
      </c>
    </row>
    <row r="142" spans="1:20" x14ac:dyDescent="0.3">
      <c r="A142" t="s">
        <v>434</v>
      </c>
      <c r="B142" t="s">
        <v>435</v>
      </c>
      <c r="C142" s="2">
        <v>343</v>
      </c>
      <c r="D142" s="2">
        <v>563</v>
      </c>
      <c r="E142" s="2">
        <v>1717</v>
      </c>
      <c r="F142" s="18">
        <v>92.37</v>
      </c>
      <c r="G142">
        <v>97128</v>
      </c>
      <c r="H142">
        <v>55084</v>
      </c>
      <c r="I142" s="1">
        <v>6.09</v>
      </c>
      <c r="J142" t="s">
        <v>12</v>
      </c>
      <c r="K142" s="4" t="s">
        <v>1058</v>
      </c>
      <c r="L142" t="s">
        <v>436</v>
      </c>
      <c r="M142" s="1">
        <f t="shared" si="16"/>
        <v>0.92370000000000008</v>
      </c>
      <c r="N142" s="1">
        <f t="shared" si="17"/>
        <v>6.0899999999999996E-2</v>
      </c>
      <c r="O142" s="3">
        <f t="shared" si="18"/>
        <v>2623</v>
      </c>
      <c r="P142" s="1">
        <f t="shared" si="19"/>
        <v>4.761818313847941E-2</v>
      </c>
      <c r="Q142" t="str">
        <f t="shared" si="20"/>
        <v>High CTR</v>
      </c>
      <c r="R142" t="str">
        <f t="shared" si="21"/>
        <v>High</v>
      </c>
      <c r="S142" t="str">
        <f t="shared" si="22"/>
        <v>Evening</v>
      </c>
      <c r="T142">
        <f t="shared" si="23"/>
        <v>3</v>
      </c>
    </row>
    <row r="143" spans="1:20" x14ac:dyDescent="0.3">
      <c r="A143" t="s">
        <v>437</v>
      </c>
      <c r="B143" t="s">
        <v>438</v>
      </c>
      <c r="C143" s="2">
        <v>7486</v>
      </c>
      <c r="D143" s="2">
        <v>3449</v>
      </c>
      <c r="E143" s="2">
        <v>86</v>
      </c>
      <c r="F143" s="18">
        <v>33.56</v>
      </c>
      <c r="G143">
        <v>73724</v>
      </c>
      <c r="H143">
        <v>92742</v>
      </c>
      <c r="I143" s="1">
        <v>9.92</v>
      </c>
      <c r="J143" t="s">
        <v>16</v>
      </c>
      <c r="K143" s="4" t="s">
        <v>1059</v>
      </c>
      <c r="L143" t="s">
        <v>439</v>
      </c>
      <c r="M143" s="1">
        <f t="shared" si="16"/>
        <v>0.33560000000000001</v>
      </c>
      <c r="N143" s="1">
        <f t="shared" si="17"/>
        <v>9.9199999999999997E-2</v>
      </c>
      <c r="O143" s="3">
        <f t="shared" si="18"/>
        <v>11021</v>
      </c>
      <c r="P143" s="1">
        <f t="shared" si="19"/>
        <v>0.11883504776692329</v>
      </c>
      <c r="Q143" t="str">
        <f t="shared" si="20"/>
        <v>High CTR</v>
      </c>
      <c r="R143" t="str">
        <f t="shared" si="21"/>
        <v>High</v>
      </c>
      <c r="S143" t="str">
        <f t="shared" si="22"/>
        <v>Afternoon</v>
      </c>
      <c r="T143">
        <f t="shared" si="23"/>
        <v>3</v>
      </c>
    </row>
    <row r="144" spans="1:20" x14ac:dyDescent="0.3">
      <c r="A144" t="s">
        <v>440</v>
      </c>
      <c r="B144" t="s">
        <v>441</v>
      </c>
      <c r="C144" s="2">
        <v>5622</v>
      </c>
      <c r="D144" s="2">
        <v>203</v>
      </c>
      <c r="E144" s="2">
        <v>1826</v>
      </c>
      <c r="F144" s="18">
        <v>79.87</v>
      </c>
      <c r="G144">
        <v>10155</v>
      </c>
      <c r="H144">
        <v>68947</v>
      </c>
      <c r="I144" s="1">
        <v>7.88</v>
      </c>
      <c r="J144" t="s">
        <v>16</v>
      </c>
      <c r="K144" s="4" t="s">
        <v>1060</v>
      </c>
      <c r="L144" t="s">
        <v>442</v>
      </c>
      <c r="M144" s="1">
        <f t="shared" si="16"/>
        <v>0.79870000000000008</v>
      </c>
      <c r="N144" s="1">
        <f t="shared" si="17"/>
        <v>7.8799999999999995E-2</v>
      </c>
      <c r="O144" s="3">
        <f t="shared" si="18"/>
        <v>7651</v>
      </c>
      <c r="P144" s="1">
        <f t="shared" si="19"/>
        <v>0.11096929525577617</v>
      </c>
      <c r="Q144" t="str">
        <f t="shared" si="20"/>
        <v>High CTR</v>
      </c>
      <c r="R144" t="str">
        <f t="shared" si="21"/>
        <v>High</v>
      </c>
      <c r="S144" t="str">
        <f t="shared" si="22"/>
        <v>Morning</v>
      </c>
      <c r="T144">
        <f t="shared" si="23"/>
        <v>3</v>
      </c>
    </row>
    <row r="145" spans="1:20" x14ac:dyDescent="0.3">
      <c r="A145" t="s">
        <v>443</v>
      </c>
      <c r="B145" t="s">
        <v>444</v>
      </c>
      <c r="C145" s="2">
        <v>9539</v>
      </c>
      <c r="D145" s="2">
        <v>4358</v>
      </c>
      <c r="E145" s="2">
        <v>478</v>
      </c>
      <c r="F145" s="18">
        <v>12.82</v>
      </c>
      <c r="G145">
        <v>27074</v>
      </c>
      <c r="H145">
        <v>75788</v>
      </c>
      <c r="I145" s="1">
        <v>9.59</v>
      </c>
      <c r="J145" t="s">
        <v>12</v>
      </c>
      <c r="K145" s="4" t="s">
        <v>1061</v>
      </c>
      <c r="L145" t="s">
        <v>445</v>
      </c>
      <c r="M145" s="1">
        <f t="shared" si="16"/>
        <v>0.12820000000000001</v>
      </c>
      <c r="N145" s="1">
        <f t="shared" si="17"/>
        <v>9.5899999999999999E-2</v>
      </c>
      <c r="O145" s="3">
        <f t="shared" si="18"/>
        <v>14375</v>
      </c>
      <c r="P145" s="1">
        <f t="shared" si="19"/>
        <v>0.18967382699108037</v>
      </c>
      <c r="Q145" t="str">
        <f t="shared" si="20"/>
        <v>High CTR</v>
      </c>
      <c r="R145" t="str">
        <f t="shared" si="21"/>
        <v>High</v>
      </c>
      <c r="S145" t="str">
        <f t="shared" si="22"/>
        <v>Night</v>
      </c>
      <c r="T145">
        <f t="shared" si="23"/>
        <v>3</v>
      </c>
    </row>
    <row r="146" spans="1:20" x14ac:dyDescent="0.3">
      <c r="A146" t="s">
        <v>446</v>
      </c>
      <c r="B146" t="s">
        <v>447</v>
      </c>
      <c r="C146" s="2">
        <v>864</v>
      </c>
      <c r="D146" s="2">
        <v>2817</v>
      </c>
      <c r="E146" s="2">
        <v>1767</v>
      </c>
      <c r="F146" s="18">
        <v>65.95</v>
      </c>
      <c r="G146">
        <v>8301</v>
      </c>
      <c r="H146">
        <v>63846</v>
      </c>
      <c r="I146" s="1">
        <v>0.16</v>
      </c>
      <c r="J146" t="s">
        <v>12</v>
      </c>
      <c r="K146" s="4" t="s">
        <v>1062</v>
      </c>
      <c r="L146" t="s">
        <v>448</v>
      </c>
      <c r="M146" s="1">
        <f t="shared" si="16"/>
        <v>0.65949999999999998</v>
      </c>
      <c r="N146" s="1">
        <f t="shared" si="17"/>
        <v>1.6000000000000001E-3</v>
      </c>
      <c r="O146" s="3">
        <f t="shared" si="18"/>
        <v>5448</v>
      </c>
      <c r="P146" s="1">
        <f t="shared" si="19"/>
        <v>8.5330326097171325E-2</v>
      </c>
      <c r="Q146" t="str">
        <f t="shared" si="20"/>
        <v>High CTR</v>
      </c>
      <c r="R146" t="str">
        <f t="shared" si="21"/>
        <v>High</v>
      </c>
      <c r="S146" t="str">
        <f t="shared" si="22"/>
        <v>Morning</v>
      </c>
      <c r="T146">
        <f t="shared" si="23"/>
        <v>3</v>
      </c>
    </row>
    <row r="147" spans="1:20" x14ac:dyDescent="0.3">
      <c r="A147" t="s">
        <v>449</v>
      </c>
      <c r="B147" t="s">
        <v>450</v>
      </c>
      <c r="C147" s="2">
        <v>3845</v>
      </c>
      <c r="D147" s="2">
        <v>4928</v>
      </c>
      <c r="E147" s="2">
        <v>722</v>
      </c>
      <c r="F147" s="18">
        <v>24.88</v>
      </c>
      <c r="G147">
        <v>26509</v>
      </c>
      <c r="H147">
        <v>70592</v>
      </c>
      <c r="I147" s="1">
        <v>4.7300000000000004</v>
      </c>
      <c r="J147" t="s">
        <v>12</v>
      </c>
      <c r="K147" s="4" t="s">
        <v>1063</v>
      </c>
      <c r="L147" t="s">
        <v>451</v>
      </c>
      <c r="M147" s="1">
        <f t="shared" si="16"/>
        <v>0.24879999999999999</v>
      </c>
      <c r="N147" s="1">
        <f t="shared" si="17"/>
        <v>4.7300000000000002E-2</v>
      </c>
      <c r="O147" s="3">
        <f t="shared" si="18"/>
        <v>9495</v>
      </c>
      <c r="P147" s="1">
        <f t="shared" si="19"/>
        <v>0.13450532638259294</v>
      </c>
      <c r="Q147" t="str">
        <f t="shared" si="20"/>
        <v>High CTR</v>
      </c>
      <c r="R147" t="str">
        <f t="shared" si="21"/>
        <v>High</v>
      </c>
      <c r="S147" t="str">
        <f t="shared" si="22"/>
        <v>Afternoon</v>
      </c>
      <c r="T147">
        <f t="shared" si="23"/>
        <v>3</v>
      </c>
    </row>
    <row r="148" spans="1:20" x14ac:dyDescent="0.3">
      <c r="A148" t="s">
        <v>452</v>
      </c>
      <c r="B148" t="s">
        <v>453</v>
      </c>
      <c r="C148" s="2">
        <v>8502</v>
      </c>
      <c r="D148" s="2">
        <v>2822</v>
      </c>
      <c r="E148" s="2">
        <v>366</v>
      </c>
      <c r="F148" s="18">
        <v>42.6</v>
      </c>
      <c r="G148">
        <v>55061</v>
      </c>
      <c r="H148">
        <v>31874</v>
      </c>
      <c r="I148" s="1">
        <v>6.38</v>
      </c>
      <c r="J148" t="s">
        <v>12</v>
      </c>
      <c r="K148" s="4" t="s">
        <v>1064</v>
      </c>
      <c r="L148" t="s">
        <v>454</v>
      </c>
      <c r="M148" s="1">
        <f t="shared" si="16"/>
        <v>0.42599999999999999</v>
      </c>
      <c r="N148" s="1">
        <f t="shared" si="17"/>
        <v>6.3799999999999996E-2</v>
      </c>
      <c r="O148" s="3">
        <f t="shared" si="18"/>
        <v>11690</v>
      </c>
      <c r="P148" s="1">
        <f t="shared" si="19"/>
        <v>0.36675660412875699</v>
      </c>
      <c r="Q148" t="str">
        <f t="shared" si="20"/>
        <v>High CTR</v>
      </c>
      <c r="R148" t="str">
        <f t="shared" si="21"/>
        <v>High</v>
      </c>
      <c r="S148" t="str">
        <f t="shared" si="22"/>
        <v>Morning</v>
      </c>
      <c r="T148">
        <f t="shared" si="23"/>
        <v>3</v>
      </c>
    </row>
    <row r="149" spans="1:20" x14ac:dyDescent="0.3">
      <c r="A149" t="s">
        <v>455</v>
      </c>
      <c r="B149" t="s">
        <v>456</v>
      </c>
      <c r="C149" s="2">
        <v>1972</v>
      </c>
      <c r="D149" s="2">
        <v>1054</v>
      </c>
      <c r="E149" s="2">
        <v>1172</v>
      </c>
      <c r="F149" s="18">
        <v>89.79</v>
      </c>
      <c r="G149">
        <v>30148</v>
      </c>
      <c r="H149">
        <v>58395</v>
      </c>
      <c r="I149" s="1">
        <v>7.22</v>
      </c>
      <c r="J149" t="s">
        <v>20</v>
      </c>
      <c r="K149" s="4" t="s">
        <v>1065</v>
      </c>
      <c r="L149" t="s">
        <v>457</v>
      </c>
      <c r="M149" s="1">
        <f t="shared" si="16"/>
        <v>0.89790000000000003</v>
      </c>
      <c r="N149" s="1">
        <f t="shared" si="17"/>
        <v>7.22E-2</v>
      </c>
      <c r="O149" s="3">
        <f t="shared" si="18"/>
        <v>4198</v>
      </c>
      <c r="P149" s="1">
        <f t="shared" si="19"/>
        <v>7.1889716585324087E-2</v>
      </c>
      <c r="Q149" t="str">
        <f t="shared" si="20"/>
        <v>High CTR</v>
      </c>
      <c r="R149" t="str">
        <f t="shared" si="21"/>
        <v>High</v>
      </c>
      <c r="S149" t="str">
        <f t="shared" si="22"/>
        <v>Afternoon</v>
      </c>
      <c r="T149">
        <f t="shared" si="23"/>
        <v>3</v>
      </c>
    </row>
    <row r="150" spans="1:20" x14ac:dyDescent="0.3">
      <c r="A150" t="s">
        <v>458</v>
      </c>
      <c r="B150" t="s">
        <v>459</v>
      </c>
      <c r="C150" s="2">
        <v>3801</v>
      </c>
      <c r="D150" s="2">
        <v>2013</v>
      </c>
      <c r="E150" s="2">
        <v>305</v>
      </c>
      <c r="F150" s="18">
        <v>84.98</v>
      </c>
      <c r="G150">
        <v>88087</v>
      </c>
      <c r="H150">
        <v>66896</v>
      </c>
      <c r="I150" s="1">
        <v>9.0299999999999994</v>
      </c>
      <c r="J150" t="s">
        <v>12</v>
      </c>
      <c r="K150" s="4" t="s">
        <v>1066</v>
      </c>
      <c r="L150" t="s">
        <v>460</v>
      </c>
      <c r="M150" s="1">
        <f t="shared" si="16"/>
        <v>0.8498</v>
      </c>
      <c r="N150" s="1">
        <f t="shared" si="17"/>
        <v>9.0299999999999991E-2</v>
      </c>
      <c r="O150" s="3">
        <f t="shared" si="18"/>
        <v>6119</v>
      </c>
      <c r="P150" s="1">
        <f t="shared" si="19"/>
        <v>9.1470342023439372E-2</v>
      </c>
      <c r="Q150" t="str">
        <f t="shared" si="20"/>
        <v>High CTR</v>
      </c>
      <c r="R150" t="str">
        <f t="shared" si="21"/>
        <v>High</v>
      </c>
      <c r="S150" t="str">
        <f t="shared" si="22"/>
        <v>Afternoon</v>
      </c>
      <c r="T150">
        <f t="shared" si="23"/>
        <v>3</v>
      </c>
    </row>
    <row r="151" spans="1:20" x14ac:dyDescent="0.3">
      <c r="A151" t="s">
        <v>461</v>
      </c>
      <c r="B151" t="s">
        <v>462</v>
      </c>
      <c r="C151" s="2">
        <v>5500</v>
      </c>
      <c r="D151" s="2">
        <v>4865</v>
      </c>
      <c r="E151" s="2">
        <v>981</v>
      </c>
      <c r="F151" s="18">
        <v>51.26</v>
      </c>
      <c r="G151">
        <v>44933</v>
      </c>
      <c r="H151">
        <v>85471</v>
      </c>
      <c r="I151" s="1">
        <v>6.8</v>
      </c>
      <c r="J151" t="s">
        <v>20</v>
      </c>
      <c r="K151" s="4" t="s">
        <v>1067</v>
      </c>
      <c r="L151" t="s">
        <v>463</v>
      </c>
      <c r="M151" s="1">
        <f t="shared" si="16"/>
        <v>0.51259999999999994</v>
      </c>
      <c r="N151" s="1">
        <f t="shared" si="17"/>
        <v>6.8000000000000005E-2</v>
      </c>
      <c r="O151" s="3">
        <f t="shared" si="18"/>
        <v>11346</v>
      </c>
      <c r="P151" s="1">
        <f t="shared" si="19"/>
        <v>0.13274677960945819</v>
      </c>
      <c r="Q151" t="str">
        <f t="shared" si="20"/>
        <v>High CTR</v>
      </c>
      <c r="R151" t="str">
        <f t="shared" si="21"/>
        <v>High</v>
      </c>
      <c r="S151" t="str">
        <f t="shared" si="22"/>
        <v>Morning</v>
      </c>
      <c r="T151">
        <f t="shared" si="23"/>
        <v>3</v>
      </c>
    </row>
    <row r="152" spans="1:20" x14ac:dyDescent="0.3">
      <c r="A152" t="s">
        <v>464</v>
      </c>
      <c r="B152" t="s">
        <v>465</v>
      </c>
      <c r="C152" s="2">
        <v>1422</v>
      </c>
      <c r="D152" s="2">
        <v>1593</v>
      </c>
      <c r="E152" s="2">
        <v>1120</v>
      </c>
      <c r="F152" s="18">
        <v>22.65</v>
      </c>
      <c r="G152">
        <v>98465</v>
      </c>
      <c r="H152">
        <v>25834</v>
      </c>
      <c r="I152" s="1">
        <v>4.97</v>
      </c>
      <c r="J152" t="s">
        <v>16</v>
      </c>
      <c r="K152" s="4" t="s">
        <v>1068</v>
      </c>
      <c r="L152" t="s">
        <v>466</v>
      </c>
      <c r="M152" s="1">
        <f t="shared" si="16"/>
        <v>0.22649999999999998</v>
      </c>
      <c r="N152" s="1">
        <f t="shared" si="17"/>
        <v>4.9699999999999994E-2</v>
      </c>
      <c r="O152" s="3">
        <f t="shared" si="18"/>
        <v>4135</v>
      </c>
      <c r="P152" s="1">
        <f t="shared" si="19"/>
        <v>0.16006038553843771</v>
      </c>
      <c r="Q152" t="str">
        <f t="shared" si="20"/>
        <v>High CTR</v>
      </c>
      <c r="R152" t="str">
        <f t="shared" si="21"/>
        <v>High</v>
      </c>
      <c r="S152" t="str">
        <f t="shared" si="22"/>
        <v>Morning</v>
      </c>
      <c r="T152">
        <f t="shared" si="23"/>
        <v>3</v>
      </c>
    </row>
    <row r="153" spans="1:20" x14ac:dyDescent="0.3">
      <c r="A153" t="s">
        <v>467</v>
      </c>
      <c r="B153" t="s">
        <v>468</v>
      </c>
      <c r="C153" s="2">
        <v>634</v>
      </c>
      <c r="D153" s="2">
        <v>503</v>
      </c>
      <c r="E153" s="2">
        <v>1869</v>
      </c>
      <c r="F153" s="18">
        <v>80.69</v>
      </c>
      <c r="G153">
        <v>10777</v>
      </c>
      <c r="H153">
        <v>53490</v>
      </c>
      <c r="I153" s="1">
        <v>8.15</v>
      </c>
      <c r="J153" t="s">
        <v>20</v>
      </c>
      <c r="K153" s="4" t="s">
        <v>1069</v>
      </c>
      <c r="L153" t="s">
        <v>469</v>
      </c>
      <c r="M153" s="1">
        <f t="shared" si="16"/>
        <v>0.80689999999999995</v>
      </c>
      <c r="N153" s="1">
        <f t="shared" si="17"/>
        <v>8.1500000000000003E-2</v>
      </c>
      <c r="O153" s="3">
        <f t="shared" si="18"/>
        <v>3006</v>
      </c>
      <c r="P153" s="1">
        <f t="shared" si="19"/>
        <v>5.6197420078519349E-2</v>
      </c>
      <c r="Q153" t="str">
        <f t="shared" si="20"/>
        <v>High CTR</v>
      </c>
      <c r="R153" t="str">
        <f t="shared" si="21"/>
        <v>High</v>
      </c>
      <c r="S153" t="str">
        <f t="shared" si="22"/>
        <v>Evening</v>
      </c>
      <c r="T153">
        <f t="shared" si="23"/>
        <v>3</v>
      </c>
    </row>
    <row r="154" spans="1:20" x14ac:dyDescent="0.3">
      <c r="A154" t="s">
        <v>470</v>
      </c>
      <c r="B154" t="s">
        <v>471</v>
      </c>
      <c r="C154" s="2">
        <v>6588</v>
      </c>
      <c r="D154" s="2">
        <v>32</v>
      </c>
      <c r="E154" s="2">
        <v>954</v>
      </c>
      <c r="F154" s="18">
        <v>64.66</v>
      </c>
      <c r="G154">
        <v>84876</v>
      </c>
      <c r="H154">
        <v>27021</v>
      </c>
      <c r="I154" s="1">
        <v>0.05</v>
      </c>
      <c r="J154" t="s">
        <v>12</v>
      </c>
      <c r="K154" s="4" t="s">
        <v>1070</v>
      </c>
      <c r="L154" t="s">
        <v>472</v>
      </c>
      <c r="M154" s="1">
        <f t="shared" si="16"/>
        <v>0.64659999999999995</v>
      </c>
      <c r="N154" s="1">
        <f t="shared" si="17"/>
        <v>5.0000000000000001E-4</v>
      </c>
      <c r="O154" s="3">
        <f t="shared" si="18"/>
        <v>7574</v>
      </c>
      <c r="P154" s="1">
        <f t="shared" si="19"/>
        <v>0.28030050701306392</v>
      </c>
      <c r="Q154" t="str">
        <f t="shared" si="20"/>
        <v>Low CTR</v>
      </c>
      <c r="R154" t="str">
        <f t="shared" si="21"/>
        <v>High</v>
      </c>
      <c r="S154" t="str">
        <f t="shared" si="22"/>
        <v>Afternoon</v>
      </c>
      <c r="T154">
        <f t="shared" si="23"/>
        <v>3</v>
      </c>
    </row>
    <row r="155" spans="1:20" x14ac:dyDescent="0.3">
      <c r="A155" t="s">
        <v>473</v>
      </c>
      <c r="B155" t="s">
        <v>474</v>
      </c>
      <c r="C155" s="2">
        <v>5923</v>
      </c>
      <c r="D155" s="2">
        <v>4960</v>
      </c>
      <c r="E155" s="2">
        <v>1298</v>
      </c>
      <c r="F155" s="18">
        <v>76.86</v>
      </c>
      <c r="G155">
        <v>13979</v>
      </c>
      <c r="H155">
        <v>89079</v>
      </c>
      <c r="I155" s="1">
        <v>8.94</v>
      </c>
      <c r="J155" t="s">
        <v>42</v>
      </c>
      <c r="K155" s="4" t="s">
        <v>1071</v>
      </c>
      <c r="L155" t="s">
        <v>475</v>
      </c>
      <c r="M155" s="1">
        <f t="shared" si="16"/>
        <v>0.76859999999999995</v>
      </c>
      <c r="N155" s="1">
        <f t="shared" si="17"/>
        <v>8.9399999999999993E-2</v>
      </c>
      <c r="O155" s="3">
        <f t="shared" si="18"/>
        <v>12181</v>
      </c>
      <c r="P155" s="1">
        <f t="shared" si="19"/>
        <v>0.13674378922080402</v>
      </c>
      <c r="Q155" t="str">
        <f t="shared" si="20"/>
        <v>High CTR</v>
      </c>
      <c r="R155" t="str">
        <f t="shared" si="21"/>
        <v>High</v>
      </c>
      <c r="S155" t="str">
        <f t="shared" si="22"/>
        <v>Morning</v>
      </c>
      <c r="T155">
        <f t="shared" si="23"/>
        <v>3</v>
      </c>
    </row>
    <row r="156" spans="1:20" x14ac:dyDescent="0.3">
      <c r="A156" t="s">
        <v>476</v>
      </c>
      <c r="B156" t="s">
        <v>477</v>
      </c>
      <c r="C156" s="2">
        <v>6195</v>
      </c>
      <c r="D156" s="2">
        <v>1909</v>
      </c>
      <c r="E156" s="2">
        <v>36</v>
      </c>
      <c r="F156" s="18">
        <v>0.67</v>
      </c>
      <c r="G156">
        <v>25297</v>
      </c>
      <c r="H156">
        <v>88522</v>
      </c>
      <c r="I156" s="1">
        <v>7.35</v>
      </c>
      <c r="J156" t="s">
        <v>42</v>
      </c>
      <c r="K156" s="4" t="s">
        <v>1072</v>
      </c>
      <c r="L156" t="s">
        <v>478</v>
      </c>
      <c r="M156" s="1">
        <f t="shared" si="16"/>
        <v>6.7000000000000002E-3</v>
      </c>
      <c r="N156" s="1">
        <f t="shared" si="17"/>
        <v>7.3499999999999996E-2</v>
      </c>
      <c r="O156" s="3">
        <f t="shared" si="18"/>
        <v>8140</v>
      </c>
      <c r="P156" s="1">
        <f t="shared" si="19"/>
        <v>9.1954542373647224E-2</v>
      </c>
      <c r="Q156" t="str">
        <f t="shared" si="20"/>
        <v>High CTR</v>
      </c>
      <c r="R156" t="str">
        <f t="shared" si="21"/>
        <v>High</v>
      </c>
      <c r="S156" t="str">
        <f t="shared" si="22"/>
        <v>Morning</v>
      </c>
      <c r="T156">
        <f t="shared" si="23"/>
        <v>3</v>
      </c>
    </row>
    <row r="157" spans="1:20" x14ac:dyDescent="0.3">
      <c r="A157" t="s">
        <v>479</v>
      </c>
      <c r="B157" t="s">
        <v>480</v>
      </c>
      <c r="C157" s="2">
        <v>7547</v>
      </c>
      <c r="D157" s="2">
        <v>3680</v>
      </c>
      <c r="E157" s="2">
        <v>1691</v>
      </c>
      <c r="F157" s="18">
        <v>16.760000000000002</v>
      </c>
      <c r="G157">
        <v>21766</v>
      </c>
      <c r="H157">
        <v>40764</v>
      </c>
      <c r="I157" s="1">
        <v>4.17</v>
      </c>
      <c r="J157" t="s">
        <v>42</v>
      </c>
      <c r="K157" s="4" t="s">
        <v>1073</v>
      </c>
      <c r="L157" t="s">
        <v>481</v>
      </c>
      <c r="M157" s="1">
        <f t="shared" si="16"/>
        <v>0.16760000000000003</v>
      </c>
      <c r="N157" s="1">
        <f t="shared" si="17"/>
        <v>4.1700000000000001E-2</v>
      </c>
      <c r="O157" s="3">
        <f t="shared" si="18"/>
        <v>12918</v>
      </c>
      <c r="P157" s="1">
        <f t="shared" si="19"/>
        <v>0.31689726229025611</v>
      </c>
      <c r="Q157" t="str">
        <f t="shared" si="20"/>
        <v>High CTR</v>
      </c>
      <c r="R157" t="str">
        <f t="shared" si="21"/>
        <v>High</v>
      </c>
      <c r="S157" t="str">
        <f t="shared" si="22"/>
        <v>Evening</v>
      </c>
      <c r="T157">
        <f t="shared" si="23"/>
        <v>3</v>
      </c>
    </row>
    <row r="158" spans="1:20" x14ac:dyDescent="0.3">
      <c r="A158" t="s">
        <v>482</v>
      </c>
      <c r="B158" t="s">
        <v>483</v>
      </c>
      <c r="C158" s="2">
        <v>4577</v>
      </c>
      <c r="D158" s="2">
        <v>573</v>
      </c>
      <c r="E158" s="2">
        <v>456</v>
      </c>
      <c r="F158" s="18">
        <v>52.41</v>
      </c>
      <c r="G158">
        <v>70649</v>
      </c>
      <c r="H158">
        <v>37902</v>
      </c>
      <c r="I158" s="1">
        <v>2.16</v>
      </c>
      <c r="J158" t="s">
        <v>16</v>
      </c>
      <c r="K158" s="4" t="s">
        <v>1074</v>
      </c>
      <c r="L158" t="s">
        <v>484</v>
      </c>
      <c r="M158" s="1">
        <f t="shared" si="16"/>
        <v>0.52410000000000001</v>
      </c>
      <c r="N158" s="1">
        <f t="shared" si="17"/>
        <v>2.1600000000000001E-2</v>
      </c>
      <c r="O158" s="3">
        <f t="shared" si="18"/>
        <v>5606</v>
      </c>
      <c r="P158" s="1">
        <f t="shared" si="19"/>
        <v>0.14790776212337081</v>
      </c>
      <c r="Q158" t="str">
        <f t="shared" si="20"/>
        <v>High CTR</v>
      </c>
      <c r="R158" t="str">
        <f t="shared" si="21"/>
        <v>High</v>
      </c>
      <c r="S158" t="str">
        <f t="shared" si="22"/>
        <v>Morning</v>
      </c>
      <c r="T158">
        <f t="shared" si="23"/>
        <v>3</v>
      </c>
    </row>
    <row r="159" spans="1:20" x14ac:dyDescent="0.3">
      <c r="A159" t="s">
        <v>485</v>
      </c>
      <c r="B159" t="s">
        <v>486</v>
      </c>
      <c r="C159" s="2">
        <v>8571</v>
      </c>
      <c r="D159" s="2">
        <v>4579</v>
      </c>
      <c r="E159" s="2">
        <v>1140</v>
      </c>
      <c r="F159" s="18">
        <v>86.33</v>
      </c>
      <c r="G159">
        <v>68711</v>
      </c>
      <c r="H159">
        <v>72580</v>
      </c>
      <c r="I159" s="1">
        <v>3.66</v>
      </c>
      <c r="J159" t="s">
        <v>42</v>
      </c>
      <c r="K159" s="4" t="s">
        <v>1075</v>
      </c>
      <c r="L159" t="s">
        <v>487</v>
      </c>
      <c r="M159" s="1">
        <f t="shared" si="16"/>
        <v>0.86329999999999996</v>
      </c>
      <c r="N159" s="1">
        <f t="shared" si="17"/>
        <v>3.6600000000000001E-2</v>
      </c>
      <c r="O159" s="3">
        <f t="shared" si="18"/>
        <v>14290</v>
      </c>
      <c r="P159" s="1">
        <f t="shared" si="19"/>
        <v>0.19688619454395151</v>
      </c>
      <c r="Q159" t="str">
        <f t="shared" si="20"/>
        <v>High CTR</v>
      </c>
      <c r="R159" t="str">
        <f t="shared" si="21"/>
        <v>High</v>
      </c>
      <c r="S159" t="str">
        <f t="shared" si="22"/>
        <v>Afternoon</v>
      </c>
      <c r="T159">
        <f t="shared" si="23"/>
        <v>3</v>
      </c>
    </row>
    <row r="160" spans="1:20" x14ac:dyDescent="0.3">
      <c r="A160" t="s">
        <v>488</v>
      </c>
      <c r="B160" t="s">
        <v>489</v>
      </c>
      <c r="C160" s="2">
        <v>8443</v>
      </c>
      <c r="D160" s="2">
        <v>196</v>
      </c>
      <c r="E160" s="2">
        <v>864</v>
      </c>
      <c r="F160" s="18">
        <v>54.16</v>
      </c>
      <c r="G160">
        <v>26404</v>
      </c>
      <c r="H160">
        <v>16098</v>
      </c>
      <c r="I160" s="1">
        <v>3.72</v>
      </c>
      <c r="J160" t="s">
        <v>12</v>
      </c>
      <c r="K160" s="4" t="s">
        <v>1076</v>
      </c>
      <c r="L160" t="s">
        <v>490</v>
      </c>
      <c r="M160" s="1">
        <f t="shared" si="16"/>
        <v>0.54159999999999997</v>
      </c>
      <c r="N160" s="1">
        <f t="shared" si="17"/>
        <v>3.7200000000000004E-2</v>
      </c>
      <c r="O160" s="3">
        <f t="shared" si="18"/>
        <v>9503</v>
      </c>
      <c r="P160" s="1">
        <f t="shared" si="19"/>
        <v>0.59032177910299422</v>
      </c>
      <c r="Q160" t="str">
        <f t="shared" si="20"/>
        <v>High CTR</v>
      </c>
      <c r="R160" t="str">
        <f t="shared" si="21"/>
        <v>High</v>
      </c>
      <c r="S160" t="str">
        <f t="shared" si="22"/>
        <v>Morning</v>
      </c>
      <c r="T160">
        <f t="shared" si="23"/>
        <v>3</v>
      </c>
    </row>
    <row r="161" spans="1:20" x14ac:dyDescent="0.3">
      <c r="A161" t="s">
        <v>491</v>
      </c>
      <c r="B161" t="s">
        <v>492</v>
      </c>
      <c r="C161" s="2">
        <v>612</v>
      </c>
      <c r="D161" s="2">
        <v>4967</v>
      </c>
      <c r="E161" s="2">
        <v>874</v>
      </c>
      <c r="F161" s="18">
        <v>81.42</v>
      </c>
      <c r="G161">
        <v>68566</v>
      </c>
      <c r="H161">
        <v>30742</v>
      </c>
      <c r="I161" s="1">
        <v>2.06</v>
      </c>
      <c r="J161" t="s">
        <v>16</v>
      </c>
      <c r="K161" s="4" t="s">
        <v>1077</v>
      </c>
      <c r="L161" t="s">
        <v>493</v>
      </c>
      <c r="M161" s="1">
        <f t="shared" si="16"/>
        <v>0.81420000000000003</v>
      </c>
      <c r="N161" s="1">
        <f t="shared" si="17"/>
        <v>2.06E-2</v>
      </c>
      <c r="O161" s="3">
        <f t="shared" si="18"/>
        <v>6453</v>
      </c>
      <c r="P161" s="1">
        <f t="shared" si="19"/>
        <v>0.20990826881790384</v>
      </c>
      <c r="Q161" t="str">
        <f t="shared" si="20"/>
        <v>High CTR</v>
      </c>
      <c r="R161" t="str">
        <f t="shared" si="21"/>
        <v>High</v>
      </c>
      <c r="S161" t="str">
        <f t="shared" si="22"/>
        <v>Morning</v>
      </c>
      <c r="T161">
        <f t="shared" si="23"/>
        <v>3</v>
      </c>
    </row>
    <row r="162" spans="1:20" x14ac:dyDescent="0.3">
      <c r="A162" t="s">
        <v>494</v>
      </c>
      <c r="B162" t="s">
        <v>495</v>
      </c>
      <c r="C162" s="2">
        <v>7191</v>
      </c>
      <c r="D162" s="2">
        <v>4827</v>
      </c>
      <c r="E162" s="2">
        <v>239</v>
      </c>
      <c r="F162" s="18">
        <v>94.85</v>
      </c>
      <c r="G162">
        <v>96964</v>
      </c>
      <c r="H162">
        <v>74257</v>
      </c>
      <c r="I162" s="1">
        <v>9.67</v>
      </c>
      <c r="J162" t="s">
        <v>16</v>
      </c>
      <c r="K162" s="4" t="s">
        <v>1078</v>
      </c>
      <c r="L162" t="s">
        <v>496</v>
      </c>
      <c r="M162" s="1">
        <f t="shared" si="16"/>
        <v>0.9484999999999999</v>
      </c>
      <c r="N162" s="1">
        <f t="shared" si="17"/>
        <v>9.6699999999999994E-2</v>
      </c>
      <c r="O162" s="3">
        <f t="shared" si="18"/>
        <v>12257</v>
      </c>
      <c r="P162" s="1">
        <f t="shared" si="19"/>
        <v>0.1650618796881102</v>
      </c>
      <c r="Q162" t="str">
        <f t="shared" si="20"/>
        <v>High CTR</v>
      </c>
      <c r="R162" t="str">
        <f t="shared" si="21"/>
        <v>High</v>
      </c>
      <c r="S162" t="str">
        <f t="shared" si="22"/>
        <v>Morning</v>
      </c>
      <c r="T162">
        <f t="shared" si="23"/>
        <v>3</v>
      </c>
    </row>
    <row r="163" spans="1:20" x14ac:dyDescent="0.3">
      <c r="A163" t="s">
        <v>497</v>
      </c>
      <c r="B163" t="s">
        <v>498</v>
      </c>
      <c r="C163" s="2">
        <v>7000</v>
      </c>
      <c r="D163" s="2">
        <v>4493</v>
      </c>
      <c r="E163" s="2">
        <v>192</v>
      </c>
      <c r="F163" s="18">
        <v>98.7</v>
      </c>
      <c r="G163">
        <v>47582</v>
      </c>
      <c r="H163">
        <v>33601</v>
      </c>
      <c r="I163" s="1">
        <v>0.4</v>
      </c>
      <c r="J163" t="s">
        <v>16</v>
      </c>
      <c r="K163" s="4" t="s">
        <v>1079</v>
      </c>
      <c r="L163" t="s">
        <v>499</v>
      </c>
      <c r="M163" s="1">
        <f t="shared" si="16"/>
        <v>0.98699999999999999</v>
      </c>
      <c r="N163" s="1">
        <f t="shared" si="17"/>
        <v>4.0000000000000001E-3</v>
      </c>
      <c r="O163" s="3">
        <f t="shared" si="18"/>
        <v>11685</v>
      </c>
      <c r="P163" s="1">
        <f t="shared" si="19"/>
        <v>0.34775750721704712</v>
      </c>
      <c r="Q163" t="str">
        <f t="shared" si="20"/>
        <v>High CTR</v>
      </c>
      <c r="R163" t="str">
        <f t="shared" si="21"/>
        <v>High</v>
      </c>
      <c r="S163" t="str">
        <f t="shared" si="22"/>
        <v>Afternoon</v>
      </c>
      <c r="T163">
        <f t="shared" si="23"/>
        <v>3</v>
      </c>
    </row>
    <row r="164" spans="1:20" x14ac:dyDescent="0.3">
      <c r="A164" t="s">
        <v>500</v>
      </c>
      <c r="B164" t="s">
        <v>501</v>
      </c>
      <c r="C164" s="2">
        <v>7394</v>
      </c>
      <c r="D164" s="2">
        <v>1836</v>
      </c>
      <c r="E164" s="2">
        <v>1134</v>
      </c>
      <c r="F164" s="18">
        <v>61.02</v>
      </c>
      <c r="G164">
        <v>62919</v>
      </c>
      <c r="H164">
        <v>29064</v>
      </c>
      <c r="I164" s="1">
        <v>0.05</v>
      </c>
      <c r="J164" t="s">
        <v>20</v>
      </c>
      <c r="K164" s="4" t="s">
        <v>1080</v>
      </c>
      <c r="L164" t="s">
        <v>502</v>
      </c>
      <c r="M164" s="1">
        <f t="shared" si="16"/>
        <v>0.61020000000000008</v>
      </c>
      <c r="N164" s="1">
        <f t="shared" si="17"/>
        <v>5.0000000000000001E-4</v>
      </c>
      <c r="O164" s="3">
        <f t="shared" si="18"/>
        <v>10364</v>
      </c>
      <c r="P164" s="1">
        <f t="shared" si="19"/>
        <v>0.3565923479218277</v>
      </c>
      <c r="Q164" t="str">
        <f t="shared" si="20"/>
        <v>Low CTR</v>
      </c>
      <c r="R164" t="str">
        <f t="shared" si="21"/>
        <v>High</v>
      </c>
      <c r="S164" t="str">
        <f t="shared" si="22"/>
        <v>Morning</v>
      </c>
      <c r="T164">
        <f t="shared" si="23"/>
        <v>3</v>
      </c>
    </row>
    <row r="165" spans="1:20" x14ac:dyDescent="0.3">
      <c r="A165" t="s">
        <v>503</v>
      </c>
      <c r="B165" t="s">
        <v>504</v>
      </c>
      <c r="C165" s="2">
        <v>9841</v>
      </c>
      <c r="D165" s="2">
        <v>130</v>
      </c>
      <c r="E165" s="2">
        <v>803</v>
      </c>
      <c r="F165" s="18">
        <v>10.16</v>
      </c>
      <c r="G165">
        <v>30975</v>
      </c>
      <c r="H165">
        <v>78434</v>
      </c>
      <c r="I165" s="1">
        <v>5.69</v>
      </c>
      <c r="J165" t="s">
        <v>20</v>
      </c>
      <c r="K165" s="4" t="s">
        <v>1081</v>
      </c>
      <c r="L165" t="s">
        <v>505</v>
      </c>
      <c r="M165" s="1">
        <f t="shared" si="16"/>
        <v>0.1016</v>
      </c>
      <c r="N165" s="1">
        <f t="shared" si="17"/>
        <v>5.6900000000000006E-2</v>
      </c>
      <c r="O165" s="3">
        <f t="shared" si="18"/>
        <v>10774</v>
      </c>
      <c r="P165" s="1">
        <f t="shared" si="19"/>
        <v>0.13736389830940662</v>
      </c>
      <c r="Q165" t="str">
        <f t="shared" si="20"/>
        <v>High CTR</v>
      </c>
      <c r="R165" t="str">
        <f t="shared" si="21"/>
        <v>High</v>
      </c>
      <c r="S165" t="str">
        <f t="shared" si="22"/>
        <v>Evening</v>
      </c>
      <c r="T165">
        <f t="shared" si="23"/>
        <v>3</v>
      </c>
    </row>
    <row r="166" spans="1:20" x14ac:dyDescent="0.3">
      <c r="A166" t="s">
        <v>506</v>
      </c>
      <c r="B166" t="s">
        <v>507</v>
      </c>
      <c r="C166" s="2">
        <v>9332</v>
      </c>
      <c r="D166" s="2">
        <v>3173</v>
      </c>
      <c r="E166" s="2">
        <v>122</v>
      </c>
      <c r="F166" s="18">
        <v>31.54</v>
      </c>
      <c r="G166">
        <v>55446</v>
      </c>
      <c r="H166">
        <v>10893</v>
      </c>
      <c r="I166" s="1">
        <v>5.97</v>
      </c>
      <c r="J166" t="s">
        <v>16</v>
      </c>
      <c r="K166" s="4" t="s">
        <v>1082</v>
      </c>
      <c r="L166" t="s">
        <v>508</v>
      </c>
      <c r="M166" s="1">
        <f t="shared" si="16"/>
        <v>0.31540000000000001</v>
      </c>
      <c r="N166" s="1">
        <f t="shared" si="17"/>
        <v>5.9699999999999996E-2</v>
      </c>
      <c r="O166" s="3">
        <f t="shared" si="18"/>
        <v>12627</v>
      </c>
      <c r="P166" s="1">
        <f t="shared" si="19"/>
        <v>1</v>
      </c>
      <c r="Q166" t="str">
        <f t="shared" si="20"/>
        <v>High CTR</v>
      </c>
      <c r="R166" t="str">
        <f t="shared" si="21"/>
        <v>High</v>
      </c>
      <c r="S166" t="str">
        <f t="shared" si="22"/>
        <v>Morning</v>
      </c>
      <c r="T166">
        <f t="shared" si="23"/>
        <v>3</v>
      </c>
    </row>
    <row r="167" spans="1:20" x14ac:dyDescent="0.3">
      <c r="A167" t="s">
        <v>509</v>
      </c>
      <c r="B167" t="s">
        <v>510</v>
      </c>
      <c r="C167" s="2">
        <v>745</v>
      </c>
      <c r="D167" s="2">
        <v>1700</v>
      </c>
      <c r="E167" s="2">
        <v>919</v>
      </c>
      <c r="F167" s="18">
        <v>25.06</v>
      </c>
      <c r="G167">
        <v>89097</v>
      </c>
      <c r="H167">
        <v>15452</v>
      </c>
      <c r="I167" s="1">
        <v>4.8600000000000003</v>
      </c>
      <c r="J167" t="s">
        <v>20</v>
      </c>
      <c r="K167" s="4" t="s">
        <v>1083</v>
      </c>
      <c r="L167" t="s">
        <v>511</v>
      </c>
      <c r="M167" s="1">
        <f t="shared" si="16"/>
        <v>0.25059999999999999</v>
      </c>
      <c r="N167" s="1">
        <f t="shared" si="17"/>
        <v>4.8600000000000004E-2</v>
      </c>
      <c r="O167" s="3">
        <f t="shared" si="18"/>
        <v>3364</v>
      </c>
      <c r="P167" s="1">
        <f t="shared" si="19"/>
        <v>0.21770644576753817</v>
      </c>
      <c r="Q167" t="str">
        <f t="shared" si="20"/>
        <v>High CTR</v>
      </c>
      <c r="R167" t="str">
        <f t="shared" si="21"/>
        <v>High</v>
      </c>
      <c r="S167" t="str">
        <f t="shared" si="22"/>
        <v>Morning</v>
      </c>
      <c r="T167">
        <f t="shared" si="23"/>
        <v>3</v>
      </c>
    </row>
    <row r="168" spans="1:20" x14ac:dyDescent="0.3">
      <c r="A168" t="s">
        <v>512</v>
      </c>
      <c r="B168" t="s">
        <v>513</v>
      </c>
      <c r="C168" s="2">
        <v>3218</v>
      </c>
      <c r="D168" s="2">
        <v>1001</v>
      </c>
      <c r="E168" s="2">
        <v>546</v>
      </c>
      <c r="F168" s="18">
        <v>29.49</v>
      </c>
      <c r="G168">
        <v>60348</v>
      </c>
      <c r="H168">
        <v>64522</v>
      </c>
      <c r="I168" s="1">
        <v>6.95</v>
      </c>
      <c r="J168" t="s">
        <v>20</v>
      </c>
      <c r="K168" s="4" t="s">
        <v>1084</v>
      </c>
      <c r="L168" t="s">
        <v>514</v>
      </c>
      <c r="M168" s="1">
        <f t="shared" si="16"/>
        <v>0.2949</v>
      </c>
      <c r="N168" s="1">
        <f t="shared" si="17"/>
        <v>6.9500000000000006E-2</v>
      </c>
      <c r="O168" s="3">
        <f t="shared" si="18"/>
        <v>4765</v>
      </c>
      <c r="P168" s="1">
        <f t="shared" si="19"/>
        <v>7.3850779579058307E-2</v>
      </c>
      <c r="Q168" t="str">
        <f t="shared" si="20"/>
        <v>High CTR</v>
      </c>
      <c r="R168" t="str">
        <f t="shared" si="21"/>
        <v>High</v>
      </c>
      <c r="S168" t="str">
        <f t="shared" si="22"/>
        <v>Morning</v>
      </c>
      <c r="T168">
        <f t="shared" si="23"/>
        <v>3</v>
      </c>
    </row>
    <row r="169" spans="1:20" x14ac:dyDescent="0.3">
      <c r="A169" t="s">
        <v>515</v>
      </c>
      <c r="B169" t="s">
        <v>516</v>
      </c>
      <c r="C169" s="2">
        <v>9376</v>
      </c>
      <c r="D169" s="2">
        <v>2546</v>
      </c>
      <c r="E169" s="2">
        <v>417</v>
      </c>
      <c r="F169" s="18">
        <v>30.33</v>
      </c>
      <c r="G169">
        <v>85435</v>
      </c>
      <c r="H169">
        <v>56712</v>
      </c>
      <c r="I169" s="1">
        <v>7.62</v>
      </c>
      <c r="J169" t="s">
        <v>16</v>
      </c>
      <c r="K169" s="4" t="s">
        <v>1085</v>
      </c>
      <c r="L169" t="s">
        <v>517</v>
      </c>
      <c r="M169" s="1">
        <f t="shared" si="16"/>
        <v>0.30329999999999996</v>
      </c>
      <c r="N169" s="1">
        <f t="shared" si="17"/>
        <v>7.6200000000000004E-2</v>
      </c>
      <c r="O169" s="3">
        <f t="shared" si="18"/>
        <v>12339</v>
      </c>
      <c r="P169" s="1">
        <f t="shared" si="19"/>
        <v>0.21757300042319086</v>
      </c>
      <c r="Q169" t="str">
        <f t="shared" si="20"/>
        <v>High CTR</v>
      </c>
      <c r="R169" t="str">
        <f t="shared" si="21"/>
        <v>High</v>
      </c>
      <c r="S169" t="str">
        <f t="shared" si="22"/>
        <v>Afternoon</v>
      </c>
      <c r="T169">
        <f t="shared" si="23"/>
        <v>3</v>
      </c>
    </row>
    <row r="170" spans="1:20" x14ac:dyDescent="0.3">
      <c r="A170" t="s">
        <v>518</v>
      </c>
      <c r="B170" t="s">
        <v>519</v>
      </c>
      <c r="C170" s="2">
        <v>4752</v>
      </c>
      <c r="D170" s="2">
        <v>2588</v>
      </c>
      <c r="E170" s="2">
        <v>1584</v>
      </c>
      <c r="F170" s="18">
        <v>13.58</v>
      </c>
      <c r="G170">
        <v>91677</v>
      </c>
      <c r="H170">
        <v>58168</v>
      </c>
      <c r="I170" s="1">
        <v>2.4</v>
      </c>
      <c r="J170" t="s">
        <v>16</v>
      </c>
      <c r="K170" s="4" t="s">
        <v>1086</v>
      </c>
      <c r="L170" t="s">
        <v>520</v>
      </c>
      <c r="M170" s="1">
        <f t="shared" si="16"/>
        <v>0.1358</v>
      </c>
      <c r="N170" s="1">
        <f t="shared" si="17"/>
        <v>2.4E-2</v>
      </c>
      <c r="O170" s="3">
        <f t="shared" si="18"/>
        <v>8924</v>
      </c>
      <c r="P170" s="1">
        <f t="shared" si="19"/>
        <v>0.15341768670059139</v>
      </c>
      <c r="Q170" t="str">
        <f t="shared" si="20"/>
        <v>High CTR</v>
      </c>
      <c r="R170" t="str">
        <f t="shared" si="21"/>
        <v>High</v>
      </c>
      <c r="S170" t="str">
        <f t="shared" si="22"/>
        <v>Night</v>
      </c>
      <c r="T170">
        <f t="shared" si="23"/>
        <v>3</v>
      </c>
    </row>
    <row r="171" spans="1:20" x14ac:dyDescent="0.3">
      <c r="A171" t="s">
        <v>521</v>
      </c>
      <c r="B171" t="s">
        <v>522</v>
      </c>
      <c r="C171" s="2">
        <v>2881</v>
      </c>
      <c r="D171" s="2">
        <v>3430</v>
      </c>
      <c r="E171" s="2">
        <v>429</v>
      </c>
      <c r="F171" s="18">
        <v>18</v>
      </c>
      <c r="G171">
        <v>60679</v>
      </c>
      <c r="H171">
        <v>70654</v>
      </c>
      <c r="I171" s="1">
        <v>6.5</v>
      </c>
      <c r="J171" t="s">
        <v>42</v>
      </c>
      <c r="K171" s="4" t="s">
        <v>1087</v>
      </c>
      <c r="L171" t="s">
        <v>523</v>
      </c>
      <c r="M171" s="1">
        <f t="shared" si="16"/>
        <v>0.18</v>
      </c>
      <c r="N171" s="1">
        <f t="shared" si="17"/>
        <v>6.5000000000000002E-2</v>
      </c>
      <c r="O171" s="3">
        <f t="shared" si="18"/>
        <v>6740</v>
      </c>
      <c r="P171" s="1">
        <f t="shared" si="19"/>
        <v>9.5394457497098531E-2</v>
      </c>
      <c r="Q171" t="str">
        <f t="shared" si="20"/>
        <v>High CTR</v>
      </c>
      <c r="R171" t="str">
        <f t="shared" si="21"/>
        <v>High</v>
      </c>
      <c r="S171" t="str">
        <f t="shared" si="22"/>
        <v>Night</v>
      </c>
      <c r="T171">
        <f t="shared" si="23"/>
        <v>3</v>
      </c>
    </row>
    <row r="172" spans="1:20" x14ac:dyDescent="0.3">
      <c r="A172" t="s">
        <v>524</v>
      </c>
      <c r="B172" t="s">
        <v>525</v>
      </c>
      <c r="C172" s="2">
        <v>7851</v>
      </c>
      <c r="D172" s="2">
        <v>2377</v>
      </c>
      <c r="E172" s="2">
        <v>1742</v>
      </c>
      <c r="F172" s="18">
        <v>83</v>
      </c>
      <c r="G172">
        <v>72066</v>
      </c>
      <c r="H172">
        <v>34480</v>
      </c>
      <c r="I172" s="1">
        <v>6.75</v>
      </c>
      <c r="J172" t="s">
        <v>42</v>
      </c>
      <c r="K172" s="4" t="s">
        <v>1088</v>
      </c>
      <c r="L172" t="s">
        <v>526</v>
      </c>
      <c r="M172" s="1">
        <f t="shared" si="16"/>
        <v>0.83</v>
      </c>
      <c r="N172" s="1">
        <f t="shared" si="17"/>
        <v>6.7500000000000004E-2</v>
      </c>
      <c r="O172" s="3">
        <f t="shared" si="18"/>
        <v>11970</v>
      </c>
      <c r="P172" s="1">
        <f t="shared" si="19"/>
        <v>0.34715777262180975</v>
      </c>
      <c r="Q172" t="str">
        <f t="shared" si="20"/>
        <v>High CTR</v>
      </c>
      <c r="R172" t="str">
        <f t="shared" si="21"/>
        <v>High</v>
      </c>
      <c r="S172" t="str">
        <f t="shared" si="22"/>
        <v>Morning</v>
      </c>
      <c r="T172">
        <f t="shared" si="23"/>
        <v>3</v>
      </c>
    </row>
    <row r="173" spans="1:20" x14ac:dyDescent="0.3">
      <c r="A173" t="s">
        <v>527</v>
      </c>
      <c r="B173" t="s">
        <v>528</v>
      </c>
      <c r="C173" s="2">
        <v>127</v>
      </c>
      <c r="D173" s="2">
        <v>2056</v>
      </c>
      <c r="E173" s="2">
        <v>1540</v>
      </c>
      <c r="F173" s="18">
        <v>45.22</v>
      </c>
      <c r="G173">
        <v>51551</v>
      </c>
      <c r="H173">
        <v>40653</v>
      </c>
      <c r="I173" s="1">
        <v>8.19</v>
      </c>
      <c r="J173" t="s">
        <v>12</v>
      </c>
      <c r="K173" s="4" t="s">
        <v>1089</v>
      </c>
      <c r="L173" t="s">
        <v>529</v>
      </c>
      <c r="M173" s="1">
        <f t="shared" si="16"/>
        <v>0.45219999999999999</v>
      </c>
      <c r="N173" s="1">
        <f t="shared" si="17"/>
        <v>8.1900000000000001E-2</v>
      </c>
      <c r="O173" s="3">
        <f t="shared" si="18"/>
        <v>3723</v>
      </c>
      <c r="P173" s="1">
        <f t="shared" si="19"/>
        <v>9.1579957198730716E-2</v>
      </c>
      <c r="Q173" t="str">
        <f t="shared" si="20"/>
        <v>High CTR</v>
      </c>
      <c r="R173" t="str">
        <f t="shared" si="21"/>
        <v>High</v>
      </c>
      <c r="S173" t="str">
        <f t="shared" si="22"/>
        <v>Morning</v>
      </c>
      <c r="T173">
        <f t="shared" si="23"/>
        <v>3</v>
      </c>
    </row>
    <row r="174" spans="1:20" x14ac:dyDescent="0.3">
      <c r="A174" t="s">
        <v>530</v>
      </c>
      <c r="B174" t="s">
        <v>531</v>
      </c>
      <c r="C174" s="2">
        <v>7625</v>
      </c>
      <c r="D174" s="2">
        <v>1336</v>
      </c>
      <c r="E174" s="2">
        <v>1410</v>
      </c>
      <c r="F174" s="18">
        <v>66.59</v>
      </c>
      <c r="G174">
        <v>84665</v>
      </c>
      <c r="H174">
        <v>80457</v>
      </c>
      <c r="I174" s="1">
        <v>0.85</v>
      </c>
      <c r="J174" t="s">
        <v>42</v>
      </c>
      <c r="K174" s="4" t="s">
        <v>1090</v>
      </c>
      <c r="L174" t="s">
        <v>532</v>
      </c>
      <c r="M174" s="1">
        <f t="shared" si="16"/>
        <v>0.66590000000000005</v>
      </c>
      <c r="N174" s="1">
        <f t="shared" si="17"/>
        <v>8.5000000000000006E-3</v>
      </c>
      <c r="O174" s="3">
        <f t="shared" si="18"/>
        <v>10371</v>
      </c>
      <c r="P174" s="1">
        <f t="shared" si="19"/>
        <v>0.12890115216823894</v>
      </c>
      <c r="Q174" t="str">
        <f t="shared" si="20"/>
        <v>High CTR</v>
      </c>
      <c r="R174" t="str">
        <f t="shared" si="21"/>
        <v>High</v>
      </c>
      <c r="S174" t="str">
        <f t="shared" si="22"/>
        <v>Morning</v>
      </c>
      <c r="T174">
        <f t="shared" si="23"/>
        <v>3</v>
      </c>
    </row>
    <row r="175" spans="1:20" x14ac:dyDescent="0.3">
      <c r="A175" t="s">
        <v>533</v>
      </c>
      <c r="B175" t="s">
        <v>534</v>
      </c>
      <c r="C175" s="2">
        <v>6541</v>
      </c>
      <c r="D175" s="2">
        <v>3338</v>
      </c>
      <c r="E175" s="2">
        <v>549</v>
      </c>
      <c r="F175" s="18">
        <v>38.049999999999997</v>
      </c>
      <c r="G175">
        <v>42313</v>
      </c>
      <c r="H175">
        <v>26310</v>
      </c>
      <c r="I175" s="1">
        <v>1.1100000000000001</v>
      </c>
      <c r="J175" t="s">
        <v>20</v>
      </c>
      <c r="K175" s="4" t="s">
        <v>1091</v>
      </c>
      <c r="L175" t="s">
        <v>535</v>
      </c>
      <c r="M175" s="1">
        <f t="shared" si="16"/>
        <v>0.38049999999999995</v>
      </c>
      <c r="N175" s="1">
        <f t="shared" si="17"/>
        <v>1.11E-2</v>
      </c>
      <c r="O175" s="3">
        <f t="shared" si="18"/>
        <v>10428</v>
      </c>
      <c r="P175" s="1">
        <f t="shared" si="19"/>
        <v>0.39635119726339796</v>
      </c>
      <c r="Q175" t="str">
        <f t="shared" si="20"/>
        <v>High CTR</v>
      </c>
      <c r="R175" t="str">
        <f t="shared" si="21"/>
        <v>High</v>
      </c>
      <c r="S175" t="str">
        <f t="shared" si="22"/>
        <v>Evening</v>
      </c>
      <c r="T175">
        <f t="shared" si="23"/>
        <v>3</v>
      </c>
    </row>
    <row r="176" spans="1:20" x14ac:dyDescent="0.3">
      <c r="A176" t="s">
        <v>536</v>
      </c>
      <c r="B176" t="s">
        <v>537</v>
      </c>
      <c r="C176" s="2">
        <v>2336</v>
      </c>
      <c r="D176" s="2">
        <v>224</v>
      </c>
      <c r="E176" s="2">
        <v>1661</v>
      </c>
      <c r="F176" s="18">
        <v>63.44</v>
      </c>
      <c r="G176">
        <v>8517</v>
      </c>
      <c r="H176">
        <v>58007</v>
      </c>
      <c r="I176" s="1">
        <v>0.97</v>
      </c>
      <c r="J176" t="s">
        <v>12</v>
      </c>
      <c r="K176" s="4" t="s">
        <v>1092</v>
      </c>
      <c r="L176" t="s">
        <v>538</v>
      </c>
      <c r="M176" s="1">
        <f t="shared" si="16"/>
        <v>0.63439999999999996</v>
      </c>
      <c r="N176" s="1">
        <f t="shared" si="17"/>
        <v>9.7000000000000003E-3</v>
      </c>
      <c r="O176" s="3">
        <f t="shared" si="18"/>
        <v>4221</v>
      </c>
      <c r="P176" s="1">
        <f t="shared" si="19"/>
        <v>7.2767079835192303E-2</v>
      </c>
      <c r="Q176" t="str">
        <f t="shared" si="20"/>
        <v>High CTR</v>
      </c>
      <c r="R176" t="str">
        <f t="shared" si="21"/>
        <v>High</v>
      </c>
      <c r="S176" t="str">
        <f t="shared" si="22"/>
        <v>Night</v>
      </c>
      <c r="T176">
        <f t="shared" si="23"/>
        <v>3</v>
      </c>
    </row>
    <row r="177" spans="1:20" x14ac:dyDescent="0.3">
      <c r="A177" t="s">
        <v>539</v>
      </c>
      <c r="B177" t="s">
        <v>540</v>
      </c>
      <c r="C177" s="2">
        <v>4875</v>
      </c>
      <c r="D177" s="2">
        <v>2561</v>
      </c>
      <c r="E177" s="2">
        <v>36</v>
      </c>
      <c r="F177" s="18">
        <v>59.63</v>
      </c>
      <c r="G177">
        <v>12377</v>
      </c>
      <c r="H177">
        <v>46833</v>
      </c>
      <c r="I177" s="1">
        <v>7.59</v>
      </c>
      <c r="J177" t="s">
        <v>16</v>
      </c>
      <c r="K177" s="4" t="s">
        <v>1093</v>
      </c>
      <c r="L177" t="s">
        <v>541</v>
      </c>
      <c r="M177" s="1">
        <f t="shared" si="16"/>
        <v>0.59630000000000005</v>
      </c>
      <c r="N177" s="1">
        <f t="shared" si="17"/>
        <v>7.5899999999999995E-2</v>
      </c>
      <c r="O177" s="3">
        <f t="shared" si="18"/>
        <v>7472</v>
      </c>
      <c r="P177" s="1">
        <f t="shared" si="19"/>
        <v>0.1595456195417761</v>
      </c>
      <c r="Q177" t="str">
        <f t="shared" si="20"/>
        <v>High CTR</v>
      </c>
      <c r="R177" t="str">
        <f t="shared" si="21"/>
        <v>High</v>
      </c>
      <c r="S177" t="str">
        <f t="shared" si="22"/>
        <v>Afternoon</v>
      </c>
      <c r="T177">
        <f t="shared" si="23"/>
        <v>3</v>
      </c>
    </row>
    <row r="178" spans="1:20" x14ac:dyDescent="0.3">
      <c r="A178" t="s">
        <v>542</v>
      </c>
      <c r="B178" t="s">
        <v>543</v>
      </c>
      <c r="C178" s="2">
        <v>7025</v>
      </c>
      <c r="D178" s="2">
        <v>4029</v>
      </c>
      <c r="E178" s="2">
        <v>1261</v>
      </c>
      <c r="F178" s="18">
        <v>81.96</v>
      </c>
      <c r="G178">
        <v>40466</v>
      </c>
      <c r="H178">
        <v>65975</v>
      </c>
      <c r="I178" s="1">
        <v>0.98</v>
      </c>
      <c r="J178" t="s">
        <v>16</v>
      </c>
      <c r="K178" s="4" t="s">
        <v>1094</v>
      </c>
      <c r="L178" t="s">
        <v>544</v>
      </c>
      <c r="M178" s="1">
        <f t="shared" si="16"/>
        <v>0.81959999999999988</v>
      </c>
      <c r="N178" s="1">
        <f t="shared" si="17"/>
        <v>9.7999999999999997E-3</v>
      </c>
      <c r="O178" s="3">
        <f t="shared" si="18"/>
        <v>12315</v>
      </c>
      <c r="P178" s="1">
        <f t="shared" si="19"/>
        <v>0.18666161424782116</v>
      </c>
      <c r="Q178" t="str">
        <f t="shared" si="20"/>
        <v>High CTR</v>
      </c>
      <c r="R178" t="str">
        <f t="shared" si="21"/>
        <v>High</v>
      </c>
      <c r="S178" t="str">
        <f t="shared" si="22"/>
        <v>Afternoon</v>
      </c>
      <c r="T178">
        <f t="shared" si="23"/>
        <v>3</v>
      </c>
    </row>
    <row r="179" spans="1:20" x14ac:dyDescent="0.3">
      <c r="A179" t="s">
        <v>545</v>
      </c>
      <c r="B179" t="s">
        <v>546</v>
      </c>
      <c r="C179" s="2">
        <v>9834</v>
      </c>
      <c r="D179" s="2">
        <v>1527</v>
      </c>
      <c r="E179" s="2">
        <v>1717</v>
      </c>
      <c r="F179" s="18">
        <v>57.93</v>
      </c>
      <c r="G179">
        <v>88237</v>
      </c>
      <c r="H179">
        <v>43111</v>
      </c>
      <c r="I179" s="1">
        <v>6.46</v>
      </c>
      <c r="J179" t="s">
        <v>42</v>
      </c>
      <c r="K179" s="4" t="s">
        <v>1095</v>
      </c>
      <c r="L179" t="s">
        <v>547</v>
      </c>
      <c r="M179" s="1">
        <f t="shared" si="16"/>
        <v>0.57930000000000004</v>
      </c>
      <c r="N179" s="1">
        <f t="shared" si="17"/>
        <v>6.4600000000000005E-2</v>
      </c>
      <c r="O179" s="3">
        <f t="shared" si="18"/>
        <v>13078</v>
      </c>
      <c r="P179" s="1">
        <f t="shared" si="19"/>
        <v>0.30335645194961841</v>
      </c>
      <c r="Q179" t="str">
        <f t="shared" si="20"/>
        <v>High CTR</v>
      </c>
      <c r="R179" t="str">
        <f t="shared" si="21"/>
        <v>High</v>
      </c>
      <c r="S179" t="str">
        <f t="shared" si="22"/>
        <v>Morning</v>
      </c>
      <c r="T179">
        <f t="shared" si="23"/>
        <v>3</v>
      </c>
    </row>
    <row r="180" spans="1:20" x14ac:dyDescent="0.3">
      <c r="A180" t="s">
        <v>548</v>
      </c>
      <c r="B180" t="s">
        <v>549</v>
      </c>
      <c r="C180" s="2">
        <v>2275</v>
      </c>
      <c r="D180" s="2">
        <v>4517</v>
      </c>
      <c r="E180" s="2">
        <v>107</v>
      </c>
      <c r="F180" s="18">
        <v>19.850000000000001</v>
      </c>
      <c r="G180">
        <v>88270</v>
      </c>
      <c r="H180">
        <v>50618</v>
      </c>
      <c r="I180" s="1">
        <v>4.18</v>
      </c>
      <c r="J180" t="s">
        <v>20</v>
      </c>
      <c r="K180" s="4" t="s">
        <v>1096</v>
      </c>
      <c r="L180" t="s">
        <v>550</v>
      </c>
      <c r="M180" s="1">
        <f t="shared" si="16"/>
        <v>0.19850000000000001</v>
      </c>
      <c r="N180" s="1">
        <f t="shared" si="17"/>
        <v>4.1799999999999997E-2</v>
      </c>
      <c r="O180" s="3">
        <f t="shared" si="18"/>
        <v>6899</v>
      </c>
      <c r="P180" s="1">
        <f t="shared" si="19"/>
        <v>0.13629538899205815</v>
      </c>
      <c r="Q180" t="str">
        <f t="shared" si="20"/>
        <v>High CTR</v>
      </c>
      <c r="R180" t="str">
        <f t="shared" si="21"/>
        <v>High</v>
      </c>
      <c r="S180" t="str">
        <f t="shared" si="22"/>
        <v>Afternoon</v>
      </c>
      <c r="T180">
        <f t="shared" si="23"/>
        <v>3</v>
      </c>
    </row>
    <row r="181" spans="1:20" x14ac:dyDescent="0.3">
      <c r="A181" t="s">
        <v>551</v>
      </c>
      <c r="B181" t="s">
        <v>552</v>
      </c>
      <c r="C181" s="2">
        <v>3578</v>
      </c>
      <c r="D181" s="2">
        <v>4611</v>
      </c>
      <c r="E181" s="2">
        <v>211</v>
      </c>
      <c r="F181" s="18">
        <v>57.66</v>
      </c>
      <c r="G181">
        <v>93513</v>
      </c>
      <c r="H181">
        <v>48975</v>
      </c>
      <c r="I181" s="1">
        <v>9.85</v>
      </c>
      <c r="J181" t="s">
        <v>12</v>
      </c>
      <c r="K181" s="4" t="s">
        <v>1097</v>
      </c>
      <c r="L181" t="s">
        <v>553</v>
      </c>
      <c r="M181" s="1">
        <f t="shared" si="16"/>
        <v>0.5766</v>
      </c>
      <c r="N181" s="1">
        <f t="shared" si="17"/>
        <v>9.849999999999999E-2</v>
      </c>
      <c r="O181" s="3">
        <f t="shared" si="18"/>
        <v>8400</v>
      </c>
      <c r="P181" s="1">
        <f t="shared" si="19"/>
        <v>0.17151607963246554</v>
      </c>
      <c r="Q181" t="str">
        <f t="shared" si="20"/>
        <v>High CTR</v>
      </c>
      <c r="R181" t="str">
        <f t="shared" si="21"/>
        <v>High</v>
      </c>
      <c r="S181" t="str">
        <f t="shared" si="22"/>
        <v>Evening</v>
      </c>
      <c r="T181">
        <f t="shared" si="23"/>
        <v>3</v>
      </c>
    </row>
    <row r="182" spans="1:20" x14ac:dyDescent="0.3">
      <c r="A182" t="s">
        <v>554</v>
      </c>
      <c r="B182" t="s">
        <v>555</v>
      </c>
      <c r="C182" s="2">
        <v>1764</v>
      </c>
      <c r="D182" s="2">
        <v>3006</v>
      </c>
      <c r="E182" s="2">
        <v>394</v>
      </c>
      <c r="F182" s="18">
        <v>5</v>
      </c>
      <c r="G182">
        <v>14284</v>
      </c>
      <c r="H182">
        <v>8486</v>
      </c>
      <c r="I182" s="1">
        <v>1.36</v>
      </c>
      <c r="J182" t="s">
        <v>20</v>
      </c>
      <c r="K182" s="4" t="s">
        <v>1098</v>
      </c>
      <c r="L182" t="s">
        <v>556</v>
      </c>
      <c r="M182" s="1">
        <f t="shared" si="16"/>
        <v>0.05</v>
      </c>
      <c r="N182" s="1">
        <f t="shared" si="17"/>
        <v>1.3600000000000001E-2</v>
      </c>
      <c r="O182" s="3">
        <f t="shared" si="18"/>
        <v>5164</v>
      </c>
      <c r="P182" s="1">
        <f t="shared" si="19"/>
        <v>0.60853169926938488</v>
      </c>
      <c r="Q182" t="str">
        <f t="shared" si="20"/>
        <v>High CTR</v>
      </c>
      <c r="R182" t="str">
        <f t="shared" si="21"/>
        <v>High</v>
      </c>
      <c r="S182" t="str">
        <f t="shared" si="22"/>
        <v>Evening</v>
      </c>
      <c r="T182">
        <f t="shared" si="23"/>
        <v>3</v>
      </c>
    </row>
    <row r="183" spans="1:20" x14ac:dyDescent="0.3">
      <c r="A183" t="s">
        <v>557</v>
      </c>
      <c r="B183" t="s">
        <v>558</v>
      </c>
      <c r="C183" s="2">
        <v>5736</v>
      </c>
      <c r="D183" s="2">
        <v>2923</v>
      </c>
      <c r="E183" s="2">
        <v>1070</v>
      </c>
      <c r="F183" s="18">
        <v>55.76</v>
      </c>
      <c r="G183">
        <v>13046</v>
      </c>
      <c r="H183">
        <v>90568</v>
      </c>
      <c r="I183" s="1">
        <v>3.83</v>
      </c>
      <c r="J183" t="s">
        <v>42</v>
      </c>
      <c r="K183" s="4" t="s">
        <v>1099</v>
      </c>
      <c r="L183" t="s">
        <v>559</v>
      </c>
      <c r="M183" s="1">
        <f t="shared" si="16"/>
        <v>0.55759999999999998</v>
      </c>
      <c r="N183" s="1">
        <f t="shared" si="17"/>
        <v>3.8300000000000001E-2</v>
      </c>
      <c r="O183" s="3">
        <f t="shared" si="18"/>
        <v>9729</v>
      </c>
      <c r="P183" s="1">
        <f t="shared" si="19"/>
        <v>0.10742204752230368</v>
      </c>
      <c r="Q183" t="str">
        <f t="shared" si="20"/>
        <v>High CTR</v>
      </c>
      <c r="R183" t="str">
        <f t="shared" si="21"/>
        <v>High</v>
      </c>
      <c r="S183" t="str">
        <f t="shared" si="22"/>
        <v>Night</v>
      </c>
      <c r="T183">
        <f t="shared" si="23"/>
        <v>3</v>
      </c>
    </row>
    <row r="184" spans="1:20" x14ac:dyDescent="0.3">
      <c r="A184" t="s">
        <v>560</v>
      </c>
      <c r="B184" t="s">
        <v>561</v>
      </c>
      <c r="C184" s="2">
        <v>2304</v>
      </c>
      <c r="D184" s="2">
        <v>3713</v>
      </c>
      <c r="E184" s="2">
        <v>163</v>
      </c>
      <c r="F184" s="18">
        <v>42.59</v>
      </c>
      <c r="G184">
        <v>50748</v>
      </c>
      <c r="H184">
        <v>82364</v>
      </c>
      <c r="I184" s="1">
        <v>6.9</v>
      </c>
      <c r="J184" t="s">
        <v>12</v>
      </c>
      <c r="K184" s="4" t="s">
        <v>1100</v>
      </c>
      <c r="L184" t="s">
        <v>562</v>
      </c>
      <c r="M184" s="1">
        <f t="shared" si="16"/>
        <v>0.42590000000000006</v>
      </c>
      <c r="N184" s="1">
        <f t="shared" si="17"/>
        <v>6.9000000000000006E-2</v>
      </c>
      <c r="O184" s="3">
        <f t="shared" si="18"/>
        <v>6180</v>
      </c>
      <c r="P184" s="1">
        <f t="shared" si="19"/>
        <v>7.5032781312223781E-2</v>
      </c>
      <c r="Q184" t="str">
        <f t="shared" si="20"/>
        <v>High CTR</v>
      </c>
      <c r="R184" t="str">
        <f t="shared" si="21"/>
        <v>High</v>
      </c>
      <c r="S184" t="str">
        <f t="shared" si="22"/>
        <v>Morning</v>
      </c>
      <c r="T184">
        <f t="shared" si="23"/>
        <v>3</v>
      </c>
    </row>
    <row r="185" spans="1:20" x14ac:dyDescent="0.3">
      <c r="A185" t="s">
        <v>563</v>
      </c>
      <c r="B185" t="s">
        <v>564</v>
      </c>
      <c r="C185" s="2">
        <v>3072</v>
      </c>
      <c r="D185" s="2">
        <v>4222</v>
      </c>
      <c r="E185" s="2">
        <v>567</v>
      </c>
      <c r="F185" s="18">
        <v>94.69</v>
      </c>
      <c r="G185">
        <v>46015</v>
      </c>
      <c r="H185">
        <v>54031</v>
      </c>
      <c r="I185" s="1">
        <v>9.44</v>
      </c>
      <c r="J185" t="s">
        <v>16</v>
      </c>
      <c r="K185" s="4" t="s">
        <v>1101</v>
      </c>
      <c r="L185" t="s">
        <v>565</v>
      </c>
      <c r="M185" s="1">
        <f t="shared" si="16"/>
        <v>0.94689999999999996</v>
      </c>
      <c r="N185" s="1">
        <f t="shared" si="17"/>
        <v>9.4399999999999998E-2</v>
      </c>
      <c r="O185" s="3">
        <f t="shared" si="18"/>
        <v>7861</v>
      </c>
      <c r="P185" s="1">
        <f t="shared" si="19"/>
        <v>0.14549055172030873</v>
      </c>
      <c r="Q185" t="str">
        <f t="shared" si="20"/>
        <v>High CTR</v>
      </c>
      <c r="R185" t="str">
        <f t="shared" si="21"/>
        <v>High</v>
      </c>
      <c r="S185" t="str">
        <f t="shared" si="22"/>
        <v>Evening</v>
      </c>
      <c r="T185">
        <f t="shared" si="23"/>
        <v>3</v>
      </c>
    </row>
    <row r="186" spans="1:20" x14ac:dyDescent="0.3">
      <c r="A186" t="s">
        <v>566</v>
      </c>
      <c r="B186" t="s">
        <v>567</v>
      </c>
      <c r="C186" s="2">
        <v>8757</v>
      </c>
      <c r="D186" s="2">
        <v>2390</v>
      </c>
      <c r="E186" s="2">
        <v>462</v>
      </c>
      <c r="F186" s="18">
        <v>68.16</v>
      </c>
      <c r="G186">
        <v>93200</v>
      </c>
      <c r="H186">
        <v>42937</v>
      </c>
      <c r="I186" s="1">
        <v>2.0299999999999998</v>
      </c>
      <c r="J186" t="s">
        <v>12</v>
      </c>
      <c r="K186" s="4" t="s">
        <v>1102</v>
      </c>
      <c r="L186" t="s">
        <v>568</v>
      </c>
      <c r="M186" s="1">
        <f t="shared" si="16"/>
        <v>0.68159999999999998</v>
      </c>
      <c r="N186" s="1">
        <f t="shared" si="17"/>
        <v>2.0299999999999999E-2</v>
      </c>
      <c r="O186" s="3">
        <f t="shared" si="18"/>
        <v>11609</v>
      </c>
      <c r="P186" s="1">
        <f t="shared" si="19"/>
        <v>0.27037287188205977</v>
      </c>
      <c r="Q186" t="str">
        <f t="shared" si="20"/>
        <v>High CTR</v>
      </c>
      <c r="R186" t="str">
        <f t="shared" si="21"/>
        <v>High</v>
      </c>
      <c r="S186" t="str">
        <f t="shared" si="22"/>
        <v>Morning</v>
      </c>
      <c r="T186">
        <f t="shared" si="23"/>
        <v>3</v>
      </c>
    </row>
    <row r="187" spans="1:20" x14ac:dyDescent="0.3">
      <c r="A187" t="s">
        <v>569</v>
      </c>
      <c r="B187" t="s">
        <v>570</v>
      </c>
      <c r="C187" s="2">
        <v>2030</v>
      </c>
      <c r="D187" s="2">
        <v>4810</v>
      </c>
      <c r="E187" s="2">
        <v>1993</v>
      </c>
      <c r="F187" s="18">
        <v>80.89</v>
      </c>
      <c r="G187">
        <v>16456</v>
      </c>
      <c r="H187">
        <v>98888</v>
      </c>
      <c r="I187" s="1">
        <v>2.0299999999999998</v>
      </c>
      <c r="J187" t="s">
        <v>12</v>
      </c>
      <c r="K187" s="4" t="s">
        <v>1103</v>
      </c>
      <c r="L187" t="s">
        <v>571</v>
      </c>
      <c r="M187" s="1">
        <f t="shared" si="16"/>
        <v>0.80889999999999995</v>
      </c>
      <c r="N187" s="1">
        <f t="shared" si="17"/>
        <v>2.0299999999999999E-2</v>
      </c>
      <c r="O187" s="3">
        <f t="shared" si="18"/>
        <v>8833</v>
      </c>
      <c r="P187" s="1">
        <f t="shared" si="19"/>
        <v>8.9323274815953396E-2</v>
      </c>
      <c r="Q187" t="str">
        <f t="shared" si="20"/>
        <v>High CTR</v>
      </c>
      <c r="R187" t="str">
        <f t="shared" si="21"/>
        <v>High</v>
      </c>
      <c r="S187" t="str">
        <f t="shared" si="22"/>
        <v>Evening</v>
      </c>
      <c r="T187">
        <f t="shared" si="23"/>
        <v>3</v>
      </c>
    </row>
    <row r="188" spans="1:20" x14ac:dyDescent="0.3">
      <c r="A188" t="s">
        <v>572</v>
      </c>
      <c r="B188" t="s">
        <v>573</v>
      </c>
      <c r="C188" s="2">
        <v>1052</v>
      </c>
      <c r="D188" s="2">
        <v>3208</v>
      </c>
      <c r="E188" s="2">
        <v>664</v>
      </c>
      <c r="F188" s="18">
        <v>5.36</v>
      </c>
      <c r="G188">
        <v>53452</v>
      </c>
      <c r="H188">
        <v>78338</v>
      </c>
      <c r="I188" s="1">
        <v>2.38</v>
      </c>
      <c r="J188" t="s">
        <v>16</v>
      </c>
      <c r="K188" s="4" t="s">
        <v>1104</v>
      </c>
      <c r="L188" t="s">
        <v>574</v>
      </c>
      <c r="M188" s="1">
        <f t="shared" si="16"/>
        <v>5.3600000000000002E-2</v>
      </c>
      <c r="N188" s="1">
        <f t="shared" si="17"/>
        <v>2.3799999999999998E-2</v>
      </c>
      <c r="O188" s="3">
        <f t="shared" si="18"/>
        <v>4924</v>
      </c>
      <c r="P188" s="1">
        <f t="shared" si="19"/>
        <v>6.2855829865454821E-2</v>
      </c>
      <c r="Q188" t="str">
        <f t="shared" si="20"/>
        <v>High CTR</v>
      </c>
      <c r="R188" t="str">
        <f t="shared" si="21"/>
        <v>High</v>
      </c>
      <c r="S188" t="str">
        <f t="shared" si="22"/>
        <v>Afternoon</v>
      </c>
      <c r="T188">
        <f t="shared" si="23"/>
        <v>3</v>
      </c>
    </row>
    <row r="189" spans="1:20" x14ac:dyDescent="0.3">
      <c r="A189" t="s">
        <v>575</v>
      </c>
      <c r="B189" t="s">
        <v>576</v>
      </c>
      <c r="C189" s="2">
        <v>2032</v>
      </c>
      <c r="D189" s="2">
        <v>130</v>
      </c>
      <c r="E189" s="2">
        <v>417</v>
      </c>
      <c r="F189" s="18">
        <v>31.22</v>
      </c>
      <c r="G189">
        <v>9246</v>
      </c>
      <c r="H189">
        <v>86186</v>
      </c>
      <c r="I189" s="1">
        <v>1.94</v>
      </c>
      <c r="J189" t="s">
        <v>16</v>
      </c>
      <c r="K189" s="4" t="s">
        <v>1105</v>
      </c>
      <c r="L189" t="s">
        <v>577</v>
      </c>
      <c r="M189" s="1">
        <f t="shared" si="16"/>
        <v>0.31219999999999998</v>
      </c>
      <c r="N189" s="1">
        <f t="shared" si="17"/>
        <v>1.9400000000000001E-2</v>
      </c>
      <c r="O189" s="3">
        <f t="shared" si="18"/>
        <v>2579</v>
      </c>
      <c r="P189" s="1">
        <f t="shared" si="19"/>
        <v>2.9923653493606851E-2</v>
      </c>
      <c r="Q189" t="str">
        <f t="shared" si="20"/>
        <v>High CTR</v>
      </c>
      <c r="R189" t="str">
        <f t="shared" si="21"/>
        <v>High</v>
      </c>
      <c r="S189" t="str">
        <f t="shared" si="22"/>
        <v>Morning</v>
      </c>
      <c r="T189">
        <f t="shared" si="23"/>
        <v>3</v>
      </c>
    </row>
    <row r="190" spans="1:20" x14ac:dyDescent="0.3">
      <c r="A190" t="s">
        <v>578</v>
      </c>
      <c r="B190" t="s">
        <v>579</v>
      </c>
      <c r="C190" s="2">
        <v>9473</v>
      </c>
      <c r="D190" s="2">
        <v>3773</v>
      </c>
      <c r="E190" s="2">
        <v>1661</v>
      </c>
      <c r="F190" s="18">
        <v>84.09</v>
      </c>
      <c r="G190">
        <v>40671</v>
      </c>
      <c r="H190">
        <v>59320</v>
      </c>
      <c r="I190" s="1">
        <v>4.8899999999999997</v>
      </c>
      <c r="J190" t="s">
        <v>20</v>
      </c>
      <c r="K190" s="4" t="s">
        <v>1106</v>
      </c>
      <c r="L190" t="s">
        <v>580</v>
      </c>
      <c r="M190" s="1">
        <f t="shared" si="16"/>
        <v>0.84089999999999998</v>
      </c>
      <c r="N190" s="1">
        <f t="shared" si="17"/>
        <v>4.8899999999999999E-2</v>
      </c>
      <c r="O190" s="3">
        <f t="shared" si="18"/>
        <v>14907</v>
      </c>
      <c r="P190" s="1">
        <f t="shared" si="19"/>
        <v>0.25129804450438303</v>
      </c>
      <c r="Q190" t="str">
        <f t="shared" si="20"/>
        <v>High CTR</v>
      </c>
      <c r="R190" t="str">
        <f t="shared" si="21"/>
        <v>High</v>
      </c>
      <c r="S190" t="str">
        <f t="shared" si="22"/>
        <v>Evening</v>
      </c>
      <c r="T190">
        <f t="shared" si="23"/>
        <v>3</v>
      </c>
    </row>
    <row r="191" spans="1:20" x14ac:dyDescent="0.3">
      <c r="A191" t="s">
        <v>581</v>
      </c>
      <c r="B191" t="s">
        <v>582</v>
      </c>
      <c r="C191" s="2">
        <v>3893</v>
      </c>
      <c r="D191" s="2">
        <v>3518</v>
      </c>
      <c r="E191" s="2">
        <v>1</v>
      </c>
      <c r="F191" s="18">
        <v>4.12</v>
      </c>
      <c r="G191">
        <v>85312</v>
      </c>
      <c r="H191">
        <v>73585</v>
      </c>
      <c r="I191" s="1">
        <v>3.89</v>
      </c>
      <c r="J191" t="s">
        <v>16</v>
      </c>
      <c r="K191" s="4" t="s">
        <v>1107</v>
      </c>
      <c r="L191" t="s">
        <v>583</v>
      </c>
      <c r="M191" s="1">
        <f t="shared" si="16"/>
        <v>4.1200000000000001E-2</v>
      </c>
      <c r="N191" s="1">
        <f t="shared" si="17"/>
        <v>3.8900000000000004E-2</v>
      </c>
      <c r="O191" s="3">
        <f t="shared" si="18"/>
        <v>7412</v>
      </c>
      <c r="P191" s="1">
        <f t="shared" si="19"/>
        <v>0.10072705034993545</v>
      </c>
      <c r="Q191" t="str">
        <f t="shared" si="20"/>
        <v>High CTR</v>
      </c>
      <c r="R191" t="str">
        <f t="shared" si="21"/>
        <v>High</v>
      </c>
      <c r="S191" t="str">
        <f t="shared" si="22"/>
        <v>Morning</v>
      </c>
      <c r="T191">
        <f t="shared" si="23"/>
        <v>3</v>
      </c>
    </row>
    <row r="192" spans="1:20" x14ac:dyDescent="0.3">
      <c r="A192" t="s">
        <v>584</v>
      </c>
      <c r="B192" t="s">
        <v>585</v>
      </c>
      <c r="C192" s="2">
        <v>564</v>
      </c>
      <c r="D192" s="2">
        <v>4509</v>
      </c>
      <c r="E192" s="2">
        <v>1951</v>
      </c>
      <c r="F192" s="18">
        <v>95.5</v>
      </c>
      <c r="G192">
        <v>57302</v>
      </c>
      <c r="H192">
        <v>18254</v>
      </c>
      <c r="I192" s="1">
        <v>2.75</v>
      </c>
      <c r="J192" t="s">
        <v>20</v>
      </c>
      <c r="K192" s="4" t="s">
        <v>1108</v>
      </c>
      <c r="L192" t="s">
        <v>586</v>
      </c>
      <c r="M192" s="1">
        <f t="shared" si="16"/>
        <v>0.95499999999999996</v>
      </c>
      <c r="N192" s="1">
        <f t="shared" si="17"/>
        <v>2.75E-2</v>
      </c>
      <c r="O192" s="3">
        <f t="shared" si="18"/>
        <v>7024</v>
      </c>
      <c r="P192" s="1">
        <f t="shared" si="19"/>
        <v>0.38479237427413171</v>
      </c>
      <c r="Q192" t="str">
        <f t="shared" si="20"/>
        <v>High CTR</v>
      </c>
      <c r="R192" t="str">
        <f t="shared" si="21"/>
        <v>High</v>
      </c>
      <c r="S192" t="str">
        <f t="shared" si="22"/>
        <v>Afternoon</v>
      </c>
      <c r="T192">
        <f t="shared" si="23"/>
        <v>3</v>
      </c>
    </row>
    <row r="193" spans="1:20" x14ac:dyDescent="0.3">
      <c r="A193" t="s">
        <v>587</v>
      </c>
      <c r="B193" t="s">
        <v>588</v>
      </c>
      <c r="C193" s="2">
        <v>4774</v>
      </c>
      <c r="D193" s="2">
        <v>3385</v>
      </c>
      <c r="E193" s="2">
        <v>1098</v>
      </c>
      <c r="F193" s="18">
        <v>69.95</v>
      </c>
      <c r="G193">
        <v>1423</v>
      </c>
      <c r="H193">
        <v>25319</v>
      </c>
      <c r="I193" s="1">
        <v>9.3699999999999992</v>
      </c>
      <c r="J193" t="s">
        <v>20</v>
      </c>
      <c r="K193" s="4" t="s">
        <v>1109</v>
      </c>
      <c r="L193" t="s">
        <v>589</v>
      </c>
      <c r="M193" s="1">
        <f t="shared" si="16"/>
        <v>0.69950000000000001</v>
      </c>
      <c r="N193" s="1">
        <f t="shared" si="17"/>
        <v>9.3699999999999992E-2</v>
      </c>
      <c r="O193" s="3">
        <f t="shared" si="18"/>
        <v>9257</v>
      </c>
      <c r="P193" s="1">
        <f t="shared" si="19"/>
        <v>0.36561475571705043</v>
      </c>
      <c r="Q193" t="str">
        <f t="shared" si="20"/>
        <v>High CTR</v>
      </c>
      <c r="R193" t="str">
        <f t="shared" si="21"/>
        <v>High</v>
      </c>
      <c r="S193" t="str">
        <f t="shared" si="22"/>
        <v>Morning</v>
      </c>
      <c r="T193">
        <f t="shared" si="23"/>
        <v>3</v>
      </c>
    </row>
    <row r="194" spans="1:20" x14ac:dyDescent="0.3">
      <c r="A194" t="s">
        <v>590</v>
      </c>
      <c r="B194" t="s">
        <v>591</v>
      </c>
      <c r="C194" s="2">
        <v>8672</v>
      </c>
      <c r="D194" s="2">
        <v>3017</v>
      </c>
      <c r="E194" s="2">
        <v>1610</v>
      </c>
      <c r="F194" s="18">
        <v>66.39</v>
      </c>
      <c r="G194">
        <v>5941</v>
      </c>
      <c r="H194">
        <v>36338</v>
      </c>
      <c r="I194" s="1">
        <v>8.68</v>
      </c>
      <c r="J194" t="s">
        <v>16</v>
      </c>
      <c r="K194" s="4" t="s">
        <v>1110</v>
      </c>
      <c r="L194" t="s">
        <v>592</v>
      </c>
      <c r="M194" s="1">
        <f t="shared" si="16"/>
        <v>0.66390000000000005</v>
      </c>
      <c r="N194" s="1">
        <f t="shared" si="17"/>
        <v>8.6800000000000002E-2</v>
      </c>
      <c r="O194" s="3">
        <f t="shared" si="18"/>
        <v>13299</v>
      </c>
      <c r="P194" s="1">
        <f t="shared" si="19"/>
        <v>0.3659805162639661</v>
      </c>
      <c r="Q194" t="str">
        <f t="shared" si="20"/>
        <v>High CTR</v>
      </c>
      <c r="R194" t="str">
        <f t="shared" si="21"/>
        <v>High</v>
      </c>
      <c r="S194" t="str">
        <f t="shared" si="22"/>
        <v>Morning</v>
      </c>
      <c r="T194">
        <f t="shared" si="23"/>
        <v>3</v>
      </c>
    </row>
    <row r="195" spans="1:20" x14ac:dyDescent="0.3">
      <c r="A195" t="s">
        <v>593</v>
      </c>
      <c r="B195" t="s">
        <v>594</v>
      </c>
      <c r="C195" s="2">
        <v>7930</v>
      </c>
      <c r="D195" s="2">
        <v>4932</v>
      </c>
      <c r="E195" s="2">
        <v>174</v>
      </c>
      <c r="F195" s="18">
        <v>78.38</v>
      </c>
      <c r="G195">
        <v>81977</v>
      </c>
      <c r="H195">
        <v>3291</v>
      </c>
      <c r="I195" s="1">
        <v>8.58</v>
      </c>
      <c r="J195" t="s">
        <v>42</v>
      </c>
      <c r="K195" s="4" t="s">
        <v>1111</v>
      </c>
      <c r="L195" t="s">
        <v>595</v>
      </c>
      <c r="M195" s="1">
        <f t="shared" ref="M195:M258" si="24">F195/100</f>
        <v>0.78379999999999994</v>
      </c>
      <c r="N195" s="1">
        <f t="shared" ref="N195:N258" si="25">I195/100</f>
        <v>8.5800000000000001E-2</v>
      </c>
      <c r="O195" s="3">
        <f t="shared" ref="O195:O258" si="26">C195+D195+E195</f>
        <v>13036</v>
      </c>
      <c r="P195" s="1">
        <f t="shared" ref="P195:P258" si="27">IF((C195+D195+E195)/H195&gt;1,1,(C195+D195+E195)/H195)</f>
        <v>1</v>
      </c>
      <c r="Q195" t="str">
        <f t="shared" ref="Q195:Q258" si="28">IF(I195&gt;0.1,"High CTR",
 IF(I195&gt;0.05,"Medium CTR","Low CTR"))</f>
        <v>High CTR</v>
      </c>
      <c r="R195" t="str">
        <f t="shared" ref="R195:R258" si="29">IF($F195&gt;0.1,"High",
 IF($F195&gt;0.05,"Medium","Low"))</f>
        <v>High</v>
      </c>
      <c r="S195" t="str">
        <f t="shared" ref="S195:S258" si="30">IF(HOUR(L195)&lt;12,"Morning",
 IF(HOUR(L195)&lt;17,"Afternoon",
 IF(HOUR(L195)&lt;21,"Evening","Night")))</f>
        <v>Night</v>
      </c>
      <c r="T195">
        <f t="shared" ref="T195:T258" si="31">LEN($K195)-LEN(SUBSTITUTE($K195,",",""))+1</f>
        <v>3</v>
      </c>
    </row>
    <row r="196" spans="1:20" x14ac:dyDescent="0.3">
      <c r="A196" t="s">
        <v>596</v>
      </c>
      <c r="B196" t="s">
        <v>597</v>
      </c>
      <c r="C196" s="2">
        <v>3629</v>
      </c>
      <c r="D196" s="2">
        <v>4692</v>
      </c>
      <c r="E196" s="2">
        <v>734</v>
      </c>
      <c r="F196" s="18">
        <v>70.05</v>
      </c>
      <c r="G196">
        <v>89983</v>
      </c>
      <c r="H196">
        <v>92459</v>
      </c>
      <c r="I196" s="1">
        <v>3.69</v>
      </c>
      <c r="J196" t="s">
        <v>42</v>
      </c>
      <c r="K196" s="4" t="s">
        <v>1112</v>
      </c>
      <c r="L196" t="s">
        <v>598</v>
      </c>
      <c r="M196" s="1">
        <f t="shared" si="24"/>
        <v>0.70050000000000001</v>
      </c>
      <c r="N196" s="1">
        <f t="shared" si="25"/>
        <v>3.6900000000000002E-2</v>
      </c>
      <c r="O196" s="3">
        <f t="shared" si="26"/>
        <v>9055</v>
      </c>
      <c r="P196" s="1">
        <f t="shared" si="27"/>
        <v>9.7935301052358342E-2</v>
      </c>
      <c r="Q196" t="str">
        <f t="shared" si="28"/>
        <v>High CTR</v>
      </c>
      <c r="R196" t="str">
        <f t="shared" si="29"/>
        <v>High</v>
      </c>
      <c r="S196" t="str">
        <f t="shared" si="30"/>
        <v>Morning</v>
      </c>
      <c r="T196">
        <f t="shared" si="31"/>
        <v>3</v>
      </c>
    </row>
    <row r="197" spans="1:20" x14ac:dyDescent="0.3">
      <c r="A197" t="s">
        <v>599</v>
      </c>
      <c r="B197" t="s">
        <v>600</v>
      </c>
      <c r="C197" s="2">
        <v>6644</v>
      </c>
      <c r="D197" s="2">
        <v>4828</v>
      </c>
      <c r="E197" s="2">
        <v>1768</v>
      </c>
      <c r="F197" s="18">
        <v>15.22</v>
      </c>
      <c r="G197">
        <v>8890</v>
      </c>
      <c r="H197">
        <v>80700</v>
      </c>
      <c r="I197" s="1">
        <v>1.8</v>
      </c>
      <c r="J197" t="s">
        <v>12</v>
      </c>
      <c r="K197" s="4" t="s">
        <v>1113</v>
      </c>
      <c r="L197" t="s">
        <v>601</v>
      </c>
      <c r="M197" s="1">
        <f t="shared" si="24"/>
        <v>0.1522</v>
      </c>
      <c r="N197" s="1">
        <f t="shared" si="25"/>
        <v>1.8000000000000002E-2</v>
      </c>
      <c r="O197" s="3">
        <f t="shared" si="26"/>
        <v>13240</v>
      </c>
      <c r="P197" s="1">
        <f t="shared" si="27"/>
        <v>0.16406443618339528</v>
      </c>
      <c r="Q197" t="str">
        <f t="shared" si="28"/>
        <v>High CTR</v>
      </c>
      <c r="R197" t="str">
        <f t="shared" si="29"/>
        <v>High</v>
      </c>
      <c r="S197" t="str">
        <f t="shared" si="30"/>
        <v>Morning</v>
      </c>
      <c r="T197">
        <f t="shared" si="31"/>
        <v>3</v>
      </c>
    </row>
    <row r="198" spans="1:20" x14ac:dyDescent="0.3">
      <c r="A198" t="s">
        <v>602</v>
      </c>
      <c r="B198" t="s">
        <v>603</v>
      </c>
      <c r="C198" s="2">
        <v>1858</v>
      </c>
      <c r="D198" s="2">
        <v>3363</v>
      </c>
      <c r="E198" s="2">
        <v>1434</v>
      </c>
      <c r="F198" s="18">
        <v>39.76</v>
      </c>
      <c r="G198">
        <v>75525</v>
      </c>
      <c r="H198">
        <v>90888</v>
      </c>
      <c r="I198" s="1">
        <v>6.3</v>
      </c>
      <c r="J198" t="s">
        <v>12</v>
      </c>
      <c r="K198" s="4" t="s">
        <v>1114</v>
      </c>
      <c r="L198" t="s">
        <v>604</v>
      </c>
      <c r="M198" s="1">
        <f t="shared" si="24"/>
        <v>0.39759999999999995</v>
      </c>
      <c r="N198" s="1">
        <f t="shared" si="25"/>
        <v>6.3E-2</v>
      </c>
      <c r="O198" s="3">
        <f t="shared" si="26"/>
        <v>6655</v>
      </c>
      <c r="P198" s="1">
        <f t="shared" si="27"/>
        <v>7.3221987501100261E-2</v>
      </c>
      <c r="Q198" t="str">
        <f t="shared" si="28"/>
        <v>High CTR</v>
      </c>
      <c r="R198" t="str">
        <f t="shared" si="29"/>
        <v>High</v>
      </c>
      <c r="S198" t="str">
        <f t="shared" si="30"/>
        <v>Morning</v>
      </c>
      <c r="T198">
        <f t="shared" si="31"/>
        <v>3</v>
      </c>
    </row>
    <row r="199" spans="1:20" x14ac:dyDescent="0.3">
      <c r="A199" t="s">
        <v>605</v>
      </c>
      <c r="B199" t="s">
        <v>606</v>
      </c>
      <c r="C199" s="2">
        <v>6883</v>
      </c>
      <c r="D199" s="2">
        <v>542</v>
      </c>
      <c r="E199" s="2">
        <v>1367</v>
      </c>
      <c r="F199" s="18">
        <v>49.11</v>
      </c>
      <c r="G199">
        <v>43950</v>
      </c>
      <c r="H199">
        <v>19063</v>
      </c>
      <c r="I199" s="1">
        <v>7.43</v>
      </c>
      <c r="J199" t="s">
        <v>12</v>
      </c>
      <c r="K199" s="4" t="s">
        <v>1115</v>
      </c>
      <c r="L199" t="s">
        <v>607</v>
      </c>
      <c r="M199" s="1">
        <f t="shared" si="24"/>
        <v>0.49109999999999998</v>
      </c>
      <c r="N199" s="1">
        <f t="shared" si="25"/>
        <v>7.4299999999999991E-2</v>
      </c>
      <c r="O199" s="3">
        <f t="shared" si="26"/>
        <v>8792</v>
      </c>
      <c r="P199" s="1">
        <f t="shared" si="27"/>
        <v>0.46120757488328173</v>
      </c>
      <c r="Q199" t="str">
        <f t="shared" si="28"/>
        <v>High CTR</v>
      </c>
      <c r="R199" t="str">
        <f t="shared" si="29"/>
        <v>High</v>
      </c>
      <c r="S199" t="str">
        <f t="shared" si="30"/>
        <v>Afternoon</v>
      </c>
      <c r="T199">
        <f t="shared" si="31"/>
        <v>3</v>
      </c>
    </row>
    <row r="200" spans="1:20" x14ac:dyDescent="0.3">
      <c r="A200" t="s">
        <v>608</v>
      </c>
      <c r="B200" t="s">
        <v>609</v>
      </c>
      <c r="C200" s="2">
        <v>4458</v>
      </c>
      <c r="D200" s="2">
        <v>2454</v>
      </c>
      <c r="E200" s="2">
        <v>1686</v>
      </c>
      <c r="F200" s="18">
        <v>56.33</v>
      </c>
      <c r="G200">
        <v>73056</v>
      </c>
      <c r="H200">
        <v>69114</v>
      </c>
      <c r="I200" s="1">
        <v>8.33</v>
      </c>
      <c r="J200" t="s">
        <v>12</v>
      </c>
      <c r="K200" s="4" t="s">
        <v>1116</v>
      </c>
      <c r="L200" t="s">
        <v>610</v>
      </c>
      <c r="M200" s="1">
        <f t="shared" si="24"/>
        <v>0.56330000000000002</v>
      </c>
      <c r="N200" s="1">
        <f t="shared" si="25"/>
        <v>8.3299999999999999E-2</v>
      </c>
      <c r="O200" s="3">
        <f t="shared" si="26"/>
        <v>8598</v>
      </c>
      <c r="P200" s="1">
        <f t="shared" si="27"/>
        <v>0.12440315999652747</v>
      </c>
      <c r="Q200" t="str">
        <f t="shared" si="28"/>
        <v>High CTR</v>
      </c>
      <c r="R200" t="str">
        <f t="shared" si="29"/>
        <v>High</v>
      </c>
      <c r="S200" t="str">
        <f t="shared" si="30"/>
        <v>Evening</v>
      </c>
      <c r="T200">
        <f t="shared" si="31"/>
        <v>3</v>
      </c>
    </row>
    <row r="201" spans="1:20" x14ac:dyDescent="0.3">
      <c r="A201" t="s">
        <v>611</v>
      </c>
      <c r="B201" t="s">
        <v>612</v>
      </c>
      <c r="C201" s="2">
        <v>1755</v>
      </c>
      <c r="D201" s="2">
        <v>311</v>
      </c>
      <c r="E201" s="2">
        <v>101</v>
      </c>
      <c r="F201" s="18">
        <v>81.819999999999993</v>
      </c>
      <c r="G201">
        <v>40186</v>
      </c>
      <c r="H201">
        <v>7065</v>
      </c>
      <c r="I201" s="1">
        <v>6.22</v>
      </c>
      <c r="J201" t="s">
        <v>20</v>
      </c>
      <c r="K201" s="4" t="s">
        <v>1117</v>
      </c>
      <c r="L201" t="s">
        <v>613</v>
      </c>
      <c r="M201" s="1">
        <f t="shared" si="24"/>
        <v>0.81819999999999993</v>
      </c>
      <c r="N201" s="1">
        <f t="shared" si="25"/>
        <v>6.2199999999999998E-2</v>
      </c>
      <c r="O201" s="3">
        <f t="shared" si="26"/>
        <v>2167</v>
      </c>
      <c r="P201" s="1">
        <f t="shared" si="27"/>
        <v>0.30672328379334751</v>
      </c>
      <c r="Q201" t="str">
        <f t="shared" si="28"/>
        <v>High CTR</v>
      </c>
      <c r="R201" t="str">
        <f t="shared" si="29"/>
        <v>High</v>
      </c>
      <c r="S201" t="str">
        <f t="shared" si="30"/>
        <v>Morning</v>
      </c>
      <c r="T201">
        <f t="shared" si="31"/>
        <v>3</v>
      </c>
    </row>
    <row r="202" spans="1:20" x14ac:dyDescent="0.3">
      <c r="A202" t="s">
        <v>614</v>
      </c>
      <c r="B202" t="s">
        <v>615</v>
      </c>
      <c r="C202" s="2">
        <v>9367</v>
      </c>
      <c r="D202" s="2">
        <v>1058</v>
      </c>
      <c r="E202" s="2">
        <v>751</v>
      </c>
      <c r="F202" s="18">
        <v>46.21</v>
      </c>
      <c r="G202">
        <v>66316</v>
      </c>
      <c r="H202">
        <v>21043</v>
      </c>
      <c r="I202" s="1">
        <v>8.02</v>
      </c>
      <c r="J202" t="s">
        <v>20</v>
      </c>
      <c r="K202" s="4" t="s">
        <v>1118</v>
      </c>
      <c r="L202" t="s">
        <v>616</v>
      </c>
      <c r="M202" s="1">
        <f t="shared" si="24"/>
        <v>0.46210000000000001</v>
      </c>
      <c r="N202" s="1">
        <f t="shared" si="25"/>
        <v>8.0199999999999994E-2</v>
      </c>
      <c r="O202" s="3">
        <f t="shared" si="26"/>
        <v>11176</v>
      </c>
      <c r="P202" s="1">
        <f t="shared" si="27"/>
        <v>0.53110297961317299</v>
      </c>
      <c r="Q202" t="str">
        <f t="shared" si="28"/>
        <v>High CTR</v>
      </c>
      <c r="R202" t="str">
        <f t="shared" si="29"/>
        <v>High</v>
      </c>
      <c r="S202" t="str">
        <f t="shared" si="30"/>
        <v>Evening</v>
      </c>
      <c r="T202">
        <f t="shared" si="31"/>
        <v>3</v>
      </c>
    </row>
    <row r="203" spans="1:20" x14ac:dyDescent="0.3">
      <c r="A203" t="s">
        <v>617</v>
      </c>
      <c r="B203" t="s">
        <v>618</v>
      </c>
      <c r="C203" s="2">
        <v>6999</v>
      </c>
      <c r="D203" s="2">
        <v>839</v>
      </c>
      <c r="E203" s="2">
        <v>360</v>
      </c>
      <c r="F203" s="18">
        <v>93.71</v>
      </c>
      <c r="G203">
        <v>66621</v>
      </c>
      <c r="H203">
        <v>28704</v>
      </c>
      <c r="I203" s="1">
        <v>1.52</v>
      </c>
      <c r="J203" t="s">
        <v>42</v>
      </c>
      <c r="K203" s="4" t="s">
        <v>1119</v>
      </c>
      <c r="L203" t="s">
        <v>619</v>
      </c>
      <c r="M203" s="1">
        <f t="shared" si="24"/>
        <v>0.93709999999999993</v>
      </c>
      <c r="N203" s="1">
        <f t="shared" si="25"/>
        <v>1.52E-2</v>
      </c>
      <c r="O203" s="3">
        <f t="shared" si="26"/>
        <v>8198</v>
      </c>
      <c r="P203" s="1">
        <f t="shared" si="27"/>
        <v>0.28560479375696768</v>
      </c>
      <c r="Q203" t="str">
        <f t="shared" si="28"/>
        <v>High CTR</v>
      </c>
      <c r="R203" t="str">
        <f t="shared" si="29"/>
        <v>High</v>
      </c>
      <c r="S203" t="str">
        <f t="shared" si="30"/>
        <v>Morning</v>
      </c>
      <c r="T203">
        <f t="shared" si="31"/>
        <v>3</v>
      </c>
    </row>
    <row r="204" spans="1:20" x14ac:dyDescent="0.3">
      <c r="A204" t="s">
        <v>620</v>
      </c>
      <c r="B204" t="s">
        <v>621</v>
      </c>
      <c r="C204" s="2">
        <v>73</v>
      </c>
      <c r="D204" s="2">
        <v>985</v>
      </c>
      <c r="E204" s="2">
        <v>525</v>
      </c>
      <c r="F204" s="18">
        <v>66.069999999999993</v>
      </c>
      <c r="G204">
        <v>63035</v>
      </c>
      <c r="H204">
        <v>97357</v>
      </c>
      <c r="I204" s="1">
        <v>7.17</v>
      </c>
      <c r="J204" t="s">
        <v>12</v>
      </c>
      <c r="K204" s="4" t="s">
        <v>1120</v>
      </c>
      <c r="L204" t="s">
        <v>622</v>
      </c>
      <c r="M204" s="1">
        <f t="shared" si="24"/>
        <v>0.66069999999999995</v>
      </c>
      <c r="N204" s="1">
        <f t="shared" si="25"/>
        <v>7.17E-2</v>
      </c>
      <c r="O204" s="3">
        <f t="shared" si="26"/>
        <v>1583</v>
      </c>
      <c r="P204" s="1">
        <f t="shared" si="27"/>
        <v>1.6259745061988351E-2</v>
      </c>
      <c r="Q204" t="str">
        <f t="shared" si="28"/>
        <v>High CTR</v>
      </c>
      <c r="R204" t="str">
        <f t="shared" si="29"/>
        <v>High</v>
      </c>
      <c r="S204" t="str">
        <f t="shared" si="30"/>
        <v>Morning</v>
      </c>
      <c r="T204">
        <f t="shared" si="31"/>
        <v>3</v>
      </c>
    </row>
    <row r="205" spans="1:20" x14ac:dyDescent="0.3">
      <c r="A205" t="s">
        <v>623</v>
      </c>
      <c r="B205" t="s">
        <v>624</v>
      </c>
      <c r="C205" s="2">
        <v>9023</v>
      </c>
      <c r="D205" s="2">
        <v>2747</v>
      </c>
      <c r="E205" s="2">
        <v>1904</v>
      </c>
      <c r="F205" s="18">
        <v>94.35</v>
      </c>
      <c r="G205">
        <v>69805</v>
      </c>
      <c r="H205">
        <v>73638</v>
      </c>
      <c r="I205" s="1">
        <v>5.27</v>
      </c>
      <c r="J205" t="s">
        <v>20</v>
      </c>
      <c r="K205" s="4" t="s">
        <v>1121</v>
      </c>
      <c r="L205" t="s">
        <v>625</v>
      </c>
      <c r="M205" s="1">
        <f t="shared" si="24"/>
        <v>0.94349999999999989</v>
      </c>
      <c r="N205" s="1">
        <f t="shared" si="25"/>
        <v>5.2699999999999997E-2</v>
      </c>
      <c r="O205" s="3">
        <f t="shared" si="26"/>
        <v>13674</v>
      </c>
      <c r="P205" s="1">
        <f t="shared" si="27"/>
        <v>0.18569216980363398</v>
      </c>
      <c r="Q205" t="str">
        <f t="shared" si="28"/>
        <v>High CTR</v>
      </c>
      <c r="R205" t="str">
        <f t="shared" si="29"/>
        <v>High</v>
      </c>
      <c r="S205" t="str">
        <f t="shared" si="30"/>
        <v>Afternoon</v>
      </c>
      <c r="T205">
        <f t="shared" si="31"/>
        <v>3</v>
      </c>
    </row>
    <row r="206" spans="1:20" x14ac:dyDescent="0.3">
      <c r="A206" t="s">
        <v>626</v>
      </c>
      <c r="B206" t="s">
        <v>627</v>
      </c>
      <c r="C206" s="2">
        <v>2519</v>
      </c>
      <c r="D206" s="2">
        <v>2832</v>
      </c>
      <c r="E206" s="2">
        <v>1376</v>
      </c>
      <c r="F206" s="18">
        <v>58.03</v>
      </c>
      <c r="G206">
        <v>29646</v>
      </c>
      <c r="H206">
        <v>90499</v>
      </c>
      <c r="I206" s="1">
        <v>8.16</v>
      </c>
      <c r="J206" t="s">
        <v>16</v>
      </c>
      <c r="K206" s="4" t="s">
        <v>1122</v>
      </c>
      <c r="L206" t="s">
        <v>628</v>
      </c>
      <c r="M206" s="1">
        <f t="shared" si="24"/>
        <v>0.58030000000000004</v>
      </c>
      <c r="N206" s="1">
        <f t="shared" si="25"/>
        <v>8.1600000000000006E-2</v>
      </c>
      <c r="O206" s="3">
        <f t="shared" si="26"/>
        <v>6727</v>
      </c>
      <c r="P206" s="1">
        <f t="shared" si="27"/>
        <v>7.4332313064232755E-2</v>
      </c>
      <c r="Q206" t="str">
        <f t="shared" si="28"/>
        <v>High CTR</v>
      </c>
      <c r="R206" t="str">
        <f t="shared" si="29"/>
        <v>High</v>
      </c>
      <c r="S206" t="str">
        <f t="shared" si="30"/>
        <v>Morning</v>
      </c>
      <c r="T206">
        <f t="shared" si="31"/>
        <v>3</v>
      </c>
    </row>
    <row r="207" spans="1:20" x14ac:dyDescent="0.3">
      <c r="A207" t="s">
        <v>629</v>
      </c>
      <c r="B207" t="s">
        <v>630</v>
      </c>
      <c r="C207" s="2">
        <v>3222</v>
      </c>
      <c r="D207" s="2">
        <v>419</v>
      </c>
      <c r="E207" s="2">
        <v>1269</v>
      </c>
      <c r="F207" s="18">
        <v>64.77</v>
      </c>
      <c r="G207">
        <v>81429</v>
      </c>
      <c r="H207">
        <v>40489</v>
      </c>
      <c r="I207" s="1">
        <v>9.85</v>
      </c>
      <c r="J207" t="s">
        <v>12</v>
      </c>
      <c r="K207" s="4" t="s">
        <v>1123</v>
      </c>
      <c r="L207" t="s">
        <v>631</v>
      </c>
      <c r="M207" s="1">
        <f t="shared" si="24"/>
        <v>0.64769999999999994</v>
      </c>
      <c r="N207" s="1">
        <f t="shared" si="25"/>
        <v>9.849999999999999E-2</v>
      </c>
      <c r="O207" s="3">
        <f t="shared" si="26"/>
        <v>4910</v>
      </c>
      <c r="P207" s="1">
        <f t="shared" si="27"/>
        <v>0.12126750475437774</v>
      </c>
      <c r="Q207" t="str">
        <f t="shared" si="28"/>
        <v>High CTR</v>
      </c>
      <c r="R207" t="str">
        <f t="shared" si="29"/>
        <v>High</v>
      </c>
      <c r="S207" t="str">
        <f t="shared" si="30"/>
        <v>Night</v>
      </c>
      <c r="T207">
        <f t="shared" si="31"/>
        <v>3</v>
      </c>
    </row>
    <row r="208" spans="1:20" x14ac:dyDescent="0.3">
      <c r="A208" t="s">
        <v>632</v>
      </c>
      <c r="B208" t="s">
        <v>633</v>
      </c>
      <c r="C208" s="2">
        <v>4050</v>
      </c>
      <c r="D208" s="2">
        <v>3474</v>
      </c>
      <c r="E208" s="2">
        <v>882</v>
      </c>
      <c r="F208" s="18">
        <v>24.03</v>
      </c>
      <c r="G208">
        <v>41884</v>
      </c>
      <c r="H208">
        <v>69895</v>
      </c>
      <c r="I208" s="1">
        <v>0.47</v>
      </c>
      <c r="J208" t="s">
        <v>16</v>
      </c>
      <c r="K208" s="4" t="s">
        <v>1124</v>
      </c>
      <c r="L208" t="s">
        <v>634</v>
      </c>
      <c r="M208" s="1">
        <f t="shared" si="24"/>
        <v>0.24030000000000001</v>
      </c>
      <c r="N208" s="1">
        <f t="shared" si="25"/>
        <v>4.6999999999999993E-3</v>
      </c>
      <c r="O208" s="3">
        <f t="shared" si="26"/>
        <v>8406</v>
      </c>
      <c r="P208" s="1">
        <f t="shared" si="27"/>
        <v>0.12026611345589813</v>
      </c>
      <c r="Q208" t="str">
        <f t="shared" si="28"/>
        <v>High CTR</v>
      </c>
      <c r="R208" t="str">
        <f t="shared" si="29"/>
        <v>High</v>
      </c>
      <c r="S208" t="str">
        <f t="shared" si="30"/>
        <v>Morning</v>
      </c>
      <c r="T208">
        <f t="shared" si="31"/>
        <v>3</v>
      </c>
    </row>
    <row r="209" spans="1:20" x14ac:dyDescent="0.3">
      <c r="A209" t="s">
        <v>635</v>
      </c>
      <c r="B209" t="s">
        <v>636</v>
      </c>
      <c r="C209" s="2">
        <v>8522</v>
      </c>
      <c r="D209" s="2">
        <v>2067</v>
      </c>
      <c r="E209" s="2">
        <v>887</v>
      </c>
      <c r="F209" s="18">
        <v>20.12</v>
      </c>
      <c r="G209">
        <v>26249</v>
      </c>
      <c r="H209">
        <v>87027</v>
      </c>
      <c r="I209" s="1">
        <v>6.71</v>
      </c>
      <c r="J209" t="s">
        <v>12</v>
      </c>
      <c r="K209" s="4" t="s">
        <v>1125</v>
      </c>
      <c r="L209" t="s">
        <v>637</v>
      </c>
      <c r="M209" s="1">
        <f t="shared" si="24"/>
        <v>0.20120000000000002</v>
      </c>
      <c r="N209" s="1">
        <f t="shared" si="25"/>
        <v>6.7099999999999993E-2</v>
      </c>
      <c r="O209" s="3">
        <f t="shared" si="26"/>
        <v>11476</v>
      </c>
      <c r="P209" s="1">
        <f t="shared" si="27"/>
        <v>0.13186712169786388</v>
      </c>
      <c r="Q209" t="str">
        <f t="shared" si="28"/>
        <v>High CTR</v>
      </c>
      <c r="R209" t="str">
        <f t="shared" si="29"/>
        <v>High</v>
      </c>
      <c r="S209" t="str">
        <f t="shared" si="30"/>
        <v>Morning</v>
      </c>
      <c r="T209">
        <f t="shared" si="31"/>
        <v>3</v>
      </c>
    </row>
    <row r="210" spans="1:20" x14ac:dyDescent="0.3">
      <c r="A210" t="s">
        <v>638</v>
      </c>
      <c r="B210" t="s">
        <v>639</v>
      </c>
      <c r="C210" s="2">
        <v>2720</v>
      </c>
      <c r="D210" s="2">
        <v>1398</v>
      </c>
      <c r="E210" s="2">
        <v>742</v>
      </c>
      <c r="F210" s="18">
        <v>18.93</v>
      </c>
      <c r="G210">
        <v>97063</v>
      </c>
      <c r="H210">
        <v>56096</v>
      </c>
      <c r="I210" s="1">
        <v>0.61</v>
      </c>
      <c r="J210" t="s">
        <v>12</v>
      </c>
      <c r="K210" s="4" t="s">
        <v>1126</v>
      </c>
      <c r="L210" t="s">
        <v>640</v>
      </c>
      <c r="M210" s="1">
        <f t="shared" si="24"/>
        <v>0.1893</v>
      </c>
      <c r="N210" s="1">
        <f t="shared" si="25"/>
        <v>6.0999999999999995E-3</v>
      </c>
      <c r="O210" s="3">
        <f t="shared" si="26"/>
        <v>4860</v>
      </c>
      <c r="P210" s="1">
        <f t="shared" si="27"/>
        <v>8.6637193382772384E-2</v>
      </c>
      <c r="Q210" t="str">
        <f t="shared" si="28"/>
        <v>High CTR</v>
      </c>
      <c r="R210" t="str">
        <f t="shared" si="29"/>
        <v>High</v>
      </c>
      <c r="S210" t="str">
        <f t="shared" si="30"/>
        <v>Morning</v>
      </c>
      <c r="T210">
        <f t="shared" si="31"/>
        <v>3</v>
      </c>
    </row>
    <row r="211" spans="1:20" x14ac:dyDescent="0.3">
      <c r="A211" t="s">
        <v>641</v>
      </c>
      <c r="B211" t="s">
        <v>642</v>
      </c>
      <c r="C211" s="2">
        <v>3441</v>
      </c>
      <c r="D211" s="2">
        <v>4630</v>
      </c>
      <c r="E211" s="2">
        <v>1787</v>
      </c>
      <c r="F211" s="18">
        <v>84.65</v>
      </c>
      <c r="G211">
        <v>17448</v>
      </c>
      <c r="H211">
        <v>59705</v>
      </c>
      <c r="I211" s="1">
        <v>5.08</v>
      </c>
      <c r="J211" t="s">
        <v>42</v>
      </c>
      <c r="K211" s="4" t="s">
        <v>1127</v>
      </c>
      <c r="L211" t="s">
        <v>643</v>
      </c>
      <c r="M211" s="1">
        <f t="shared" si="24"/>
        <v>0.84650000000000003</v>
      </c>
      <c r="N211" s="1">
        <f t="shared" si="25"/>
        <v>5.0799999999999998E-2</v>
      </c>
      <c r="O211" s="3">
        <f t="shared" si="26"/>
        <v>9858</v>
      </c>
      <c r="P211" s="1">
        <f t="shared" si="27"/>
        <v>0.1651117996817687</v>
      </c>
      <c r="Q211" t="str">
        <f t="shared" si="28"/>
        <v>High CTR</v>
      </c>
      <c r="R211" t="str">
        <f t="shared" si="29"/>
        <v>High</v>
      </c>
      <c r="S211" t="str">
        <f t="shared" si="30"/>
        <v>Afternoon</v>
      </c>
      <c r="T211">
        <f t="shared" si="31"/>
        <v>3</v>
      </c>
    </row>
    <row r="212" spans="1:20" x14ac:dyDescent="0.3">
      <c r="A212" t="s">
        <v>644</v>
      </c>
      <c r="B212" t="s">
        <v>645</v>
      </c>
      <c r="C212" s="2">
        <v>3031</v>
      </c>
      <c r="D212" s="2">
        <v>714</v>
      </c>
      <c r="E212" s="2">
        <v>1834</v>
      </c>
      <c r="F212" s="18">
        <v>42.25</v>
      </c>
      <c r="G212">
        <v>79177</v>
      </c>
      <c r="H212">
        <v>32000</v>
      </c>
      <c r="I212" s="1">
        <v>8.68</v>
      </c>
      <c r="J212" t="s">
        <v>12</v>
      </c>
      <c r="K212" s="4" t="s">
        <v>1128</v>
      </c>
      <c r="L212" t="s">
        <v>646</v>
      </c>
      <c r="M212" s="1">
        <f t="shared" si="24"/>
        <v>0.42249999999999999</v>
      </c>
      <c r="N212" s="1">
        <f t="shared" si="25"/>
        <v>8.6800000000000002E-2</v>
      </c>
      <c r="O212" s="3">
        <f t="shared" si="26"/>
        <v>5579</v>
      </c>
      <c r="P212" s="1">
        <f t="shared" si="27"/>
        <v>0.17434374999999999</v>
      </c>
      <c r="Q212" t="str">
        <f t="shared" si="28"/>
        <v>High CTR</v>
      </c>
      <c r="R212" t="str">
        <f t="shared" si="29"/>
        <v>High</v>
      </c>
      <c r="S212" t="str">
        <f t="shared" si="30"/>
        <v>Evening</v>
      </c>
      <c r="T212">
        <f t="shared" si="31"/>
        <v>3</v>
      </c>
    </row>
    <row r="213" spans="1:20" x14ac:dyDescent="0.3">
      <c r="A213" t="s">
        <v>647</v>
      </c>
      <c r="B213" t="s">
        <v>648</v>
      </c>
      <c r="C213" s="2">
        <v>713</v>
      </c>
      <c r="D213" s="2">
        <v>1709</v>
      </c>
      <c r="E213" s="2">
        <v>816</v>
      </c>
      <c r="F213" s="18">
        <v>99.73</v>
      </c>
      <c r="G213">
        <v>73765</v>
      </c>
      <c r="H213">
        <v>81805</v>
      </c>
      <c r="I213" s="1">
        <v>8.5399999999999991</v>
      </c>
      <c r="J213" t="s">
        <v>42</v>
      </c>
      <c r="K213" s="4" t="s">
        <v>1129</v>
      </c>
      <c r="L213" t="s">
        <v>649</v>
      </c>
      <c r="M213" s="1">
        <f t="shared" si="24"/>
        <v>0.99730000000000008</v>
      </c>
      <c r="N213" s="1">
        <f t="shared" si="25"/>
        <v>8.539999999999999E-2</v>
      </c>
      <c r="O213" s="3">
        <f t="shared" si="26"/>
        <v>3238</v>
      </c>
      <c r="P213" s="1">
        <f t="shared" si="27"/>
        <v>3.9581932644703867E-2</v>
      </c>
      <c r="Q213" t="str">
        <f t="shared" si="28"/>
        <v>High CTR</v>
      </c>
      <c r="R213" t="str">
        <f t="shared" si="29"/>
        <v>High</v>
      </c>
      <c r="S213" t="str">
        <f t="shared" si="30"/>
        <v>Evening</v>
      </c>
      <c r="T213">
        <f t="shared" si="31"/>
        <v>3</v>
      </c>
    </row>
    <row r="214" spans="1:20" x14ac:dyDescent="0.3">
      <c r="A214" t="s">
        <v>650</v>
      </c>
      <c r="B214" t="s">
        <v>651</v>
      </c>
      <c r="C214" s="2">
        <v>5580</v>
      </c>
      <c r="D214" s="2">
        <v>2434</v>
      </c>
      <c r="E214" s="2">
        <v>1633</v>
      </c>
      <c r="F214" s="18">
        <v>17.760000000000002</v>
      </c>
      <c r="G214">
        <v>29601</v>
      </c>
      <c r="H214">
        <v>16291</v>
      </c>
      <c r="I214" s="1">
        <v>3.84</v>
      </c>
      <c r="J214" t="s">
        <v>16</v>
      </c>
      <c r="K214" s="4" t="s">
        <v>1130</v>
      </c>
      <c r="L214" t="s">
        <v>652</v>
      </c>
      <c r="M214" s="1">
        <f t="shared" si="24"/>
        <v>0.17760000000000001</v>
      </c>
      <c r="N214" s="1">
        <f t="shared" si="25"/>
        <v>3.8399999999999997E-2</v>
      </c>
      <c r="O214" s="3">
        <f t="shared" si="26"/>
        <v>9647</v>
      </c>
      <c r="P214" s="1">
        <f t="shared" si="27"/>
        <v>0.59216745442268737</v>
      </c>
      <c r="Q214" t="str">
        <f t="shared" si="28"/>
        <v>High CTR</v>
      </c>
      <c r="R214" t="str">
        <f t="shared" si="29"/>
        <v>High</v>
      </c>
      <c r="S214" t="str">
        <f t="shared" si="30"/>
        <v>Morning</v>
      </c>
      <c r="T214">
        <f t="shared" si="31"/>
        <v>3</v>
      </c>
    </row>
    <row r="215" spans="1:20" x14ac:dyDescent="0.3">
      <c r="A215" t="s">
        <v>653</v>
      </c>
      <c r="B215" t="s">
        <v>654</v>
      </c>
      <c r="C215" s="2">
        <v>4334</v>
      </c>
      <c r="D215" s="2">
        <v>1014</v>
      </c>
      <c r="E215" s="2">
        <v>276</v>
      </c>
      <c r="F215" s="18">
        <v>86.63</v>
      </c>
      <c r="G215">
        <v>70412</v>
      </c>
      <c r="H215">
        <v>68601</v>
      </c>
      <c r="I215" s="1">
        <v>3.38</v>
      </c>
      <c r="J215" t="s">
        <v>42</v>
      </c>
      <c r="K215" s="4" t="s">
        <v>1131</v>
      </c>
      <c r="L215" t="s">
        <v>655</v>
      </c>
      <c r="M215" s="1">
        <f t="shared" si="24"/>
        <v>0.86629999999999996</v>
      </c>
      <c r="N215" s="1">
        <f t="shared" si="25"/>
        <v>3.3799999999999997E-2</v>
      </c>
      <c r="O215" s="3">
        <f t="shared" si="26"/>
        <v>5624</v>
      </c>
      <c r="P215" s="1">
        <f t="shared" si="27"/>
        <v>8.1981312225769307E-2</v>
      </c>
      <c r="Q215" t="str">
        <f t="shared" si="28"/>
        <v>High CTR</v>
      </c>
      <c r="R215" t="str">
        <f t="shared" si="29"/>
        <v>High</v>
      </c>
      <c r="S215" t="str">
        <f t="shared" si="30"/>
        <v>Afternoon</v>
      </c>
      <c r="T215">
        <f t="shared" si="31"/>
        <v>3</v>
      </c>
    </row>
    <row r="216" spans="1:20" x14ac:dyDescent="0.3">
      <c r="A216" t="s">
        <v>656</v>
      </c>
      <c r="B216" t="s">
        <v>657</v>
      </c>
      <c r="C216" s="2">
        <v>7083</v>
      </c>
      <c r="D216" s="2">
        <v>4530</v>
      </c>
      <c r="E216" s="2">
        <v>313</v>
      </c>
      <c r="F216" s="18">
        <v>56.79</v>
      </c>
      <c r="G216">
        <v>68978</v>
      </c>
      <c r="H216">
        <v>77089</v>
      </c>
      <c r="I216" s="1">
        <v>7.09</v>
      </c>
      <c r="J216" t="s">
        <v>42</v>
      </c>
      <c r="K216" s="4" t="s">
        <v>1132</v>
      </c>
      <c r="L216" t="s">
        <v>658</v>
      </c>
      <c r="M216" s="1">
        <f t="shared" si="24"/>
        <v>0.56789999999999996</v>
      </c>
      <c r="N216" s="1">
        <f t="shared" si="25"/>
        <v>7.0900000000000005E-2</v>
      </c>
      <c r="O216" s="3">
        <f t="shared" si="26"/>
        <v>11926</v>
      </c>
      <c r="P216" s="1">
        <f t="shared" si="27"/>
        <v>0.15470430281881981</v>
      </c>
      <c r="Q216" t="str">
        <f t="shared" si="28"/>
        <v>High CTR</v>
      </c>
      <c r="R216" t="str">
        <f t="shared" si="29"/>
        <v>High</v>
      </c>
      <c r="S216" t="str">
        <f t="shared" si="30"/>
        <v>Morning</v>
      </c>
      <c r="T216">
        <f t="shared" si="31"/>
        <v>3</v>
      </c>
    </row>
    <row r="217" spans="1:20" x14ac:dyDescent="0.3">
      <c r="A217" t="s">
        <v>659</v>
      </c>
      <c r="B217" t="s">
        <v>660</v>
      </c>
      <c r="C217" s="2">
        <v>3724</v>
      </c>
      <c r="D217" s="2">
        <v>3964</v>
      </c>
      <c r="E217" s="2">
        <v>940</v>
      </c>
      <c r="F217" s="18">
        <v>94.15</v>
      </c>
      <c r="G217">
        <v>53298</v>
      </c>
      <c r="H217">
        <v>5335</v>
      </c>
      <c r="I217" s="1">
        <v>3.23</v>
      </c>
      <c r="J217" t="s">
        <v>12</v>
      </c>
      <c r="K217" s="4" t="s">
        <v>1133</v>
      </c>
      <c r="L217" t="s">
        <v>661</v>
      </c>
      <c r="M217" s="1">
        <f t="shared" si="24"/>
        <v>0.9415</v>
      </c>
      <c r="N217" s="1">
        <f t="shared" si="25"/>
        <v>3.2300000000000002E-2</v>
      </c>
      <c r="O217" s="3">
        <f t="shared" si="26"/>
        <v>8628</v>
      </c>
      <c r="P217" s="1">
        <f t="shared" si="27"/>
        <v>1</v>
      </c>
      <c r="Q217" t="str">
        <f t="shared" si="28"/>
        <v>High CTR</v>
      </c>
      <c r="R217" t="str">
        <f t="shared" si="29"/>
        <v>High</v>
      </c>
      <c r="S217" t="str">
        <f t="shared" si="30"/>
        <v>Evening</v>
      </c>
      <c r="T217">
        <f t="shared" si="31"/>
        <v>3</v>
      </c>
    </row>
    <row r="218" spans="1:20" x14ac:dyDescent="0.3">
      <c r="A218" t="s">
        <v>662</v>
      </c>
      <c r="B218" t="s">
        <v>663</v>
      </c>
      <c r="C218" s="2">
        <v>8882</v>
      </c>
      <c r="D218" s="2">
        <v>4594</v>
      </c>
      <c r="E218" s="2">
        <v>1049</v>
      </c>
      <c r="F218" s="18">
        <v>79.66</v>
      </c>
      <c r="G218">
        <v>21998</v>
      </c>
      <c r="H218">
        <v>69725</v>
      </c>
      <c r="I218" s="1">
        <v>2.0099999999999998</v>
      </c>
      <c r="J218" t="s">
        <v>16</v>
      </c>
      <c r="K218" s="4" t="s">
        <v>1134</v>
      </c>
      <c r="L218" t="s">
        <v>664</v>
      </c>
      <c r="M218" s="1">
        <f t="shared" si="24"/>
        <v>0.79659999999999997</v>
      </c>
      <c r="N218" s="1">
        <f t="shared" si="25"/>
        <v>2.0099999999999996E-2</v>
      </c>
      <c r="O218" s="3">
        <f t="shared" si="26"/>
        <v>14525</v>
      </c>
      <c r="P218" s="1">
        <f t="shared" si="27"/>
        <v>0.20831839368949445</v>
      </c>
      <c r="Q218" t="str">
        <f t="shared" si="28"/>
        <v>High CTR</v>
      </c>
      <c r="R218" t="str">
        <f t="shared" si="29"/>
        <v>High</v>
      </c>
      <c r="S218" t="str">
        <f t="shared" si="30"/>
        <v>Evening</v>
      </c>
      <c r="T218">
        <f t="shared" si="31"/>
        <v>3</v>
      </c>
    </row>
    <row r="219" spans="1:20" x14ac:dyDescent="0.3">
      <c r="A219" t="s">
        <v>665</v>
      </c>
      <c r="B219" t="s">
        <v>666</v>
      </c>
      <c r="C219" s="2">
        <v>894</v>
      </c>
      <c r="D219" s="2">
        <v>963</v>
      </c>
      <c r="E219" s="2">
        <v>1225</v>
      </c>
      <c r="F219" s="18">
        <v>65.010000000000005</v>
      </c>
      <c r="G219">
        <v>79522</v>
      </c>
      <c r="H219">
        <v>13447</v>
      </c>
      <c r="I219" s="1">
        <v>6.86</v>
      </c>
      <c r="J219" t="s">
        <v>20</v>
      </c>
      <c r="K219" s="4" t="s">
        <v>1135</v>
      </c>
      <c r="L219" t="s">
        <v>667</v>
      </c>
      <c r="M219" s="1">
        <f t="shared" si="24"/>
        <v>0.65010000000000001</v>
      </c>
      <c r="N219" s="1">
        <f t="shared" si="25"/>
        <v>6.8600000000000008E-2</v>
      </c>
      <c r="O219" s="3">
        <f t="shared" si="26"/>
        <v>3082</v>
      </c>
      <c r="P219" s="1">
        <f t="shared" si="27"/>
        <v>0.22919610322004907</v>
      </c>
      <c r="Q219" t="str">
        <f t="shared" si="28"/>
        <v>High CTR</v>
      </c>
      <c r="R219" t="str">
        <f t="shared" si="29"/>
        <v>High</v>
      </c>
      <c r="S219" t="str">
        <f t="shared" si="30"/>
        <v>Afternoon</v>
      </c>
      <c r="T219">
        <f t="shared" si="31"/>
        <v>3</v>
      </c>
    </row>
    <row r="220" spans="1:20" x14ac:dyDescent="0.3">
      <c r="A220" t="s">
        <v>668</v>
      </c>
      <c r="B220" t="s">
        <v>669</v>
      </c>
      <c r="C220" s="2">
        <v>8894</v>
      </c>
      <c r="D220" s="2">
        <v>575</v>
      </c>
      <c r="E220" s="2">
        <v>1166</v>
      </c>
      <c r="F220" s="18">
        <v>5.15</v>
      </c>
      <c r="G220">
        <v>88909</v>
      </c>
      <c r="H220">
        <v>719</v>
      </c>
      <c r="I220" s="1">
        <v>7.17</v>
      </c>
      <c r="J220" t="s">
        <v>16</v>
      </c>
      <c r="K220" s="4" t="s">
        <v>1136</v>
      </c>
      <c r="L220" t="s">
        <v>670</v>
      </c>
      <c r="M220" s="1">
        <f t="shared" si="24"/>
        <v>5.1500000000000004E-2</v>
      </c>
      <c r="N220" s="1">
        <f t="shared" si="25"/>
        <v>7.17E-2</v>
      </c>
      <c r="O220" s="3">
        <f t="shared" si="26"/>
        <v>10635</v>
      </c>
      <c r="P220" s="1">
        <f t="shared" si="27"/>
        <v>1</v>
      </c>
      <c r="Q220" t="str">
        <f t="shared" si="28"/>
        <v>High CTR</v>
      </c>
      <c r="R220" t="str">
        <f t="shared" si="29"/>
        <v>High</v>
      </c>
      <c r="S220" t="str">
        <f t="shared" si="30"/>
        <v>Morning</v>
      </c>
      <c r="T220">
        <f t="shared" si="31"/>
        <v>3</v>
      </c>
    </row>
    <row r="221" spans="1:20" x14ac:dyDescent="0.3">
      <c r="A221" t="s">
        <v>671</v>
      </c>
      <c r="B221" t="s">
        <v>672</v>
      </c>
      <c r="C221" s="2">
        <v>1352</v>
      </c>
      <c r="D221" s="2">
        <v>8</v>
      </c>
      <c r="E221" s="2">
        <v>410</v>
      </c>
      <c r="F221" s="18">
        <v>60.66</v>
      </c>
      <c r="G221">
        <v>95191</v>
      </c>
      <c r="H221">
        <v>78060</v>
      </c>
      <c r="I221" s="1">
        <v>1.31</v>
      </c>
      <c r="J221" t="s">
        <v>20</v>
      </c>
      <c r="K221" s="4" t="s">
        <v>1137</v>
      </c>
      <c r="L221" t="s">
        <v>673</v>
      </c>
      <c r="M221" s="1">
        <f t="shared" si="24"/>
        <v>0.60659999999999992</v>
      </c>
      <c r="N221" s="1">
        <f t="shared" si="25"/>
        <v>1.3100000000000001E-2</v>
      </c>
      <c r="O221" s="3">
        <f t="shared" si="26"/>
        <v>1770</v>
      </c>
      <c r="P221" s="1">
        <f t="shared" si="27"/>
        <v>2.2674865488086088E-2</v>
      </c>
      <c r="Q221" t="str">
        <f t="shared" si="28"/>
        <v>High CTR</v>
      </c>
      <c r="R221" t="str">
        <f t="shared" si="29"/>
        <v>High</v>
      </c>
      <c r="S221" t="str">
        <f t="shared" si="30"/>
        <v>Morning</v>
      </c>
      <c r="T221">
        <f t="shared" si="31"/>
        <v>3</v>
      </c>
    </row>
    <row r="222" spans="1:20" x14ac:dyDescent="0.3">
      <c r="A222" t="s">
        <v>674</v>
      </c>
      <c r="B222" t="s">
        <v>675</v>
      </c>
      <c r="C222" s="2">
        <v>9901</v>
      </c>
      <c r="D222" s="2">
        <v>1722</v>
      </c>
      <c r="E222" s="2">
        <v>555</v>
      </c>
      <c r="F222" s="18">
        <v>0.44</v>
      </c>
      <c r="G222">
        <v>34645</v>
      </c>
      <c r="H222">
        <v>89666</v>
      </c>
      <c r="I222" s="1">
        <v>4.3099999999999996</v>
      </c>
      <c r="J222" t="s">
        <v>42</v>
      </c>
      <c r="K222" s="4" t="s">
        <v>1138</v>
      </c>
      <c r="L222" t="s">
        <v>676</v>
      </c>
      <c r="M222" s="1">
        <f t="shared" si="24"/>
        <v>4.4000000000000003E-3</v>
      </c>
      <c r="N222" s="1">
        <f t="shared" si="25"/>
        <v>4.3099999999999999E-2</v>
      </c>
      <c r="O222" s="3">
        <f t="shared" si="26"/>
        <v>12178</v>
      </c>
      <c r="P222" s="1">
        <f t="shared" si="27"/>
        <v>0.13581513617201615</v>
      </c>
      <c r="Q222" t="str">
        <f t="shared" si="28"/>
        <v>High CTR</v>
      </c>
      <c r="R222" t="str">
        <f t="shared" si="29"/>
        <v>High</v>
      </c>
      <c r="S222" t="str">
        <f t="shared" si="30"/>
        <v>Morning</v>
      </c>
      <c r="T222">
        <f t="shared" si="31"/>
        <v>3</v>
      </c>
    </row>
    <row r="223" spans="1:20" x14ac:dyDescent="0.3">
      <c r="A223" t="s">
        <v>677</v>
      </c>
      <c r="B223" t="s">
        <v>678</v>
      </c>
      <c r="C223" s="2">
        <v>4697</v>
      </c>
      <c r="D223" s="2">
        <v>3189</v>
      </c>
      <c r="E223" s="2">
        <v>1140</v>
      </c>
      <c r="F223" s="18">
        <v>69.930000000000007</v>
      </c>
      <c r="G223">
        <v>30907</v>
      </c>
      <c r="H223">
        <v>12838</v>
      </c>
      <c r="I223" s="1">
        <v>0.46</v>
      </c>
      <c r="J223" t="s">
        <v>16</v>
      </c>
      <c r="K223" s="4" t="s">
        <v>1139</v>
      </c>
      <c r="L223" t="s">
        <v>679</v>
      </c>
      <c r="M223" s="1">
        <f t="shared" si="24"/>
        <v>0.69930000000000003</v>
      </c>
      <c r="N223" s="1">
        <f t="shared" si="25"/>
        <v>4.5999999999999999E-3</v>
      </c>
      <c r="O223" s="3">
        <f t="shared" si="26"/>
        <v>9026</v>
      </c>
      <c r="P223" s="1">
        <f t="shared" si="27"/>
        <v>0.70306901386508802</v>
      </c>
      <c r="Q223" t="str">
        <f t="shared" si="28"/>
        <v>High CTR</v>
      </c>
      <c r="R223" t="str">
        <f t="shared" si="29"/>
        <v>High</v>
      </c>
      <c r="S223" t="str">
        <f t="shared" si="30"/>
        <v>Night</v>
      </c>
      <c r="T223">
        <f t="shared" si="31"/>
        <v>3</v>
      </c>
    </row>
    <row r="224" spans="1:20" x14ac:dyDescent="0.3">
      <c r="A224" t="s">
        <v>680</v>
      </c>
      <c r="B224" t="s">
        <v>681</v>
      </c>
      <c r="C224" s="2">
        <v>6673</v>
      </c>
      <c r="D224" s="2">
        <v>404</v>
      </c>
      <c r="E224" s="2">
        <v>514</v>
      </c>
      <c r="F224" s="18">
        <v>99.01</v>
      </c>
      <c r="G224">
        <v>74337</v>
      </c>
      <c r="H224">
        <v>973</v>
      </c>
      <c r="I224" s="1">
        <v>5.47</v>
      </c>
      <c r="J224" t="s">
        <v>42</v>
      </c>
      <c r="K224" s="4" t="s">
        <v>1140</v>
      </c>
      <c r="L224" t="s">
        <v>682</v>
      </c>
      <c r="M224" s="1">
        <f t="shared" si="24"/>
        <v>0.99010000000000009</v>
      </c>
      <c r="N224" s="1">
        <f t="shared" si="25"/>
        <v>5.4699999999999999E-2</v>
      </c>
      <c r="O224" s="3">
        <f t="shared" si="26"/>
        <v>7591</v>
      </c>
      <c r="P224" s="1">
        <f t="shared" si="27"/>
        <v>1</v>
      </c>
      <c r="Q224" t="str">
        <f t="shared" si="28"/>
        <v>High CTR</v>
      </c>
      <c r="R224" t="str">
        <f t="shared" si="29"/>
        <v>High</v>
      </c>
      <c r="S224" t="str">
        <f t="shared" si="30"/>
        <v>Evening</v>
      </c>
      <c r="T224">
        <f t="shared" si="31"/>
        <v>3</v>
      </c>
    </row>
    <row r="225" spans="1:20" x14ac:dyDescent="0.3">
      <c r="A225" t="s">
        <v>683</v>
      </c>
      <c r="B225" t="s">
        <v>684</v>
      </c>
      <c r="C225" s="2">
        <v>3574</v>
      </c>
      <c r="D225" s="2">
        <v>3588</v>
      </c>
      <c r="E225" s="2">
        <v>715</v>
      </c>
      <c r="F225" s="18">
        <v>6.28</v>
      </c>
      <c r="G225">
        <v>21709</v>
      </c>
      <c r="H225">
        <v>31635</v>
      </c>
      <c r="I225" s="1">
        <v>9.23</v>
      </c>
      <c r="J225" t="s">
        <v>20</v>
      </c>
      <c r="K225" s="4" t="s">
        <v>1141</v>
      </c>
      <c r="L225" t="s">
        <v>685</v>
      </c>
      <c r="M225" s="1">
        <f t="shared" si="24"/>
        <v>6.2800000000000009E-2</v>
      </c>
      <c r="N225" s="1">
        <f t="shared" si="25"/>
        <v>9.2300000000000007E-2</v>
      </c>
      <c r="O225" s="3">
        <f t="shared" si="26"/>
        <v>7877</v>
      </c>
      <c r="P225" s="1">
        <f t="shared" si="27"/>
        <v>0.24899636478583848</v>
      </c>
      <c r="Q225" t="str">
        <f t="shared" si="28"/>
        <v>High CTR</v>
      </c>
      <c r="R225" t="str">
        <f t="shared" si="29"/>
        <v>High</v>
      </c>
      <c r="S225" t="str">
        <f t="shared" si="30"/>
        <v>Afternoon</v>
      </c>
      <c r="T225">
        <f t="shared" si="31"/>
        <v>3</v>
      </c>
    </row>
    <row r="226" spans="1:20" x14ac:dyDescent="0.3">
      <c r="A226" t="s">
        <v>686</v>
      </c>
      <c r="B226" t="s">
        <v>687</v>
      </c>
      <c r="C226" s="2">
        <v>9012</v>
      </c>
      <c r="D226" s="2">
        <v>3592</v>
      </c>
      <c r="E226" s="2">
        <v>876</v>
      </c>
      <c r="F226" s="18">
        <v>20.74</v>
      </c>
      <c r="G226">
        <v>46898</v>
      </c>
      <c r="H226">
        <v>35538</v>
      </c>
      <c r="I226" s="1">
        <v>1.1599999999999999</v>
      </c>
      <c r="J226" t="s">
        <v>20</v>
      </c>
      <c r="K226" s="4" t="s">
        <v>1142</v>
      </c>
      <c r="L226" t="s">
        <v>688</v>
      </c>
      <c r="M226" s="1">
        <f t="shared" si="24"/>
        <v>0.20739999999999997</v>
      </c>
      <c r="N226" s="1">
        <f t="shared" si="25"/>
        <v>1.1599999999999999E-2</v>
      </c>
      <c r="O226" s="3">
        <f t="shared" si="26"/>
        <v>13480</v>
      </c>
      <c r="P226" s="1">
        <f t="shared" si="27"/>
        <v>0.37931228544093648</v>
      </c>
      <c r="Q226" t="str">
        <f t="shared" si="28"/>
        <v>High CTR</v>
      </c>
      <c r="R226" t="str">
        <f t="shared" si="29"/>
        <v>High</v>
      </c>
      <c r="S226" t="str">
        <f t="shared" si="30"/>
        <v>Morning</v>
      </c>
      <c r="T226">
        <f t="shared" si="31"/>
        <v>3</v>
      </c>
    </row>
    <row r="227" spans="1:20" x14ac:dyDescent="0.3">
      <c r="A227" t="s">
        <v>689</v>
      </c>
      <c r="B227" t="s">
        <v>690</v>
      </c>
      <c r="C227" s="2">
        <v>7048</v>
      </c>
      <c r="D227" s="2">
        <v>4924</v>
      </c>
      <c r="E227" s="2">
        <v>1296</v>
      </c>
      <c r="F227" s="18">
        <v>13.76</v>
      </c>
      <c r="G227">
        <v>34700</v>
      </c>
      <c r="H227">
        <v>38502</v>
      </c>
      <c r="I227" s="1">
        <v>6.98</v>
      </c>
      <c r="J227" t="s">
        <v>16</v>
      </c>
      <c r="K227" s="4" t="s">
        <v>1143</v>
      </c>
      <c r="L227" t="s">
        <v>691</v>
      </c>
      <c r="M227" s="1">
        <f t="shared" si="24"/>
        <v>0.1376</v>
      </c>
      <c r="N227" s="1">
        <f t="shared" si="25"/>
        <v>6.9800000000000001E-2</v>
      </c>
      <c r="O227" s="3">
        <f t="shared" si="26"/>
        <v>13268</v>
      </c>
      <c r="P227" s="1">
        <f t="shared" si="27"/>
        <v>0.34460547504025762</v>
      </c>
      <c r="Q227" t="str">
        <f t="shared" si="28"/>
        <v>High CTR</v>
      </c>
      <c r="R227" t="str">
        <f t="shared" si="29"/>
        <v>High</v>
      </c>
      <c r="S227" t="str">
        <f t="shared" si="30"/>
        <v>Evening</v>
      </c>
      <c r="T227">
        <f t="shared" si="31"/>
        <v>3</v>
      </c>
    </row>
    <row r="228" spans="1:20" x14ac:dyDescent="0.3">
      <c r="A228" t="s">
        <v>692</v>
      </c>
      <c r="B228" t="s">
        <v>693</v>
      </c>
      <c r="C228" s="2">
        <v>2700</v>
      </c>
      <c r="D228" s="2">
        <v>1444</v>
      </c>
      <c r="E228" s="2">
        <v>347</v>
      </c>
      <c r="F228" s="18">
        <v>53.85</v>
      </c>
      <c r="G228">
        <v>88774</v>
      </c>
      <c r="H228">
        <v>59000</v>
      </c>
      <c r="I228" s="1">
        <v>1.91</v>
      </c>
      <c r="J228" t="s">
        <v>20</v>
      </c>
      <c r="K228" s="4" t="s">
        <v>1144</v>
      </c>
      <c r="L228" t="s">
        <v>694</v>
      </c>
      <c r="M228" s="1">
        <f t="shared" si="24"/>
        <v>0.53849999999999998</v>
      </c>
      <c r="N228" s="1">
        <f t="shared" si="25"/>
        <v>1.9099999999999999E-2</v>
      </c>
      <c r="O228" s="3">
        <f t="shared" si="26"/>
        <v>4491</v>
      </c>
      <c r="P228" s="1">
        <f t="shared" si="27"/>
        <v>7.6118644067796615E-2</v>
      </c>
      <c r="Q228" t="str">
        <f t="shared" si="28"/>
        <v>High CTR</v>
      </c>
      <c r="R228" t="str">
        <f t="shared" si="29"/>
        <v>High</v>
      </c>
      <c r="S228" t="str">
        <f t="shared" si="30"/>
        <v>Morning</v>
      </c>
      <c r="T228">
        <f t="shared" si="31"/>
        <v>3</v>
      </c>
    </row>
    <row r="229" spans="1:20" x14ac:dyDescent="0.3">
      <c r="A229" t="s">
        <v>695</v>
      </c>
      <c r="B229" t="s">
        <v>696</v>
      </c>
      <c r="C229" s="2">
        <v>6749</v>
      </c>
      <c r="D229" s="2">
        <v>1429</v>
      </c>
      <c r="E229" s="2">
        <v>1093</v>
      </c>
      <c r="F229" s="18">
        <v>25.82</v>
      </c>
      <c r="G229">
        <v>66350</v>
      </c>
      <c r="H229">
        <v>2271</v>
      </c>
      <c r="I229" s="1">
        <v>9.67</v>
      </c>
      <c r="J229" t="s">
        <v>12</v>
      </c>
      <c r="K229" s="4" t="s">
        <v>1145</v>
      </c>
      <c r="L229" t="s">
        <v>697</v>
      </c>
      <c r="M229" s="1">
        <f t="shared" si="24"/>
        <v>0.25819999999999999</v>
      </c>
      <c r="N229" s="1">
        <f t="shared" si="25"/>
        <v>9.6699999999999994E-2</v>
      </c>
      <c r="O229" s="3">
        <f t="shared" si="26"/>
        <v>9271</v>
      </c>
      <c r="P229" s="1">
        <f t="shared" si="27"/>
        <v>1</v>
      </c>
      <c r="Q229" t="str">
        <f t="shared" si="28"/>
        <v>High CTR</v>
      </c>
      <c r="R229" t="str">
        <f t="shared" si="29"/>
        <v>High</v>
      </c>
      <c r="S229" t="str">
        <f t="shared" si="30"/>
        <v>Morning</v>
      </c>
      <c r="T229">
        <f t="shared" si="31"/>
        <v>3</v>
      </c>
    </row>
    <row r="230" spans="1:20" x14ac:dyDescent="0.3">
      <c r="A230" t="s">
        <v>698</v>
      </c>
      <c r="B230" t="s">
        <v>699</v>
      </c>
      <c r="C230" s="2">
        <v>7232</v>
      </c>
      <c r="D230" s="2">
        <v>1691</v>
      </c>
      <c r="E230" s="2">
        <v>1876</v>
      </c>
      <c r="F230" s="18">
        <v>88.67</v>
      </c>
      <c r="G230">
        <v>81572</v>
      </c>
      <c r="H230">
        <v>81800</v>
      </c>
      <c r="I230" s="1">
        <v>6.04</v>
      </c>
      <c r="J230" t="s">
        <v>20</v>
      </c>
      <c r="K230" s="4" t="s">
        <v>1146</v>
      </c>
      <c r="L230" t="s">
        <v>700</v>
      </c>
      <c r="M230" s="1">
        <f t="shared" si="24"/>
        <v>0.88670000000000004</v>
      </c>
      <c r="N230" s="1">
        <f t="shared" si="25"/>
        <v>6.0400000000000002E-2</v>
      </c>
      <c r="O230" s="3">
        <f t="shared" si="26"/>
        <v>10799</v>
      </c>
      <c r="P230" s="1">
        <f t="shared" si="27"/>
        <v>0.13201711491442542</v>
      </c>
      <c r="Q230" t="str">
        <f t="shared" si="28"/>
        <v>High CTR</v>
      </c>
      <c r="R230" t="str">
        <f t="shared" si="29"/>
        <v>High</v>
      </c>
      <c r="S230" t="str">
        <f t="shared" si="30"/>
        <v>Evening</v>
      </c>
      <c r="T230">
        <f t="shared" si="31"/>
        <v>3</v>
      </c>
    </row>
    <row r="231" spans="1:20" x14ac:dyDescent="0.3">
      <c r="A231" t="s">
        <v>701</v>
      </c>
      <c r="B231" t="s">
        <v>702</v>
      </c>
      <c r="C231" s="2">
        <v>2860</v>
      </c>
      <c r="D231" s="2">
        <v>700</v>
      </c>
      <c r="E231" s="2">
        <v>1114</v>
      </c>
      <c r="F231" s="18">
        <v>1.1499999999999999</v>
      </c>
      <c r="G231">
        <v>31226</v>
      </c>
      <c r="H231">
        <v>26227</v>
      </c>
      <c r="I231" s="1">
        <v>2.5299999999999998</v>
      </c>
      <c r="J231" t="s">
        <v>20</v>
      </c>
      <c r="K231" s="4" t="s">
        <v>1147</v>
      </c>
      <c r="L231" t="s">
        <v>703</v>
      </c>
      <c r="M231" s="1">
        <f t="shared" si="24"/>
        <v>1.15E-2</v>
      </c>
      <c r="N231" s="1">
        <f t="shared" si="25"/>
        <v>2.53E-2</v>
      </c>
      <c r="O231" s="3">
        <f t="shared" si="26"/>
        <v>4674</v>
      </c>
      <c r="P231" s="1">
        <f t="shared" si="27"/>
        <v>0.17821329164601366</v>
      </c>
      <c r="Q231" t="str">
        <f t="shared" si="28"/>
        <v>High CTR</v>
      </c>
      <c r="R231" t="str">
        <f t="shared" si="29"/>
        <v>High</v>
      </c>
      <c r="S231" t="str">
        <f t="shared" si="30"/>
        <v>Afternoon</v>
      </c>
      <c r="T231">
        <f t="shared" si="31"/>
        <v>3</v>
      </c>
    </row>
    <row r="232" spans="1:20" x14ac:dyDescent="0.3">
      <c r="A232" t="s">
        <v>704</v>
      </c>
      <c r="B232" t="s">
        <v>705</v>
      </c>
      <c r="C232" s="2">
        <v>5003</v>
      </c>
      <c r="D232" s="2">
        <v>4755</v>
      </c>
      <c r="E232" s="2">
        <v>446</v>
      </c>
      <c r="F232" s="18">
        <v>3.17</v>
      </c>
      <c r="G232">
        <v>36833</v>
      </c>
      <c r="H232">
        <v>32161</v>
      </c>
      <c r="I232" s="1">
        <v>5.51</v>
      </c>
      <c r="J232" t="s">
        <v>12</v>
      </c>
      <c r="K232" s="4" t="s">
        <v>1148</v>
      </c>
      <c r="L232" t="s">
        <v>706</v>
      </c>
      <c r="M232" s="1">
        <f t="shared" si="24"/>
        <v>3.1699999999999999E-2</v>
      </c>
      <c r="N232" s="1">
        <f t="shared" si="25"/>
        <v>5.5099999999999996E-2</v>
      </c>
      <c r="O232" s="3">
        <f t="shared" si="26"/>
        <v>10204</v>
      </c>
      <c r="P232" s="1">
        <f t="shared" si="27"/>
        <v>0.31727869158297317</v>
      </c>
      <c r="Q232" t="str">
        <f t="shared" si="28"/>
        <v>High CTR</v>
      </c>
      <c r="R232" t="str">
        <f t="shared" si="29"/>
        <v>High</v>
      </c>
      <c r="S232" t="str">
        <f t="shared" si="30"/>
        <v>Morning</v>
      </c>
      <c r="T232">
        <f t="shared" si="31"/>
        <v>3</v>
      </c>
    </row>
    <row r="233" spans="1:20" x14ac:dyDescent="0.3">
      <c r="A233" t="s">
        <v>707</v>
      </c>
      <c r="B233" t="s">
        <v>708</v>
      </c>
      <c r="C233" s="2">
        <v>3009</v>
      </c>
      <c r="D233" s="2">
        <v>3101</v>
      </c>
      <c r="E233" s="2">
        <v>1638</v>
      </c>
      <c r="F233" s="18">
        <v>18.920000000000002</v>
      </c>
      <c r="G233">
        <v>33748</v>
      </c>
      <c r="H233">
        <v>1091</v>
      </c>
      <c r="I233" s="1">
        <v>3.57</v>
      </c>
      <c r="J233" t="s">
        <v>12</v>
      </c>
      <c r="K233" s="4" t="s">
        <v>1149</v>
      </c>
      <c r="L233" t="s">
        <v>709</v>
      </c>
      <c r="M233" s="1">
        <f t="shared" si="24"/>
        <v>0.18920000000000001</v>
      </c>
      <c r="N233" s="1">
        <f t="shared" si="25"/>
        <v>3.5699999999999996E-2</v>
      </c>
      <c r="O233" s="3">
        <f t="shared" si="26"/>
        <v>7748</v>
      </c>
      <c r="P233" s="1">
        <f t="shared" si="27"/>
        <v>1</v>
      </c>
      <c r="Q233" t="str">
        <f t="shared" si="28"/>
        <v>High CTR</v>
      </c>
      <c r="R233" t="str">
        <f t="shared" si="29"/>
        <v>High</v>
      </c>
      <c r="S233" t="str">
        <f t="shared" si="30"/>
        <v>Afternoon</v>
      </c>
      <c r="T233">
        <f t="shared" si="31"/>
        <v>3</v>
      </c>
    </row>
    <row r="234" spans="1:20" x14ac:dyDescent="0.3">
      <c r="A234" t="s">
        <v>710</v>
      </c>
      <c r="B234" t="s">
        <v>711</v>
      </c>
      <c r="C234" s="2">
        <v>9440</v>
      </c>
      <c r="D234" s="2">
        <v>4079</v>
      </c>
      <c r="E234" s="2">
        <v>1682</v>
      </c>
      <c r="F234" s="18">
        <v>30.89</v>
      </c>
      <c r="G234">
        <v>96131</v>
      </c>
      <c r="H234">
        <v>51206</v>
      </c>
      <c r="I234" s="1">
        <v>1.01</v>
      </c>
      <c r="J234" t="s">
        <v>42</v>
      </c>
      <c r="K234" s="4" t="s">
        <v>1150</v>
      </c>
      <c r="L234" t="s">
        <v>712</v>
      </c>
      <c r="M234" s="1">
        <f t="shared" si="24"/>
        <v>0.30890000000000001</v>
      </c>
      <c r="N234" s="1">
        <f t="shared" si="25"/>
        <v>1.01E-2</v>
      </c>
      <c r="O234" s="3">
        <f t="shared" si="26"/>
        <v>15201</v>
      </c>
      <c r="P234" s="1">
        <f t="shared" si="27"/>
        <v>0.2968597429988673</v>
      </c>
      <c r="Q234" t="str">
        <f t="shared" si="28"/>
        <v>High CTR</v>
      </c>
      <c r="R234" t="str">
        <f t="shared" si="29"/>
        <v>High</v>
      </c>
      <c r="S234" t="str">
        <f t="shared" si="30"/>
        <v>Afternoon</v>
      </c>
      <c r="T234">
        <f t="shared" si="31"/>
        <v>3</v>
      </c>
    </row>
    <row r="235" spans="1:20" x14ac:dyDescent="0.3">
      <c r="A235" t="s">
        <v>713</v>
      </c>
      <c r="B235" t="s">
        <v>714</v>
      </c>
      <c r="C235" s="2">
        <v>5297</v>
      </c>
      <c r="D235" s="2">
        <v>3089</v>
      </c>
      <c r="E235" s="2">
        <v>1148</v>
      </c>
      <c r="F235" s="18">
        <v>6.2</v>
      </c>
      <c r="G235">
        <v>88112</v>
      </c>
      <c r="H235">
        <v>86304</v>
      </c>
      <c r="I235" s="1">
        <v>7.25</v>
      </c>
      <c r="J235" t="s">
        <v>12</v>
      </c>
      <c r="K235" s="4" t="s">
        <v>1151</v>
      </c>
      <c r="L235" t="s">
        <v>715</v>
      </c>
      <c r="M235" s="1">
        <f t="shared" si="24"/>
        <v>6.2E-2</v>
      </c>
      <c r="N235" s="1">
        <f t="shared" si="25"/>
        <v>7.2499999999999995E-2</v>
      </c>
      <c r="O235" s="3">
        <f t="shared" si="26"/>
        <v>9534</v>
      </c>
      <c r="P235" s="1">
        <f t="shared" si="27"/>
        <v>0.11046996662958843</v>
      </c>
      <c r="Q235" t="str">
        <f t="shared" si="28"/>
        <v>High CTR</v>
      </c>
      <c r="R235" t="str">
        <f t="shared" si="29"/>
        <v>High</v>
      </c>
      <c r="S235" t="str">
        <f t="shared" si="30"/>
        <v>Morning</v>
      </c>
      <c r="T235">
        <f t="shared" si="31"/>
        <v>3</v>
      </c>
    </row>
    <row r="236" spans="1:20" x14ac:dyDescent="0.3">
      <c r="A236" t="s">
        <v>716</v>
      </c>
      <c r="B236" t="s">
        <v>717</v>
      </c>
      <c r="C236" s="2">
        <v>9556</v>
      </c>
      <c r="D236" s="2">
        <v>372</v>
      </c>
      <c r="E236" s="2">
        <v>1439</v>
      </c>
      <c r="F236" s="18">
        <v>34.5</v>
      </c>
      <c r="G236">
        <v>3854</v>
      </c>
      <c r="H236">
        <v>11293</v>
      </c>
      <c r="I236" s="1">
        <v>3.55</v>
      </c>
      <c r="J236" t="s">
        <v>12</v>
      </c>
      <c r="K236" s="4" t="s">
        <v>1152</v>
      </c>
      <c r="L236" t="s">
        <v>718</v>
      </c>
      <c r="M236" s="1">
        <f t="shared" si="24"/>
        <v>0.34499999999999997</v>
      </c>
      <c r="N236" s="1">
        <f t="shared" si="25"/>
        <v>3.5499999999999997E-2</v>
      </c>
      <c r="O236" s="3">
        <f t="shared" si="26"/>
        <v>11367</v>
      </c>
      <c r="P236" s="1">
        <f t="shared" si="27"/>
        <v>1</v>
      </c>
      <c r="Q236" t="str">
        <f t="shared" si="28"/>
        <v>High CTR</v>
      </c>
      <c r="R236" t="str">
        <f t="shared" si="29"/>
        <v>High</v>
      </c>
      <c r="S236" t="str">
        <f t="shared" si="30"/>
        <v>Evening</v>
      </c>
      <c r="T236">
        <f t="shared" si="31"/>
        <v>3</v>
      </c>
    </row>
    <row r="237" spans="1:20" x14ac:dyDescent="0.3">
      <c r="A237" t="s">
        <v>719</v>
      </c>
      <c r="B237" t="s">
        <v>720</v>
      </c>
      <c r="C237" s="2">
        <v>4327</v>
      </c>
      <c r="D237" s="2">
        <v>3972</v>
      </c>
      <c r="E237" s="2">
        <v>1901</v>
      </c>
      <c r="F237" s="18">
        <v>61.3</v>
      </c>
      <c r="G237">
        <v>92646</v>
      </c>
      <c r="H237">
        <v>56699</v>
      </c>
      <c r="I237" s="1">
        <v>0.02</v>
      </c>
      <c r="J237" t="s">
        <v>16</v>
      </c>
      <c r="K237" s="4" t="s">
        <v>1153</v>
      </c>
      <c r="L237" t="s">
        <v>721</v>
      </c>
      <c r="M237" s="1">
        <f t="shared" si="24"/>
        <v>0.61299999999999999</v>
      </c>
      <c r="N237" s="1">
        <f t="shared" si="25"/>
        <v>2.0000000000000001E-4</v>
      </c>
      <c r="O237" s="3">
        <f t="shared" si="26"/>
        <v>10200</v>
      </c>
      <c r="P237" s="1">
        <f t="shared" si="27"/>
        <v>0.17989735268699625</v>
      </c>
      <c r="Q237" t="str">
        <f t="shared" si="28"/>
        <v>Low CTR</v>
      </c>
      <c r="R237" t="str">
        <f t="shared" si="29"/>
        <v>High</v>
      </c>
      <c r="S237" t="str">
        <f t="shared" si="30"/>
        <v>Morning</v>
      </c>
      <c r="T237">
        <f t="shared" si="31"/>
        <v>3</v>
      </c>
    </row>
    <row r="238" spans="1:20" x14ac:dyDescent="0.3">
      <c r="A238" t="s">
        <v>722</v>
      </c>
      <c r="B238" t="s">
        <v>723</v>
      </c>
      <c r="C238" s="2">
        <v>6045</v>
      </c>
      <c r="D238" s="2">
        <v>1838</v>
      </c>
      <c r="E238" s="2">
        <v>584</v>
      </c>
      <c r="F238" s="18">
        <v>91.93</v>
      </c>
      <c r="G238">
        <v>15802</v>
      </c>
      <c r="H238">
        <v>15821</v>
      </c>
      <c r="I238" s="1">
        <v>0.19</v>
      </c>
      <c r="J238" t="s">
        <v>16</v>
      </c>
      <c r="K238" s="4" t="s">
        <v>1154</v>
      </c>
      <c r="L238" t="s">
        <v>724</v>
      </c>
      <c r="M238" s="1">
        <f t="shared" si="24"/>
        <v>0.91930000000000012</v>
      </c>
      <c r="N238" s="1">
        <f t="shared" si="25"/>
        <v>1.9E-3</v>
      </c>
      <c r="O238" s="3">
        <f t="shared" si="26"/>
        <v>8467</v>
      </c>
      <c r="P238" s="1">
        <f t="shared" si="27"/>
        <v>0.53517476771379813</v>
      </c>
      <c r="Q238" t="str">
        <f t="shared" si="28"/>
        <v>High CTR</v>
      </c>
      <c r="R238" t="str">
        <f t="shared" si="29"/>
        <v>High</v>
      </c>
      <c r="S238" t="str">
        <f t="shared" si="30"/>
        <v>Morning</v>
      </c>
      <c r="T238">
        <f t="shared" si="31"/>
        <v>3</v>
      </c>
    </row>
    <row r="239" spans="1:20" x14ac:dyDescent="0.3">
      <c r="A239" t="s">
        <v>725</v>
      </c>
      <c r="B239" t="s">
        <v>726</v>
      </c>
      <c r="C239" s="2">
        <v>4512</v>
      </c>
      <c r="D239" s="2">
        <v>2340</v>
      </c>
      <c r="E239" s="2">
        <v>177</v>
      </c>
      <c r="F239" s="18">
        <v>67.08</v>
      </c>
      <c r="G239">
        <v>47521</v>
      </c>
      <c r="H239">
        <v>63084</v>
      </c>
      <c r="I239" s="1">
        <v>7.53</v>
      </c>
      <c r="J239" t="s">
        <v>20</v>
      </c>
      <c r="K239" s="4" t="s">
        <v>1155</v>
      </c>
      <c r="L239" t="s">
        <v>727</v>
      </c>
      <c r="M239" s="1">
        <f t="shared" si="24"/>
        <v>0.67079999999999995</v>
      </c>
      <c r="N239" s="1">
        <f t="shared" si="25"/>
        <v>7.5300000000000006E-2</v>
      </c>
      <c r="O239" s="3">
        <f t="shared" si="26"/>
        <v>7029</v>
      </c>
      <c r="P239" s="1">
        <f t="shared" si="27"/>
        <v>0.11142286475175955</v>
      </c>
      <c r="Q239" t="str">
        <f t="shared" si="28"/>
        <v>High CTR</v>
      </c>
      <c r="R239" t="str">
        <f t="shared" si="29"/>
        <v>High</v>
      </c>
      <c r="S239" t="str">
        <f t="shared" si="30"/>
        <v>Afternoon</v>
      </c>
      <c r="T239">
        <f t="shared" si="31"/>
        <v>3</v>
      </c>
    </row>
    <row r="240" spans="1:20" x14ac:dyDescent="0.3">
      <c r="A240" t="s">
        <v>728</v>
      </c>
      <c r="B240" t="s">
        <v>729</v>
      </c>
      <c r="C240" s="2">
        <v>9844</v>
      </c>
      <c r="D240" s="2">
        <v>2274</v>
      </c>
      <c r="E240" s="2">
        <v>1913</v>
      </c>
      <c r="F240" s="18">
        <v>78.37</v>
      </c>
      <c r="G240">
        <v>96316</v>
      </c>
      <c r="H240">
        <v>73320</v>
      </c>
      <c r="I240" s="1">
        <v>4.6500000000000004</v>
      </c>
      <c r="J240" t="s">
        <v>42</v>
      </c>
      <c r="K240" s="4" t="s">
        <v>1156</v>
      </c>
      <c r="L240" t="s">
        <v>730</v>
      </c>
      <c r="M240" s="1">
        <f t="shared" si="24"/>
        <v>0.78370000000000006</v>
      </c>
      <c r="N240" s="1">
        <f t="shared" si="25"/>
        <v>4.6500000000000007E-2</v>
      </c>
      <c r="O240" s="3">
        <f t="shared" si="26"/>
        <v>14031</v>
      </c>
      <c r="P240" s="1">
        <f t="shared" si="27"/>
        <v>0.19136661211129297</v>
      </c>
      <c r="Q240" t="str">
        <f t="shared" si="28"/>
        <v>High CTR</v>
      </c>
      <c r="R240" t="str">
        <f t="shared" si="29"/>
        <v>High</v>
      </c>
      <c r="S240" t="str">
        <f t="shared" si="30"/>
        <v>Morning</v>
      </c>
      <c r="T240">
        <f t="shared" si="31"/>
        <v>3</v>
      </c>
    </row>
    <row r="241" spans="1:20" x14ac:dyDescent="0.3">
      <c r="A241" t="s">
        <v>731</v>
      </c>
      <c r="B241" t="s">
        <v>732</v>
      </c>
      <c r="C241" s="2">
        <v>1795</v>
      </c>
      <c r="D241" s="2">
        <v>1931</v>
      </c>
      <c r="E241" s="2">
        <v>505</v>
      </c>
      <c r="F241" s="18">
        <v>63.94</v>
      </c>
      <c r="G241">
        <v>58257</v>
      </c>
      <c r="H241">
        <v>20132</v>
      </c>
      <c r="I241" s="1">
        <v>8.52</v>
      </c>
      <c r="J241" t="s">
        <v>12</v>
      </c>
      <c r="K241" s="4" t="s">
        <v>1157</v>
      </c>
      <c r="L241" t="s">
        <v>733</v>
      </c>
      <c r="M241" s="1">
        <f t="shared" si="24"/>
        <v>0.63939999999999997</v>
      </c>
      <c r="N241" s="1">
        <f t="shared" si="25"/>
        <v>8.5199999999999998E-2</v>
      </c>
      <c r="O241" s="3">
        <f t="shared" si="26"/>
        <v>4231</v>
      </c>
      <c r="P241" s="1">
        <f t="shared" si="27"/>
        <v>0.21016292469699979</v>
      </c>
      <c r="Q241" t="str">
        <f t="shared" si="28"/>
        <v>High CTR</v>
      </c>
      <c r="R241" t="str">
        <f t="shared" si="29"/>
        <v>High</v>
      </c>
      <c r="S241" t="str">
        <f t="shared" si="30"/>
        <v>Morning</v>
      </c>
      <c r="T241">
        <f t="shared" si="31"/>
        <v>3</v>
      </c>
    </row>
    <row r="242" spans="1:20" x14ac:dyDescent="0.3">
      <c r="A242" t="s">
        <v>734</v>
      </c>
      <c r="B242" t="s">
        <v>735</v>
      </c>
      <c r="C242" s="2">
        <v>5001</v>
      </c>
      <c r="D242" s="2">
        <v>164</v>
      </c>
      <c r="E242" s="2">
        <v>1015</v>
      </c>
      <c r="F242" s="18">
        <v>69.39</v>
      </c>
      <c r="G242">
        <v>72358</v>
      </c>
      <c r="H242">
        <v>15647</v>
      </c>
      <c r="I242" s="1">
        <v>1.31</v>
      </c>
      <c r="J242" t="s">
        <v>16</v>
      </c>
      <c r="K242" s="4" t="s">
        <v>1158</v>
      </c>
      <c r="L242" t="s">
        <v>736</v>
      </c>
      <c r="M242" s="1">
        <f t="shared" si="24"/>
        <v>0.69389999999999996</v>
      </c>
      <c r="N242" s="1">
        <f t="shared" si="25"/>
        <v>1.3100000000000001E-2</v>
      </c>
      <c r="O242" s="3">
        <f t="shared" si="26"/>
        <v>6180</v>
      </c>
      <c r="P242" s="1">
        <f t="shared" si="27"/>
        <v>0.39496389084169492</v>
      </c>
      <c r="Q242" t="str">
        <f t="shared" si="28"/>
        <v>High CTR</v>
      </c>
      <c r="R242" t="str">
        <f t="shared" si="29"/>
        <v>High</v>
      </c>
      <c r="S242" t="str">
        <f t="shared" si="30"/>
        <v>Morning</v>
      </c>
      <c r="T242">
        <f t="shared" si="31"/>
        <v>3</v>
      </c>
    </row>
    <row r="243" spans="1:20" x14ac:dyDescent="0.3">
      <c r="A243" t="s">
        <v>737</v>
      </c>
      <c r="B243" t="s">
        <v>738</v>
      </c>
      <c r="C243" s="2">
        <v>6149</v>
      </c>
      <c r="D243" s="2">
        <v>2017</v>
      </c>
      <c r="E243" s="2">
        <v>1625</v>
      </c>
      <c r="F243" s="18">
        <v>67.510000000000005</v>
      </c>
      <c r="G243">
        <v>76262</v>
      </c>
      <c r="H243">
        <v>70539</v>
      </c>
      <c r="I243" s="1">
        <v>9.17</v>
      </c>
      <c r="J243" t="s">
        <v>12</v>
      </c>
      <c r="K243" s="4" t="s">
        <v>1159</v>
      </c>
      <c r="L243" t="s">
        <v>739</v>
      </c>
      <c r="M243" s="1">
        <f t="shared" si="24"/>
        <v>0.67510000000000003</v>
      </c>
      <c r="N243" s="1">
        <f t="shared" si="25"/>
        <v>9.1700000000000004E-2</v>
      </c>
      <c r="O243" s="3">
        <f t="shared" si="26"/>
        <v>9791</v>
      </c>
      <c r="P243" s="1">
        <f t="shared" si="27"/>
        <v>0.13880264818043919</v>
      </c>
      <c r="Q243" t="str">
        <f t="shared" si="28"/>
        <v>High CTR</v>
      </c>
      <c r="R243" t="str">
        <f t="shared" si="29"/>
        <v>High</v>
      </c>
      <c r="S243" t="str">
        <f t="shared" si="30"/>
        <v>Evening</v>
      </c>
      <c r="T243">
        <f t="shared" si="31"/>
        <v>3</v>
      </c>
    </row>
    <row r="244" spans="1:20" x14ac:dyDescent="0.3">
      <c r="A244" t="s">
        <v>740</v>
      </c>
      <c r="B244" t="s">
        <v>741</v>
      </c>
      <c r="C244" s="2">
        <v>2805</v>
      </c>
      <c r="D244" s="2">
        <v>100</v>
      </c>
      <c r="E244" s="2">
        <v>623</v>
      </c>
      <c r="F244" s="18">
        <v>88.44</v>
      </c>
      <c r="G244">
        <v>39463</v>
      </c>
      <c r="H244">
        <v>85889</v>
      </c>
      <c r="I244" s="1">
        <v>3.12</v>
      </c>
      <c r="J244" t="s">
        <v>16</v>
      </c>
      <c r="K244" s="4" t="s">
        <v>1160</v>
      </c>
      <c r="L244" t="s">
        <v>742</v>
      </c>
      <c r="M244" s="1">
        <f t="shared" si="24"/>
        <v>0.88439999999999996</v>
      </c>
      <c r="N244" s="1">
        <f t="shared" si="25"/>
        <v>3.1200000000000002E-2</v>
      </c>
      <c r="O244" s="3">
        <f t="shared" si="26"/>
        <v>3528</v>
      </c>
      <c r="P244" s="1">
        <f t="shared" si="27"/>
        <v>4.1076272863812595E-2</v>
      </c>
      <c r="Q244" t="str">
        <f t="shared" si="28"/>
        <v>High CTR</v>
      </c>
      <c r="R244" t="str">
        <f t="shared" si="29"/>
        <v>High</v>
      </c>
      <c r="S244" t="str">
        <f t="shared" si="30"/>
        <v>Morning</v>
      </c>
      <c r="T244">
        <f t="shared" si="31"/>
        <v>3</v>
      </c>
    </row>
    <row r="245" spans="1:20" x14ac:dyDescent="0.3">
      <c r="A245" t="s">
        <v>743</v>
      </c>
      <c r="B245" t="s">
        <v>744</v>
      </c>
      <c r="C245" s="2">
        <v>4016</v>
      </c>
      <c r="D245" s="2">
        <v>2730</v>
      </c>
      <c r="E245" s="2">
        <v>1301</v>
      </c>
      <c r="F245" s="18">
        <v>57.56</v>
      </c>
      <c r="G245">
        <v>22146</v>
      </c>
      <c r="H245">
        <v>20631</v>
      </c>
      <c r="I245" s="1">
        <v>4.71</v>
      </c>
      <c r="J245" t="s">
        <v>20</v>
      </c>
      <c r="K245" s="4" t="s">
        <v>1161</v>
      </c>
      <c r="L245" t="s">
        <v>745</v>
      </c>
      <c r="M245" s="1">
        <f t="shared" si="24"/>
        <v>0.5756</v>
      </c>
      <c r="N245" s="1">
        <f t="shared" si="25"/>
        <v>4.7100000000000003E-2</v>
      </c>
      <c r="O245" s="3">
        <f t="shared" si="26"/>
        <v>8047</v>
      </c>
      <c r="P245" s="1">
        <f t="shared" si="27"/>
        <v>0.39004410838059234</v>
      </c>
      <c r="Q245" t="str">
        <f t="shared" si="28"/>
        <v>High CTR</v>
      </c>
      <c r="R245" t="str">
        <f t="shared" si="29"/>
        <v>High</v>
      </c>
      <c r="S245" t="str">
        <f t="shared" si="30"/>
        <v>Morning</v>
      </c>
      <c r="T245">
        <f t="shared" si="31"/>
        <v>3</v>
      </c>
    </row>
    <row r="246" spans="1:20" x14ac:dyDescent="0.3">
      <c r="A246" t="s">
        <v>746</v>
      </c>
      <c r="B246" t="s">
        <v>747</v>
      </c>
      <c r="C246" s="2">
        <v>6670</v>
      </c>
      <c r="D246" s="2">
        <v>2685</v>
      </c>
      <c r="E246" s="2">
        <v>461</v>
      </c>
      <c r="F246" s="18">
        <v>21.41</v>
      </c>
      <c r="G246">
        <v>60376</v>
      </c>
      <c r="H246">
        <v>50728</v>
      </c>
      <c r="I246" s="1">
        <v>7.22</v>
      </c>
      <c r="J246" t="s">
        <v>42</v>
      </c>
      <c r="K246" s="4" t="s">
        <v>1162</v>
      </c>
      <c r="L246" t="s">
        <v>748</v>
      </c>
      <c r="M246" s="1">
        <f t="shared" si="24"/>
        <v>0.21410000000000001</v>
      </c>
      <c r="N246" s="1">
        <f t="shared" si="25"/>
        <v>7.22E-2</v>
      </c>
      <c r="O246" s="3">
        <f t="shared" si="26"/>
        <v>9816</v>
      </c>
      <c r="P246" s="1">
        <f t="shared" si="27"/>
        <v>0.19350260211323136</v>
      </c>
      <c r="Q246" t="str">
        <f t="shared" si="28"/>
        <v>High CTR</v>
      </c>
      <c r="R246" t="str">
        <f t="shared" si="29"/>
        <v>High</v>
      </c>
      <c r="S246" t="str">
        <f t="shared" si="30"/>
        <v>Morning</v>
      </c>
      <c r="T246">
        <f t="shared" si="31"/>
        <v>3</v>
      </c>
    </row>
    <row r="247" spans="1:20" x14ac:dyDescent="0.3">
      <c r="A247" t="s">
        <v>749</v>
      </c>
      <c r="B247" t="s">
        <v>750</v>
      </c>
      <c r="C247" s="2">
        <v>9112</v>
      </c>
      <c r="D247" s="2">
        <v>2000</v>
      </c>
      <c r="E247" s="2">
        <v>1282</v>
      </c>
      <c r="F247" s="18">
        <v>97.73</v>
      </c>
      <c r="G247">
        <v>87694</v>
      </c>
      <c r="H247">
        <v>71893</v>
      </c>
      <c r="I247" s="1">
        <v>3.51</v>
      </c>
      <c r="J247" t="s">
        <v>16</v>
      </c>
      <c r="K247" s="4" t="s">
        <v>1163</v>
      </c>
      <c r="L247" t="s">
        <v>751</v>
      </c>
      <c r="M247" s="1">
        <f t="shared" si="24"/>
        <v>0.97730000000000006</v>
      </c>
      <c r="N247" s="1">
        <f t="shared" si="25"/>
        <v>3.5099999999999999E-2</v>
      </c>
      <c r="O247" s="3">
        <f t="shared" si="26"/>
        <v>12394</v>
      </c>
      <c r="P247" s="1">
        <f t="shared" si="27"/>
        <v>0.17239508714339366</v>
      </c>
      <c r="Q247" t="str">
        <f t="shared" si="28"/>
        <v>High CTR</v>
      </c>
      <c r="R247" t="str">
        <f t="shared" si="29"/>
        <v>High</v>
      </c>
      <c r="S247" t="str">
        <f t="shared" si="30"/>
        <v>Morning</v>
      </c>
      <c r="T247">
        <f t="shared" si="31"/>
        <v>3</v>
      </c>
    </row>
    <row r="248" spans="1:20" x14ac:dyDescent="0.3">
      <c r="A248" t="s">
        <v>752</v>
      </c>
      <c r="B248" t="s">
        <v>753</v>
      </c>
      <c r="C248" s="2">
        <v>2737</v>
      </c>
      <c r="D248" s="2">
        <v>223</v>
      </c>
      <c r="E248" s="2">
        <v>1038</v>
      </c>
      <c r="F248" s="18">
        <v>11</v>
      </c>
      <c r="G248">
        <v>10052</v>
      </c>
      <c r="H248">
        <v>58900</v>
      </c>
      <c r="I248" s="1">
        <v>6.62</v>
      </c>
      <c r="J248" t="s">
        <v>20</v>
      </c>
      <c r="K248" s="4" t="s">
        <v>1164</v>
      </c>
      <c r="L248" t="s">
        <v>754</v>
      </c>
      <c r="M248" s="1">
        <f t="shared" si="24"/>
        <v>0.11</v>
      </c>
      <c r="N248" s="1">
        <f t="shared" si="25"/>
        <v>6.6199999999999995E-2</v>
      </c>
      <c r="O248" s="3">
        <f t="shared" si="26"/>
        <v>3998</v>
      </c>
      <c r="P248" s="1">
        <f t="shared" si="27"/>
        <v>6.7877758913412564E-2</v>
      </c>
      <c r="Q248" t="str">
        <f t="shared" si="28"/>
        <v>High CTR</v>
      </c>
      <c r="R248" t="str">
        <f t="shared" si="29"/>
        <v>High</v>
      </c>
      <c r="S248" t="str">
        <f t="shared" si="30"/>
        <v>Morning</v>
      </c>
      <c r="T248">
        <f t="shared" si="31"/>
        <v>3</v>
      </c>
    </row>
    <row r="249" spans="1:20" x14ac:dyDescent="0.3">
      <c r="A249" t="s">
        <v>755</v>
      </c>
      <c r="B249" t="s">
        <v>756</v>
      </c>
      <c r="C249" s="2">
        <v>1871</v>
      </c>
      <c r="D249" s="2">
        <v>1772</v>
      </c>
      <c r="E249" s="2">
        <v>1381</v>
      </c>
      <c r="F249" s="18">
        <v>56.16</v>
      </c>
      <c r="G249">
        <v>81999</v>
      </c>
      <c r="H249">
        <v>13471</v>
      </c>
      <c r="I249" s="1">
        <v>6.05</v>
      </c>
      <c r="J249" t="s">
        <v>12</v>
      </c>
      <c r="K249" s="4" t="s">
        <v>1165</v>
      </c>
      <c r="L249" t="s">
        <v>757</v>
      </c>
      <c r="M249" s="1">
        <f t="shared" si="24"/>
        <v>0.56159999999999999</v>
      </c>
      <c r="N249" s="1">
        <f t="shared" si="25"/>
        <v>6.0499999999999998E-2</v>
      </c>
      <c r="O249" s="3">
        <f t="shared" si="26"/>
        <v>5024</v>
      </c>
      <c r="P249" s="1">
        <f t="shared" si="27"/>
        <v>0.37294929849305919</v>
      </c>
      <c r="Q249" t="str">
        <f t="shared" si="28"/>
        <v>High CTR</v>
      </c>
      <c r="R249" t="str">
        <f t="shared" si="29"/>
        <v>High</v>
      </c>
      <c r="S249" t="str">
        <f t="shared" si="30"/>
        <v>Afternoon</v>
      </c>
      <c r="T249">
        <f t="shared" si="31"/>
        <v>3</v>
      </c>
    </row>
    <row r="250" spans="1:20" x14ac:dyDescent="0.3">
      <c r="A250" t="s">
        <v>758</v>
      </c>
      <c r="B250" t="s">
        <v>759</v>
      </c>
      <c r="C250" s="2">
        <v>6080</v>
      </c>
      <c r="D250" s="2">
        <v>4663</v>
      </c>
      <c r="E250" s="2">
        <v>1226</v>
      </c>
      <c r="F250" s="18">
        <v>86.12</v>
      </c>
      <c r="G250">
        <v>2043</v>
      </c>
      <c r="H250">
        <v>44856</v>
      </c>
      <c r="I250" s="1">
        <v>7.81</v>
      </c>
      <c r="J250" t="s">
        <v>12</v>
      </c>
      <c r="K250" s="4" t="s">
        <v>1166</v>
      </c>
      <c r="L250" t="s">
        <v>760</v>
      </c>
      <c r="M250" s="1">
        <f t="shared" si="24"/>
        <v>0.86120000000000008</v>
      </c>
      <c r="N250" s="1">
        <f t="shared" si="25"/>
        <v>7.8100000000000003E-2</v>
      </c>
      <c r="O250" s="3">
        <f t="shared" si="26"/>
        <v>11969</v>
      </c>
      <c r="P250" s="1">
        <f t="shared" si="27"/>
        <v>0.26683163902265028</v>
      </c>
      <c r="Q250" t="str">
        <f t="shared" si="28"/>
        <v>High CTR</v>
      </c>
      <c r="R250" t="str">
        <f t="shared" si="29"/>
        <v>High</v>
      </c>
      <c r="S250" t="str">
        <f t="shared" si="30"/>
        <v>Morning</v>
      </c>
      <c r="T250">
        <f t="shared" si="31"/>
        <v>3</v>
      </c>
    </row>
    <row r="251" spans="1:20" x14ac:dyDescent="0.3">
      <c r="A251" t="s">
        <v>761</v>
      </c>
      <c r="B251" t="s">
        <v>762</v>
      </c>
      <c r="C251" s="2">
        <v>8161</v>
      </c>
      <c r="D251" s="2">
        <v>2503</v>
      </c>
      <c r="E251" s="2">
        <v>1541</v>
      </c>
      <c r="F251" s="18">
        <v>8.0299999999999994</v>
      </c>
      <c r="G251">
        <v>5033</v>
      </c>
      <c r="H251">
        <v>60807</v>
      </c>
      <c r="I251" s="1">
        <v>3.95</v>
      </c>
      <c r="J251" t="s">
        <v>42</v>
      </c>
      <c r="K251" s="4" t="s">
        <v>1167</v>
      </c>
      <c r="L251" t="s">
        <v>763</v>
      </c>
      <c r="M251" s="1">
        <f t="shared" si="24"/>
        <v>8.0299999999999996E-2</v>
      </c>
      <c r="N251" s="1">
        <f t="shared" si="25"/>
        <v>3.95E-2</v>
      </c>
      <c r="O251" s="3">
        <f t="shared" si="26"/>
        <v>12205</v>
      </c>
      <c r="P251" s="1">
        <f t="shared" si="27"/>
        <v>0.20071702271120101</v>
      </c>
      <c r="Q251" t="str">
        <f t="shared" si="28"/>
        <v>High CTR</v>
      </c>
      <c r="R251" t="str">
        <f t="shared" si="29"/>
        <v>High</v>
      </c>
      <c r="S251" t="str">
        <f t="shared" si="30"/>
        <v>Night</v>
      </c>
      <c r="T251">
        <f t="shared" si="31"/>
        <v>3</v>
      </c>
    </row>
    <row r="252" spans="1:20" x14ac:dyDescent="0.3">
      <c r="A252" t="s">
        <v>764</v>
      </c>
      <c r="B252" t="s">
        <v>765</v>
      </c>
      <c r="C252" s="2">
        <v>4182</v>
      </c>
      <c r="D252" s="2">
        <v>1994</v>
      </c>
      <c r="E252" s="2">
        <v>731</v>
      </c>
      <c r="F252" s="18">
        <v>31.14</v>
      </c>
      <c r="G252">
        <v>90266</v>
      </c>
      <c r="H252">
        <v>84254</v>
      </c>
      <c r="I252" s="1">
        <v>9.02</v>
      </c>
      <c r="J252" t="s">
        <v>20</v>
      </c>
      <c r="K252" s="4" t="s">
        <v>1168</v>
      </c>
      <c r="L252" t="s">
        <v>766</v>
      </c>
      <c r="M252" s="1">
        <f t="shared" si="24"/>
        <v>0.31140000000000001</v>
      </c>
      <c r="N252" s="1">
        <f t="shared" si="25"/>
        <v>9.0200000000000002E-2</v>
      </c>
      <c r="O252" s="3">
        <f t="shared" si="26"/>
        <v>6907</v>
      </c>
      <c r="P252" s="1">
        <f t="shared" si="27"/>
        <v>8.1978303700714503E-2</v>
      </c>
      <c r="Q252" t="str">
        <f t="shared" si="28"/>
        <v>High CTR</v>
      </c>
      <c r="R252" t="str">
        <f t="shared" si="29"/>
        <v>High</v>
      </c>
      <c r="S252" t="str">
        <f t="shared" si="30"/>
        <v>Morning</v>
      </c>
      <c r="T252">
        <f t="shared" si="31"/>
        <v>3</v>
      </c>
    </row>
    <row r="253" spans="1:20" x14ac:dyDescent="0.3">
      <c r="A253" t="s">
        <v>767</v>
      </c>
      <c r="B253" t="s">
        <v>768</v>
      </c>
      <c r="C253" s="2">
        <v>7544</v>
      </c>
      <c r="D253" s="2">
        <v>1081</v>
      </c>
      <c r="E253" s="2">
        <v>1513</v>
      </c>
      <c r="F253" s="18">
        <v>29.49</v>
      </c>
      <c r="G253">
        <v>89903</v>
      </c>
      <c r="H253">
        <v>99787</v>
      </c>
      <c r="I253" s="1">
        <v>2.0299999999999998</v>
      </c>
      <c r="J253" t="s">
        <v>16</v>
      </c>
      <c r="K253" s="4" t="s">
        <v>1169</v>
      </c>
      <c r="L253" t="s">
        <v>769</v>
      </c>
      <c r="M253" s="1">
        <f t="shared" si="24"/>
        <v>0.2949</v>
      </c>
      <c r="N253" s="1">
        <f t="shared" si="25"/>
        <v>2.0299999999999999E-2</v>
      </c>
      <c r="O253" s="3">
        <f t="shared" si="26"/>
        <v>10138</v>
      </c>
      <c r="P253" s="1">
        <f t="shared" si="27"/>
        <v>0.10159640033270867</v>
      </c>
      <c r="Q253" t="str">
        <f t="shared" si="28"/>
        <v>High CTR</v>
      </c>
      <c r="R253" t="str">
        <f t="shared" si="29"/>
        <v>High</v>
      </c>
      <c r="S253" t="str">
        <f t="shared" si="30"/>
        <v>Night</v>
      </c>
      <c r="T253">
        <f t="shared" si="31"/>
        <v>3</v>
      </c>
    </row>
    <row r="254" spans="1:20" x14ac:dyDescent="0.3">
      <c r="A254" t="s">
        <v>770</v>
      </c>
      <c r="B254" t="s">
        <v>771</v>
      </c>
      <c r="C254" s="2">
        <v>9758</v>
      </c>
      <c r="D254" s="2">
        <v>4028</v>
      </c>
      <c r="E254" s="2">
        <v>1871</v>
      </c>
      <c r="F254" s="18">
        <v>52.35</v>
      </c>
      <c r="G254">
        <v>29653</v>
      </c>
      <c r="H254">
        <v>8511</v>
      </c>
      <c r="I254" s="1">
        <v>2.1</v>
      </c>
      <c r="J254" t="s">
        <v>16</v>
      </c>
      <c r="K254" s="4" t="s">
        <v>1170</v>
      </c>
      <c r="L254" t="s">
        <v>772</v>
      </c>
      <c r="M254" s="1">
        <f t="shared" si="24"/>
        <v>0.52349999999999997</v>
      </c>
      <c r="N254" s="1">
        <f t="shared" si="25"/>
        <v>2.1000000000000001E-2</v>
      </c>
      <c r="O254" s="3">
        <f t="shared" si="26"/>
        <v>15657</v>
      </c>
      <c r="P254" s="1">
        <f t="shared" si="27"/>
        <v>1</v>
      </c>
      <c r="Q254" t="str">
        <f t="shared" si="28"/>
        <v>High CTR</v>
      </c>
      <c r="R254" t="str">
        <f t="shared" si="29"/>
        <v>High</v>
      </c>
      <c r="S254" t="str">
        <f t="shared" si="30"/>
        <v>Night</v>
      </c>
      <c r="T254">
        <f t="shared" si="31"/>
        <v>3</v>
      </c>
    </row>
    <row r="255" spans="1:20" x14ac:dyDescent="0.3">
      <c r="A255" t="s">
        <v>773</v>
      </c>
      <c r="B255" t="s">
        <v>774</v>
      </c>
      <c r="C255" s="2">
        <v>8778</v>
      </c>
      <c r="D255" s="2">
        <v>1157</v>
      </c>
      <c r="E255" s="2">
        <v>1736</v>
      </c>
      <c r="F255" s="18">
        <v>72.930000000000007</v>
      </c>
      <c r="G255">
        <v>31627</v>
      </c>
      <c r="H255">
        <v>97389</v>
      </c>
      <c r="I255" s="1">
        <v>9.44</v>
      </c>
      <c r="J255" t="s">
        <v>16</v>
      </c>
      <c r="K255" s="4" t="s">
        <v>1171</v>
      </c>
      <c r="L255" t="s">
        <v>775</v>
      </c>
      <c r="M255" s="1">
        <f t="shared" si="24"/>
        <v>0.72930000000000006</v>
      </c>
      <c r="N255" s="1">
        <f t="shared" si="25"/>
        <v>9.4399999999999998E-2</v>
      </c>
      <c r="O255" s="3">
        <f t="shared" si="26"/>
        <v>11671</v>
      </c>
      <c r="P255" s="1">
        <f t="shared" si="27"/>
        <v>0.11983899619053487</v>
      </c>
      <c r="Q255" t="str">
        <f t="shared" si="28"/>
        <v>High CTR</v>
      </c>
      <c r="R255" t="str">
        <f t="shared" si="29"/>
        <v>High</v>
      </c>
      <c r="S255" t="str">
        <f t="shared" si="30"/>
        <v>Night</v>
      </c>
      <c r="T255">
        <f t="shared" si="31"/>
        <v>3</v>
      </c>
    </row>
    <row r="256" spans="1:20" x14ac:dyDescent="0.3">
      <c r="A256" t="s">
        <v>776</v>
      </c>
      <c r="B256" t="s">
        <v>777</v>
      </c>
      <c r="C256" s="2">
        <v>1337</v>
      </c>
      <c r="D256" s="2">
        <v>2971</v>
      </c>
      <c r="E256" s="2">
        <v>291</v>
      </c>
      <c r="F256" s="18">
        <v>82.09</v>
      </c>
      <c r="G256">
        <v>25937</v>
      </c>
      <c r="H256">
        <v>32127</v>
      </c>
      <c r="I256" s="1">
        <v>4.67</v>
      </c>
      <c r="J256" t="s">
        <v>16</v>
      </c>
      <c r="K256" s="4" t="s">
        <v>1172</v>
      </c>
      <c r="L256" t="s">
        <v>778</v>
      </c>
      <c r="M256" s="1">
        <f t="shared" si="24"/>
        <v>0.82090000000000007</v>
      </c>
      <c r="N256" s="1">
        <f t="shared" si="25"/>
        <v>4.6699999999999998E-2</v>
      </c>
      <c r="O256" s="3">
        <f t="shared" si="26"/>
        <v>4599</v>
      </c>
      <c r="P256" s="1">
        <f t="shared" si="27"/>
        <v>0.14315062097301334</v>
      </c>
      <c r="Q256" t="str">
        <f t="shared" si="28"/>
        <v>High CTR</v>
      </c>
      <c r="R256" t="str">
        <f t="shared" si="29"/>
        <v>High</v>
      </c>
      <c r="S256" t="str">
        <f t="shared" si="30"/>
        <v>Morning</v>
      </c>
      <c r="T256">
        <f t="shared" si="31"/>
        <v>3</v>
      </c>
    </row>
    <row r="257" spans="1:20" x14ac:dyDescent="0.3">
      <c r="A257" t="s">
        <v>779</v>
      </c>
      <c r="B257" t="s">
        <v>780</v>
      </c>
      <c r="C257" s="2">
        <v>5041</v>
      </c>
      <c r="D257" s="2">
        <v>3667</v>
      </c>
      <c r="E257" s="2">
        <v>970</v>
      </c>
      <c r="F257" s="18">
        <v>35.799999999999997</v>
      </c>
      <c r="G257">
        <v>46770</v>
      </c>
      <c r="H257">
        <v>88983</v>
      </c>
      <c r="I257" s="1">
        <v>6.18</v>
      </c>
      <c r="J257" t="s">
        <v>42</v>
      </c>
      <c r="K257" s="4" t="s">
        <v>1173</v>
      </c>
      <c r="L257" t="s">
        <v>781</v>
      </c>
      <c r="M257" s="1">
        <f t="shared" si="24"/>
        <v>0.35799999999999998</v>
      </c>
      <c r="N257" s="1">
        <f t="shared" si="25"/>
        <v>6.1799999999999994E-2</v>
      </c>
      <c r="O257" s="3">
        <f t="shared" si="26"/>
        <v>9678</v>
      </c>
      <c r="P257" s="1">
        <f t="shared" si="27"/>
        <v>0.10876234786419878</v>
      </c>
      <c r="Q257" t="str">
        <f t="shared" si="28"/>
        <v>High CTR</v>
      </c>
      <c r="R257" t="str">
        <f t="shared" si="29"/>
        <v>High</v>
      </c>
      <c r="S257" t="str">
        <f t="shared" si="30"/>
        <v>Night</v>
      </c>
      <c r="T257">
        <f t="shared" si="31"/>
        <v>3</v>
      </c>
    </row>
    <row r="258" spans="1:20" x14ac:dyDescent="0.3">
      <c r="A258" t="s">
        <v>782</v>
      </c>
      <c r="B258" t="s">
        <v>783</v>
      </c>
      <c r="C258" s="2">
        <v>4784</v>
      </c>
      <c r="D258" s="2">
        <v>3753</v>
      </c>
      <c r="E258" s="2">
        <v>604</v>
      </c>
      <c r="F258" s="18">
        <v>17.38</v>
      </c>
      <c r="G258">
        <v>89205</v>
      </c>
      <c r="H258">
        <v>33068</v>
      </c>
      <c r="I258" s="1">
        <v>3.56</v>
      </c>
      <c r="J258" t="s">
        <v>20</v>
      </c>
      <c r="K258" s="4" t="s">
        <v>1174</v>
      </c>
      <c r="L258" t="s">
        <v>784</v>
      </c>
      <c r="M258" s="1">
        <f t="shared" si="24"/>
        <v>0.17379999999999998</v>
      </c>
      <c r="N258" s="1">
        <f t="shared" si="25"/>
        <v>3.56E-2</v>
      </c>
      <c r="O258" s="3">
        <f t="shared" si="26"/>
        <v>9141</v>
      </c>
      <c r="P258" s="1">
        <f t="shared" si="27"/>
        <v>0.27643038587153745</v>
      </c>
      <c r="Q258" t="str">
        <f t="shared" si="28"/>
        <v>High CTR</v>
      </c>
      <c r="R258" t="str">
        <f t="shared" si="29"/>
        <v>High</v>
      </c>
      <c r="S258" t="str">
        <f t="shared" si="30"/>
        <v>Night</v>
      </c>
      <c r="T258">
        <f t="shared" si="31"/>
        <v>3</v>
      </c>
    </row>
    <row r="259" spans="1:20" x14ac:dyDescent="0.3">
      <c r="A259" t="s">
        <v>785</v>
      </c>
      <c r="B259" t="s">
        <v>786</v>
      </c>
      <c r="C259" s="2">
        <v>7678</v>
      </c>
      <c r="D259" s="2">
        <v>2596</v>
      </c>
      <c r="E259" s="2">
        <v>1637</v>
      </c>
      <c r="F259" s="18">
        <v>29.5</v>
      </c>
      <c r="G259">
        <v>48405</v>
      </c>
      <c r="H259">
        <v>14117</v>
      </c>
      <c r="I259" s="1">
        <v>4.78</v>
      </c>
      <c r="J259" t="s">
        <v>16</v>
      </c>
      <c r="K259" s="4" t="s">
        <v>1175</v>
      </c>
      <c r="L259" t="s">
        <v>787</v>
      </c>
      <c r="M259" s="1">
        <f t="shared" ref="M259:M301" si="32">F259/100</f>
        <v>0.29499999999999998</v>
      </c>
      <c r="N259" s="1">
        <f t="shared" ref="N259:N301" si="33">I259/100</f>
        <v>4.7800000000000002E-2</v>
      </c>
      <c r="O259" s="3">
        <f t="shared" ref="O259:O301" si="34">C259+D259+E259</f>
        <v>11911</v>
      </c>
      <c r="P259" s="1">
        <f t="shared" ref="P259:P301" si="35">IF((C259+D259+E259)/H259&gt;1,1,(C259+D259+E259)/H259)</f>
        <v>0.84373450449812282</v>
      </c>
      <c r="Q259" t="str">
        <f t="shared" ref="Q259:Q301" si="36">IF(I259&gt;0.1,"High CTR",
 IF(I259&gt;0.05,"Medium CTR","Low CTR"))</f>
        <v>High CTR</v>
      </c>
      <c r="R259" t="str">
        <f t="shared" ref="R259:R301" si="37">IF($F259&gt;0.1,"High",
 IF($F259&gt;0.05,"Medium","Low"))</f>
        <v>High</v>
      </c>
      <c r="S259" t="str">
        <f t="shared" ref="S259:S301" si="38">IF(HOUR(L259)&lt;12,"Morning",
 IF(HOUR(L259)&lt;17,"Afternoon",
 IF(HOUR(L259)&lt;21,"Evening","Night")))</f>
        <v>Evening</v>
      </c>
      <c r="T259">
        <f t="shared" ref="T259:T301" si="39">LEN($K259)-LEN(SUBSTITUTE($K259,",",""))+1</f>
        <v>3</v>
      </c>
    </row>
    <row r="260" spans="1:20" x14ac:dyDescent="0.3">
      <c r="A260" t="s">
        <v>788</v>
      </c>
      <c r="B260" t="s">
        <v>789</v>
      </c>
      <c r="C260" s="2">
        <v>75</v>
      </c>
      <c r="D260" s="2">
        <v>1337</v>
      </c>
      <c r="E260" s="2">
        <v>1936</v>
      </c>
      <c r="F260" s="18">
        <v>81.569999999999993</v>
      </c>
      <c r="G260">
        <v>79365</v>
      </c>
      <c r="H260">
        <v>34275</v>
      </c>
      <c r="I260" s="1">
        <v>4.6900000000000004</v>
      </c>
      <c r="J260" t="s">
        <v>42</v>
      </c>
      <c r="K260" s="4" t="s">
        <v>1176</v>
      </c>
      <c r="L260" t="s">
        <v>790</v>
      </c>
      <c r="M260" s="1">
        <f t="shared" si="32"/>
        <v>0.81569999999999998</v>
      </c>
      <c r="N260" s="1">
        <f t="shared" si="33"/>
        <v>4.6900000000000004E-2</v>
      </c>
      <c r="O260" s="3">
        <f t="shared" si="34"/>
        <v>3348</v>
      </c>
      <c r="P260" s="1">
        <f t="shared" si="35"/>
        <v>9.7680525164113782E-2</v>
      </c>
      <c r="Q260" t="str">
        <f t="shared" si="36"/>
        <v>High CTR</v>
      </c>
      <c r="R260" t="str">
        <f t="shared" si="37"/>
        <v>High</v>
      </c>
      <c r="S260" t="str">
        <f t="shared" si="38"/>
        <v>Afternoon</v>
      </c>
      <c r="T260">
        <f t="shared" si="39"/>
        <v>3</v>
      </c>
    </row>
    <row r="261" spans="1:20" x14ac:dyDescent="0.3">
      <c r="A261" t="s">
        <v>791</v>
      </c>
      <c r="B261" t="s">
        <v>792</v>
      </c>
      <c r="C261" s="2">
        <v>9984</v>
      </c>
      <c r="D261" s="2">
        <v>1217</v>
      </c>
      <c r="E261" s="2">
        <v>172</v>
      </c>
      <c r="F261" s="18">
        <v>57.88</v>
      </c>
      <c r="G261">
        <v>26000</v>
      </c>
      <c r="H261">
        <v>11284</v>
      </c>
      <c r="I261" s="1">
        <v>8.16</v>
      </c>
      <c r="J261" t="s">
        <v>16</v>
      </c>
      <c r="K261" s="4" t="s">
        <v>1177</v>
      </c>
      <c r="L261" t="s">
        <v>793</v>
      </c>
      <c r="M261" s="1">
        <f t="shared" si="32"/>
        <v>0.57879999999999998</v>
      </c>
      <c r="N261" s="1">
        <f t="shared" si="33"/>
        <v>8.1600000000000006E-2</v>
      </c>
      <c r="O261" s="3">
        <f t="shared" si="34"/>
        <v>11373</v>
      </c>
      <c r="P261" s="1">
        <f t="shared" si="35"/>
        <v>1</v>
      </c>
      <c r="Q261" t="str">
        <f t="shared" si="36"/>
        <v>High CTR</v>
      </c>
      <c r="R261" t="str">
        <f t="shared" si="37"/>
        <v>High</v>
      </c>
      <c r="S261" t="str">
        <f t="shared" si="38"/>
        <v>Morning</v>
      </c>
      <c r="T261">
        <f t="shared" si="39"/>
        <v>3</v>
      </c>
    </row>
    <row r="262" spans="1:20" x14ac:dyDescent="0.3">
      <c r="A262" t="s">
        <v>794</v>
      </c>
      <c r="B262" t="s">
        <v>795</v>
      </c>
      <c r="C262" s="2">
        <v>9842</v>
      </c>
      <c r="D262" s="2">
        <v>3834</v>
      </c>
      <c r="E262" s="2">
        <v>1942</v>
      </c>
      <c r="F262" s="18">
        <v>15.06</v>
      </c>
      <c r="G262">
        <v>49092</v>
      </c>
      <c r="H262">
        <v>83743</v>
      </c>
      <c r="I262" s="1">
        <v>2.37</v>
      </c>
      <c r="J262" t="s">
        <v>12</v>
      </c>
      <c r="K262" s="4" t="s">
        <v>1178</v>
      </c>
      <c r="L262" t="s">
        <v>796</v>
      </c>
      <c r="M262" s="1">
        <f t="shared" si="32"/>
        <v>0.15060000000000001</v>
      </c>
      <c r="N262" s="1">
        <f t="shared" si="33"/>
        <v>2.3700000000000002E-2</v>
      </c>
      <c r="O262" s="3">
        <f t="shared" si="34"/>
        <v>15618</v>
      </c>
      <c r="P262" s="1">
        <f t="shared" si="35"/>
        <v>0.18649917007988728</v>
      </c>
      <c r="Q262" t="str">
        <f t="shared" si="36"/>
        <v>High CTR</v>
      </c>
      <c r="R262" t="str">
        <f t="shared" si="37"/>
        <v>High</v>
      </c>
      <c r="S262" t="str">
        <f t="shared" si="38"/>
        <v>Evening</v>
      </c>
      <c r="T262">
        <f t="shared" si="39"/>
        <v>3</v>
      </c>
    </row>
    <row r="263" spans="1:20" x14ac:dyDescent="0.3">
      <c r="A263" t="s">
        <v>797</v>
      </c>
      <c r="B263" t="s">
        <v>798</v>
      </c>
      <c r="C263" s="2">
        <v>550</v>
      </c>
      <c r="D263" s="2">
        <v>2006</v>
      </c>
      <c r="E263" s="2">
        <v>431</v>
      </c>
      <c r="F263" s="18">
        <v>80.209999999999994</v>
      </c>
      <c r="G263">
        <v>97534</v>
      </c>
      <c r="H263">
        <v>95411</v>
      </c>
      <c r="I263" s="1">
        <v>1.51</v>
      </c>
      <c r="J263" t="s">
        <v>20</v>
      </c>
      <c r="K263" s="4" t="s">
        <v>1179</v>
      </c>
      <c r="L263" t="s">
        <v>799</v>
      </c>
      <c r="M263" s="1">
        <f t="shared" si="32"/>
        <v>0.80209999999999992</v>
      </c>
      <c r="N263" s="1">
        <f t="shared" si="33"/>
        <v>1.5100000000000001E-2</v>
      </c>
      <c r="O263" s="3">
        <f t="shared" si="34"/>
        <v>2987</v>
      </c>
      <c r="P263" s="1">
        <f t="shared" si="35"/>
        <v>3.1306662753770531E-2</v>
      </c>
      <c r="Q263" t="str">
        <f t="shared" si="36"/>
        <v>High CTR</v>
      </c>
      <c r="R263" t="str">
        <f t="shared" si="37"/>
        <v>High</v>
      </c>
      <c r="S263" t="str">
        <f t="shared" si="38"/>
        <v>Morning</v>
      </c>
      <c r="T263">
        <f t="shared" si="39"/>
        <v>3</v>
      </c>
    </row>
    <row r="264" spans="1:20" x14ac:dyDescent="0.3">
      <c r="A264" t="s">
        <v>800</v>
      </c>
      <c r="B264" t="s">
        <v>801</v>
      </c>
      <c r="C264" s="2">
        <v>4847</v>
      </c>
      <c r="D264" s="2">
        <v>2125</v>
      </c>
      <c r="E264" s="2">
        <v>1590</v>
      </c>
      <c r="F264" s="18">
        <v>24.42</v>
      </c>
      <c r="G264">
        <v>13729</v>
      </c>
      <c r="H264">
        <v>70766</v>
      </c>
      <c r="I264" s="1">
        <v>6.65</v>
      </c>
      <c r="J264" t="s">
        <v>12</v>
      </c>
      <c r="K264" s="4" t="s">
        <v>1180</v>
      </c>
      <c r="L264" t="s">
        <v>802</v>
      </c>
      <c r="M264" s="1">
        <f t="shared" si="32"/>
        <v>0.24420000000000003</v>
      </c>
      <c r="N264" s="1">
        <f t="shared" si="33"/>
        <v>6.6500000000000004E-2</v>
      </c>
      <c r="O264" s="3">
        <f t="shared" si="34"/>
        <v>8562</v>
      </c>
      <c r="P264" s="1">
        <f t="shared" si="35"/>
        <v>0.12099030607919058</v>
      </c>
      <c r="Q264" t="str">
        <f t="shared" si="36"/>
        <v>High CTR</v>
      </c>
      <c r="R264" t="str">
        <f t="shared" si="37"/>
        <v>High</v>
      </c>
      <c r="S264" t="str">
        <f t="shared" si="38"/>
        <v>Morning</v>
      </c>
      <c r="T264">
        <f t="shared" si="39"/>
        <v>3</v>
      </c>
    </row>
    <row r="265" spans="1:20" x14ac:dyDescent="0.3">
      <c r="A265" t="s">
        <v>803</v>
      </c>
      <c r="B265" t="s">
        <v>804</v>
      </c>
      <c r="C265" s="2">
        <v>4345</v>
      </c>
      <c r="D265" s="2">
        <v>3411</v>
      </c>
      <c r="E265" s="2">
        <v>581</v>
      </c>
      <c r="F265" s="18">
        <v>88.17</v>
      </c>
      <c r="G265">
        <v>4490</v>
      </c>
      <c r="H265">
        <v>51661</v>
      </c>
      <c r="I265" s="1">
        <v>6.18</v>
      </c>
      <c r="J265" t="s">
        <v>12</v>
      </c>
      <c r="K265" s="4" t="s">
        <v>1181</v>
      </c>
      <c r="L265" t="s">
        <v>805</v>
      </c>
      <c r="M265" s="1">
        <f t="shared" si="32"/>
        <v>0.88170000000000004</v>
      </c>
      <c r="N265" s="1">
        <f t="shared" si="33"/>
        <v>6.1799999999999994E-2</v>
      </c>
      <c r="O265" s="3">
        <f t="shared" si="34"/>
        <v>8337</v>
      </c>
      <c r="P265" s="1">
        <f t="shared" si="35"/>
        <v>0.16137898995373687</v>
      </c>
      <c r="Q265" t="str">
        <f t="shared" si="36"/>
        <v>High CTR</v>
      </c>
      <c r="R265" t="str">
        <f t="shared" si="37"/>
        <v>High</v>
      </c>
      <c r="S265" t="str">
        <f t="shared" si="38"/>
        <v>Morning</v>
      </c>
      <c r="T265">
        <f t="shared" si="39"/>
        <v>3</v>
      </c>
    </row>
    <row r="266" spans="1:20" x14ac:dyDescent="0.3">
      <c r="A266" t="s">
        <v>806</v>
      </c>
      <c r="B266" t="s">
        <v>807</v>
      </c>
      <c r="C266" s="2">
        <v>289</v>
      </c>
      <c r="D266" s="2">
        <v>4590</v>
      </c>
      <c r="E266" s="2">
        <v>1393</v>
      </c>
      <c r="F266" s="18">
        <v>94.71</v>
      </c>
      <c r="G266">
        <v>22679</v>
      </c>
      <c r="H266">
        <v>79543</v>
      </c>
      <c r="I266" s="1">
        <v>7.16</v>
      </c>
      <c r="J266" t="s">
        <v>42</v>
      </c>
      <c r="K266" s="4" t="s">
        <v>1182</v>
      </c>
      <c r="L266" t="s">
        <v>808</v>
      </c>
      <c r="M266" s="1">
        <f t="shared" si="32"/>
        <v>0.94709999999999994</v>
      </c>
      <c r="N266" s="1">
        <f t="shared" si="33"/>
        <v>7.1599999999999997E-2</v>
      </c>
      <c r="O266" s="3">
        <f t="shared" si="34"/>
        <v>6272</v>
      </c>
      <c r="P266" s="1">
        <f t="shared" si="35"/>
        <v>7.8850433099078479E-2</v>
      </c>
      <c r="Q266" t="str">
        <f t="shared" si="36"/>
        <v>High CTR</v>
      </c>
      <c r="R266" t="str">
        <f t="shared" si="37"/>
        <v>High</v>
      </c>
      <c r="S266" t="str">
        <f t="shared" si="38"/>
        <v>Morning</v>
      </c>
      <c r="T266">
        <f t="shared" si="39"/>
        <v>3</v>
      </c>
    </row>
    <row r="267" spans="1:20" x14ac:dyDescent="0.3">
      <c r="A267" t="s">
        <v>809</v>
      </c>
      <c r="B267" t="s">
        <v>810</v>
      </c>
      <c r="C267" s="2">
        <v>3083</v>
      </c>
      <c r="D267" s="2">
        <v>4807</v>
      </c>
      <c r="E267" s="2">
        <v>0</v>
      </c>
      <c r="F267" s="18">
        <v>95.49</v>
      </c>
      <c r="G267">
        <v>92451</v>
      </c>
      <c r="H267">
        <v>70826</v>
      </c>
      <c r="I267" s="1">
        <v>4.92</v>
      </c>
      <c r="J267" t="s">
        <v>20</v>
      </c>
      <c r="K267" s="4" t="s">
        <v>1183</v>
      </c>
      <c r="L267" t="s">
        <v>811</v>
      </c>
      <c r="M267" s="1">
        <f t="shared" si="32"/>
        <v>0.95489999999999997</v>
      </c>
      <c r="N267" s="1">
        <f t="shared" si="33"/>
        <v>4.9200000000000001E-2</v>
      </c>
      <c r="O267" s="3">
        <f t="shared" si="34"/>
        <v>7890</v>
      </c>
      <c r="P267" s="1">
        <f t="shared" si="35"/>
        <v>0.11139976844661564</v>
      </c>
      <c r="Q267" t="str">
        <f t="shared" si="36"/>
        <v>High CTR</v>
      </c>
      <c r="R267" t="str">
        <f t="shared" si="37"/>
        <v>High</v>
      </c>
      <c r="S267" t="str">
        <f t="shared" si="38"/>
        <v>Morning</v>
      </c>
      <c r="T267">
        <f t="shared" si="39"/>
        <v>3</v>
      </c>
    </row>
    <row r="268" spans="1:20" x14ac:dyDescent="0.3">
      <c r="A268" t="s">
        <v>812</v>
      </c>
      <c r="B268" t="s">
        <v>813</v>
      </c>
      <c r="C268" s="2">
        <v>9675</v>
      </c>
      <c r="D268" s="2">
        <v>3091</v>
      </c>
      <c r="E268" s="2">
        <v>1702</v>
      </c>
      <c r="F268" s="18">
        <v>0.41</v>
      </c>
      <c r="G268">
        <v>78742</v>
      </c>
      <c r="H268">
        <v>82136</v>
      </c>
      <c r="I268" s="1">
        <v>8.5299999999999994</v>
      </c>
      <c r="J268" t="s">
        <v>42</v>
      </c>
      <c r="K268" s="4" t="s">
        <v>1184</v>
      </c>
      <c r="L268" t="s">
        <v>814</v>
      </c>
      <c r="M268" s="1">
        <f t="shared" si="32"/>
        <v>4.0999999999999995E-3</v>
      </c>
      <c r="N268" s="1">
        <f t="shared" si="33"/>
        <v>8.5299999999999987E-2</v>
      </c>
      <c r="O268" s="3">
        <f t="shared" si="34"/>
        <v>14468</v>
      </c>
      <c r="P268" s="1">
        <f t="shared" si="35"/>
        <v>0.17614687834810558</v>
      </c>
      <c r="Q268" t="str">
        <f t="shared" si="36"/>
        <v>High CTR</v>
      </c>
      <c r="R268" t="str">
        <f t="shared" si="37"/>
        <v>High</v>
      </c>
      <c r="S268" t="str">
        <f t="shared" si="38"/>
        <v>Morning</v>
      </c>
      <c r="T268">
        <f t="shared" si="39"/>
        <v>3</v>
      </c>
    </row>
    <row r="269" spans="1:20" x14ac:dyDescent="0.3">
      <c r="A269" t="s">
        <v>815</v>
      </c>
      <c r="B269" t="s">
        <v>816</v>
      </c>
      <c r="C269" s="2">
        <v>2626</v>
      </c>
      <c r="D269" s="2">
        <v>1488</v>
      </c>
      <c r="E269" s="2">
        <v>1704</v>
      </c>
      <c r="F269" s="18">
        <v>96.18</v>
      </c>
      <c r="G269">
        <v>76492</v>
      </c>
      <c r="H269">
        <v>49679</v>
      </c>
      <c r="I269" s="1">
        <v>5.0199999999999996</v>
      </c>
      <c r="J269" t="s">
        <v>16</v>
      </c>
      <c r="K269" s="4" t="s">
        <v>1185</v>
      </c>
      <c r="L269" t="s">
        <v>817</v>
      </c>
      <c r="M269" s="1">
        <f t="shared" si="32"/>
        <v>0.9618000000000001</v>
      </c>
      <c r="N269" s="1">
        <f t="shared" si="33"/>
        <v>5.0199999999999995E-2</v>
      </c>
      <c r="O269" s="3">
        <f t="shared" si="34"/>
        <v>5818</v>
      </c>
      <c r="P269" s="1">
        <f t="shared" si="35"/>
        <v>0.11711185812918939</v>
      </c>
      <c r="Q269" t="str">
        <f t="shared" si="36"/>
        <v>High CTR</v>
      </c>
      <c r="R269" t="str">
        <f t="shared" si="37"/>
        <v>High</v>
      </c>
      <c r="S269" t="str">
        <f t="shared" si="38"/>
        <v>Morning</v>
      </c>
      <c r="T269">
        <f t="shared" si="39"/>
        <v>3</v>
      </c>
    </row>
    <row r="270" spans="1:20" x14ac:dyDescent="0.3">
      <c r="A270" t="s">
        <v>818</v>
      </c>
      <c r="B270" t="s">
        <v>819</v>
      </c>
      <c r="C270" s="2">
        <v>6361</v>
      </c>
      <c r="D270" s="2">
        <v>215</v>
      </c>
      <c r="E270" s="2">
        <v>1877</v>
      </c>
      <c r="F270" s="18">
        <v>77.19</v>
      </c>
      <c r="G270">
        <v>59109</v>
      </c>
      <c r="H270">
        <v>73652</v>
      </c>
      <c r="I270" s="1">
        <v>8.69</v>
      </c>
      <c r="J270" t="s">
        <v>20</v>
      </c>
      <c r="K270" s="4" t="s">
        <v>1186</v>
      </c>
      <c r="L270" t="s">
        <v>820</v>
      </c>
      <c r="M270" s="1">
        <f t="shared" si="32"/>
        <v>0.77190000000000003</v>
      </c>
      <c r="N270" s="1">
        <f t="shared" si="33"/>
        <v>8.6899999999999991E-2</v>
      </c>
      <c r="O270" s="3">
        <f t="shared" si="34"/>
        <v>8453</v>
      </c>
      <c r="P270" s="1">
        <f t="shared" si="35"/>
        <v>0.11476945636235268</v>
      </c>
      <c r="Q270" t="str">
        <f t="shared" si="36"/>
        <v>High CTR</v>
      </c>
      <c r="R270" t="str">
        <f t="shared" si="37"/>
        <v>High</v>
      </c>
      <c r="S270" t="str">
        <f t="shared" si="38"/>
        <v>Morning</v>
      </c>
      <c r="T270">
        <f t="shared" si="39"/>
        <v>3</v>
      </c>
    </row>
    <row r="271" spans="1:20" x14ac:dyDescent="0.3">
      <c r="A271" t="s">
        <v>821</v>
      </c>
      <c r="B271" t="s">
        <v>822</v>
      </c>
      <c r="C271" s="2">
        <v>2650</v>
      </c>
      <c r="D271" s="2">
        <v>2266</v>
      </c>
      <c r="E271" s="2">
        <v>1053</v>
      </c>
      <c r="F271" s="18">
        <v>93.68</v>
      </c>
      <c r="G271">
        <v>88117</v>
      </c>
      <c r="H271">
        <v>82098</v>
      </c>
      <c r="I271" s="1">
        <v>4.16</v>
      </c>
      <c r="J271" t="s">
        <v>20</v>
      </c>
      <c r="K271" s="4" t="s">
        <v>1187</v>
      </c>
      <c r="L271" t="s">
        <v>823</v>
      </c>
      <c r="M271" s="1">
        <f t="shared" si="32"/>
        <v>0.93680000000000008</v>
      </c>
      <c r="N271" s="1">
        <f t="shared" si="33"/>
        <v>4.1599999999999998E-2</v>
      </c>
      <c r="O271" s="3">
        <f t="shared" si="34"/>
        <v>5969</v>
      </c>
      <c r="P271" s="1">
        <f t="shared" si="35"/>
        <v>7.2705790640454085E-2</v>
      </c>
      <c r="Q271" t="str">
        <f t="shared" si="36"/>
        <v>High CTR</v>
      </c>
      <c r="R271" t="str">
        <f t="shared" si="37"/>
        <v>High</v>
      </c>
      <c r="S271" t="str">
        <f t="shared" si="38"/>
        <v>Morning</v>
      </c>
      <c r="T271">
        <f t="shared" si="39"/>
        <v>3</v>
      </c>
    </row>
    <row r="272" spans="1:20" x14ac:dyDescent="0.3">
      <c r="A272" t="s">
        <v>824</v>
      </c>
      <c r="B272" t="s">
        <v>825</v>
      </c>
      <c r="C272" s="2">
        <v>9585</v>
      </c>
      <c r="D272" s="2">
        <v>3060</v>
      </c>
      <c r="E272" s="2">
        <v>1654</v>
      </c>
      <c r="F272" s="18">
        <v>0.38</v>
      </c>
      <c r="G272">
        <v>98870</v>
      </c>
      <c r="H272">
        <v>81703</v>
      </c>
      <c r="I272" s="1">
        <v>0.76</v>
      </c>
      <c r="J272" t="s">
        <v>20</v>
      </c>
      <c r="K272" s="4" t="s">
        <v>1188</v>
      </c>
      <c r="L272" t="s">
        <v>826</v>
      </c>
      <c r="M272" s="1">
        <f t="shared" si="32"/>
        <v>3.8E-3</v>
      </c>
      <c r="N272" s="1">
        <f t="shared" si="33"/>
        <v>7.6E-3</v>
      </c>
      <c r="O272" s="3">
        <f t="shared" si="34"/>
        <v>14299</v>
      </c>
      <c r="P272" s="1">
        <f t="shared" si="35"/>
        <v>0.1750119334663354</v>
      </c>
      <c r="Q272" t="str">
        <f t="shared" si="36"/>
        <v>High CTR</v>
      </c>
      <c r="R272" t="str">
        <f t="shared" si="37"/>
        <v>High</v>
      </c>
      <c r="S272" t="str">
        <f t="shared" si="38"/>
        <v>Night</v>
      </c>
      <c r="T272">
        <f t="shared" si="39"/>
        <v>3</v>
      </c>
    </row>
    <row r="273" spans="1:20" x14ac:dyDescent="0.3">
      <c r="A273" t="s">
        <v>827</v>
      </c>
      <c r="B273" t="s">
        <v>828</v>
      </c>
      <c r="C273" s="2">
        <v>188</v>
      </c>
      <c r="D273" s="2">
        <v>4868</v>
      </c>
      <c r="E273" s="2">
        <v>965</v>
      </c>
      <c r="F273" s="18">
        <v>67.78</v>
      </c>
      <c r="G273">
        <v>55405</v>
      </c>
      <c r="H273">
        <v>21310</v>
      </c>
      <c r="I273" s="1">
        <v>3.93</v>
      </c>
      <c r="J273" t="s">
        <v>16</v>
      </c>
      <c r="K273" s="4" t="s">
        <v>1189</v>
      </c>
      <c r="L273" t="s">
        <v>829</v>
      </c>
      <c r="M273" s="1">
        <f t="shared" si="32"/>
        <v>0.67779999999999996</v>
      </c>
      <c r="N273" s="1">
        <f t="shared" si="33"/>
        <v>3.9300000000000002E-2</v>
      </c>
      <c r="O273" s="3">
        <f t="shared" si="34"/>
        <v>6021</v>
      </c>
      <c r="P273" s="1">
        <f t="shared" si="35"/>
        <v>0.28254340685124357</v>
      </c>
      <c r="Q273" t="str">
        <f t="shared" si="36"/>
        <v>High CTR</v>
      </c>
      <c r="R273" t="str">
        <f t="shared" si="37"/>
        <v>High</v>
      </c>
      <c r="S273" t="str">
        <f t="shared" si="38"/>
        <v>Afternoon</v>
      </c>
      <c r="T273">
        <f t="shared" si="39"/>
        <v>3</v>
      </c>
    </row>
    <row r="274" spans="1:20" x14ac:dyDescent="0.3">
      <c r="A274" t="s">
        <v>830</v>
      </c>
      <c r="B274" t="s">
        <v>831</v>
      </c>
      <c r="C274" s="2">
        <v>5238</v>
      </c>
      <c r="D274" s="2">
        <v>865</v>
      </c>
      <c r="E274" s="2">
        <v>598</v>
      </c>
      <c r="F274" s="18">
        <v>27.46</v>
      </c>
      <c r="G274">
        <v>34596</v>
      </c>
      <c r="H274">
        <v>85357</v>
      </c>
      <c r="I274" s="1">
        <v>2.37</v>
      </c>
      <c r="J274" t="s">
        <v>42</v>
      </c>
      <c r="K274" s="4" t="s">
        <v>1190</v>
      </c>
      <c r="L274" t="s">
        <v>832</v>
      </c>
      <c r="M274" s="1">
        <f t="shared" si="32"/>
        <v>0.27460000000000001</v>
      </c>
      <c r="N274" s="1">
        <f t="shared" si="33"/>
        <v>2.3700000000000002E-2</v>
      </c>
      <c r="O274" s="3">
        <f t="shared" si="34"/>
        <v>6701</v>
      </c>
      <c r="P274" s="1">
        <f t="shared" si="35"/>
        <v>7.8505570720620449E-2</v>
      </c>
      <c r="Q274" t="str">
        <f t="shared" si="36"/>
        <v>High CTR</v>
      </c>
      <c r="R274" t="str">
        <f t="shared" si="37"/>
        <v>High</v>
      </c>
      <c r="S274" t="str">
        <f t="shared" si="38"/>
        <v>Morning</v>
      </c>
      <c r="T274">
        <f t="shared" si="39"/>
        <v>3</v>
      </c>
    </row>
    <row r="275" spans="1:20" x14ac:dyDescent="0.3">
      <c r="A275" t="s">
        <v>833</v>
      </c>
      <c r="B275" t="s">
        <v>834</v>
      </c>
      <c r="C275" s="2">
        <v>412</v>
      </c>
      <c r="D275" s="2">
        <v>4365</v>
      </c>
      <c r="E275" s="2">
        <v>382</v>
      </c>
      <c r="F275" s="18">
        <v>88.28</v>
      </c>
      <c r="G275">
        <v>13656</v>
      </c>
      <c r="H275">
        <v>51287</v>
      </c>
      <c r="I275" s="1">
        <v>4.4000000000000004</v>
      </c>
      <c r="J275" t="s">
        <v>16</v>
      </c>
      <c r="K275" s="4" t="s">
        <v>1191</v>
      </c>
      <c r="L275" t="s">
        <v>835</v>
      </c>
      <c r="M275" s="1">
        <f t="shared" si="32"/>
        <v>0.88280000000000003</v>
      </c>
      <c r="N275" s="1">
        <f t="shared" si="33"/>
        <v>4.4000000000000004E-2</v>
      </c>
      <c r="O275" s="3">
        <f t="shared" si="34"/>
        <v>5159</v>
      </c>
      <c r="P275" s="1">
        <f t="shared" si="35"/>
        <v>0.10059079298847662</v>
      </c>
      <c r="Q275" t="str">
        <f t="shared" si="36"/>
        <v>High CTR</v>
      </c>
      <c r="R275" t="str">
        <f t="shared" si="37"/>
        <v>High</v>
      </c>
      <c r="S275" t="str">
        <f t="shared" si="38"/>
        <v>Morning</v>
      </c>
      <c r="T275">
        <f t="shared" si="39"/>
        <v>3</v>
      </c>
    </row>
    <row r="276" spans="1:20" x14ac:dyDescent="0.3">
      <c r="A276" t="s">
        <v>836</v>
      </c>
      <c r="B276" t="s">
        <v>837</v>
      </c>
      <c r="C276" s="2">
        <v>1565</v>
      </c>
      <c r="D276" s="2">
        <v>227</v>
      </c>
      <c r="E276" s="2">
        <v>1608</v>
      </c>
      <c r="F276" s="18">
        <v>47.41</v>
      </c>
      <c r="G276">
        <v>58265</v>
      </c>
      <c r="H276">
        <v>50416</v>
      </c>
      <c r="I276" s="1">
        <v>0.16</v>
      </c>
      <c r="J276" t="s">
        <v>42</v>
      </c>
      <c r="K276" s="4" t="s">
        <v>1192</v>
      </c>
      <c r="L276" t="s">
        <v>838</v>
      </c>
      <c r="M276" s="1">
        <f t="shared" si="32"/>
        <v>0.47409999999999997</v>
      </c>
      <c r="N276" s="1">
        <f t="shared" si="33"/>
        <v>1.6000000000000001E-3</v>
      </c>
      <c r="O276" s="3">
        <f t="shared" si="34"/>
        <v>3400</v>
      </c>
      <c r="P276" s="1">
        <f t="shared" si="35"/>
        <v>6.7438908283084742E-2</v>
      </c>
      <c r="Q276" t="str">
        <f t="shared" si="36"/>
        <v>High CTR</v>
      </c>
      <c r="R276" t="str">
        <f t="shared" si="37"/>
        <v>High</v>
      </c>
      <c r="S276" t="str">
        <f t="shared" si="38"/>
        <v>Morning</v>
      </c>
      <c r="T276">
        <f t="shared" si="39"/>
        <v>3</v>
      </c>
    </row>
    <row r="277" spans="1:20" x14ac:dyDescent="0.3">
      <c r="A277" t="s">
        <v>839</v>
      </c>
      <c r="B277" t="s">
        <v>840</v>
      </c>
      <c r="C277" s="2">
        <v>3729</v>
      </c>
      <c r="D277" s="2">
        <v>1651</v>
      </c>
      <c r="E277" s="2">
        <v>900</v>
      </c>
      <c r="F277" s="18">
        <v>80.92</v>
      </c>
      <c r="G277">
        <v>45083</v>
      </c>
      <c r="H277">
        <v>51326</v>
      </c>
      <c r="I277" s="1">
        <v>2.04</v>
      </c>
      <c r="J277" t="s">
        <v>12</v>
      </c>
      <c r="K277" s="4" t="s">
        <v>1193</v>
      </c>
      <c r="L277" t="s">
        <v>841</v>
      </c>
      <c r="M277" s="1">
        <f t="shared" si="32"/>
        <v>0.80920000000000003</v>
      </c>
      <c r="N277" s="1">
        <f t="shared" si="33"/>
        <v>2.0400000000000001E-2</v>
      </c>
      <c r="O277" s="3">
        <f t="shared" si="34"/>
        <v>6280</v>
      </c>
      <c r="P277" s="1">
        <f t="shared" si="35"/>
        <v>0.12235514164361143</v>
      </c>
      <c r="Q277" t="str">
        <f t="shared" si="36"/>
        <v>High CTR</v>
      </c>
      <c r="R277" t="str">
        <f t="shared" si="37"/>
        <v>High</v>
      </c>
      <c r="S277" t="str">
        <f t="shared" si="38"/>
        <v>Night</v>
      </c>
      <c r="T277">
        <f t="shared" si="39"/>
        <v>3</v>
      </c>
    </row>
    <row r="278" spans="1:20" x14ac:dyDescent="0.3">
      <c r="A278" t="s">
        <v>842</v>
      </c>
      <c r="B278" t="s">
        <v>843</v>
      </c>
      <c r="C278" s="2">
        <v>7749</v>
      </c>
      <c r="D278" s="2">
        <v>1534</v>
      </c>
      <c r="E278" s="2">
        <v>291</v>
      </c>
      <c r="F278" s="18">
        <v>36.54</v>
      </c>
      <c r="G278">
        <v>44665</v>
      </c>
      <c r="H278">
        <v>34568</v>
      </c>
      <c r="I278" s="1">
        <v>2.02</v>
      </c>
      <c r="J278" t="s">
        <v>20</v>
      </c>
      <c r="K278" s="4" t="s">
        <v>1194</v>
      </c>
      <c r="L278" t="s">
        <v>844</v>
      </c>
      <c r="M278" s="1">
        <f t="shared" si="32"/>
        <v>0.3654</v>
      </c>
      <c r="N278" s="1">
        <f t="shared" si="33"/>
        <v>2.0199999999999999E-2</v>
      </c>
      <c r="O278" s="3">
        <f t="shared" si="34"/>
        <v>9574</v>
      </c>
      <c r="P278" s="1">
        <f t="shared" si="35"/>
        <v>0.27696135153899559</v>
      </c>
      <c r="Q278" t="str">
        <f t="shared" si="36"/>
        <v>High CTR</v>
      </c>
      <c r="R278" t="str">
        <f t="shared" si="37"/>
        <v>High</v>
      </c>
      <c r="S278" t="str">
        <f t="shared" si="38"/>
        <v>Evening</v>
      </c>
      <c r="T278">
        <f t="shared" si="39"/>
        <v>3</v>
      </c>
    </row>
    <row r="279" spans="1:20" x14ac:dyDescent="0.3">
      <c r="A279" t="s">
        <v>845</v>
      </c>
      <c r="B279" t="s">
        <v>846</v>
      </c>
      <c r="C279" s="2">
        <v>6016</v>
      </c>
      <c r="D279" s="2">
        <v>1634</v>
      </c>
      <c r="E279" s="2">
        <v>418</v>
      </c>
      <c r="F279" s="18">
        <v>83.31</v>
      </c>
      <c r="G279">
        <v>48010</v>
      </c>
      <c r="H279">
        <v>7353</v>
      </c>
      <c r="I279" s="1">
        <v>8.06</v>
      </c>
      <c r="J279" t="s">
        <v>42</v>
      </c>
      <c r="K279" s="4" t="s">
        <v>1195</v>
      </c>
      <c r="L279" t="s">
        <v>847</v>
      </c>
      <c r="M279" s="1">
        <f t="shared" si="32"/>
        <v>0.83310000000000006</v>
      </c>
      <c r="N279" s="1">
        <f t="shared" si="33"/>
        <v>8.0600000000000005E-2</v>
      </c>
      <c r="O279" s="3">
        <f t="shared" si="34"/>
        <v>8068</v>
      </c>
      <c r="P279" s="1">
        <f t="shared" si="35"/>
        <v>1</v>
      </c>
      <c r="Q279" t="str">
        <f t="shared" si="36"/>
        <v>High CTR</v>
      </c>
      <c r="R279" t="str">
        <f t="shared" si="37"/>
        <v>High</v>
      </c>
      <c r="S279" t="str">
        <f t="shared" si="38"/>
        <v>Morning</v>
      </c>
      <c r="T279">
        <f t="shared" si="39"/>
        <v>3</v>
      </c>
    </row>
    <row r="280" spans="1:20" x14ac:dyDescent="0.3">
      <c r="A280" t="s">
        <v>848</v>
      </c>
      <c r="B280" t="s">
        <v>849</v>
      </c>
      <c r="C280" s="2">
        <v>7826</v>
      </c>
      <c r="D280" s="2">
        <v>1973</v>
      </c>
      <c r="E280" s="2">
        <v>467</v>
      </c>
      <c r="F280" s="18">
        <v>59.93</v>
      </c>
      <c r="G280">
        <v>68767</v>
      </c>
      <c r="H280">
        <v>69313</v>
      </c>
      <c r="I280" s="1">
        <v>8.34</v>
      </c>
      <c r="J280" t="s">
        <v>20</v>
      </c>
      <c r="K280" s="4" t="s">
        <v>1196</v>
      </c>
      <c r="L280" t="s">
        <v>850</v>
      </c>
      <c r="M280" s="1">
        <f t="shared" si="32"/>
        <v>0.59929999999999994</v>
      </c>
      <c r="N280" s="1">
        <f t="shared" si="33"/>
        <v>8.3400000000000002E-2</v>
      </c>
      <c r="O280" s="3">
        <f t="shared" si="34"/>
        <v>10266</v>
      </c>
      <c r="P280" s="1">
        <f t="shared" si="35"/>
        <v>0.148110744016274</v>
      </c>
      <c r="Q280" t="str">
        <f t="shared" si="36"/>
        <v>High CTR</v>
      </c>
      <c r="R280" t="str">
        <f t="shared" si="37"/>
        <v>High</v>
      </c>
      <c r="S280" t="str">
        <f t="shared" si="38"/>
        <v>Afternoon</v>
      </c>
      <c r="T280">
        <f t="shared" si="39"/>
        <v>3</v>
      </c>
    </row>
    <row r="281" spans="1:20" x14ac:dyDescent="0.3">
      <c r="A281" t="s">
        <v>851</v>
      </c>
      <c r="B281" t="s">
        <v>852</v>
      </c>
      <c r="C281" s="2">
        <v>4409</v>
      </c>
      <c r="D281" s="2">
        <v>870</v>
      </c>
      <c r="E281" s="2">
        <v>1482</v>
      </c>
      <c r="F281" s="18">
        <v>18.309999999999999</v>
      </c>
      <c r="G281">
        <v>9709</v>
      </c>
      <c r="H281">
        <v>69013</v>
      </c>
      <c r="I281" s="1">
        <v>0.81</v>
      </c>
      <c r="J281" t="s">
        <v>20</v>
      </c>
      <c r="K281" s="4" t="s">
        <v>1197</v>
      </c>
      <c r="L281" t="s">
        <v>853</v>
      </c>
      <c r="M281" s="1">
        <f t="shared" si="32"/>
        <v>0.18309999999999998</v>
      </c>
      <c r="N281" s="1">
        <f t="shared" si="33"/>
        <v>8.1000000000000013E-3</v>
      </c>
      <c r="O281" s="3">
        <f t="shared" si="34"/>
        <v>6761</v>
      </c>
      <c r="P281" s="1">
        <f t="shared" si="35"/>
        <v>9.7967049686290983E-2</v>
      </c>
      <c r="Q281" t="str">
        <f t="shared" si="36"/>
        <v>High CTR</v>
      </c>
      <c r="R281" t="str">
        <f t="shared" si="37"/>
        <v>High</v>
      </c>
      <c r="S281" t="str">
        <f t="shared" si="38"/>
        <v>Morning</v>
      </c>
      <c r="T281">
        <f t="shared" si="39"/>
        <v>3</v>
      </c>
    </row>
    <row r="282" spans="1:20" x14ac:dyDescent="0.3">
      <c r="A282" t="s">
        <v>854</v>
      </c>
      <c r="B282" t="s">
        <v>855</v>
      </c>
      <c r="C282" s="2">
        <v>7526</v>
      </c>
      <c r="D282" s="2">
        <v>4400</v>
      </c>
      <c r="E282" s="2">
        <v>1083</v>
      </c>
      <c r="F282" s="18">
        <v>44.87</v>
      </c>
      <c r="G282">
        <v>13840</v>
      </c>
      <c r="H282">
        <v>32653</v>
      </c>
      <c r="I282" s="1">
        <v>8.36</v>
      </c>
      <c r="J282" t="s">
        <v>12</v>
      </c>
      <c r="K282" s="4" t="s">
        <v>1198</v>
      </c>
      <c r="L282" t="s">
        <v>856</v>
      </c>
      <c r="M282" s="1">
        <f t="shared" si="32"/>
        <v>0.44869999999999999</v>
      </c>
      <c r="N282" s="1">
        <f t="shared" si="33"/>
        <v>8.3599999999999994E-2</v>
      </c>
      <c r="O282" s="3">
        <f t="shared" si="34"/>
        <v>13009</v>
      </c>
      <c r="P282" s="1">
        <f t="shared" si="35"/>
        <v>0.39840137200257253</v>
      </c>
      <c r="Q282" t="str">
        <f t="shared" si="36"/>
        <v>High CTR</v>
      </c>
      <c r="R282" t="str">
        <f t="shared" si="37"/>
        <v>High</v>
      </c>
      <c r="S282" t="str">
        <f t="shared" si="38"/>
        <v>Evening</v>
      </c>
      <c r="T282">
        <f t="shared" si="39"/>
        <v>3</v>
      </c>
    </row>
    <row r="283" spans="1:20" x14ac:dyDescent="0.3">
      <c r="A283" t="s">
        <v>857</v>
      </c>
      <c r="B283" t="s">
        <v>858</v>
      </c>
      <c r="C283" s="2">
        <v>1114</v>
      </c>
      <c r="D283" s="2">
        <v>455</v>
      </c>
      <c r="E283" s="2">
        <v>1430</v>
      </c>
      <c r="F283" s="18">
        <v>82.37</v>
      </c>
      <c r="G283">
        <v>90245</v>
      </c>
      <c r="H283">
        <v>55286</v>
      </c>
      <c r="I283" s="1">
        <v>7.67</v>
      </c>
      <c r="J283" t="s">
        <v>20</v>
      </c>
      <c r="K283" s="4" t="s">
        <v>1199</v>
      </c>
      <c r="L283" t="s">
        <v>859</v>
      </c>
      <c r="M283" s="1">
        <f t="shared" si="32"/>
        <v>0.8237000000000001</v>
      </c>
      <c r="N283" s="1">
        <f t="shared" si="33"/>
        <v>7.6700000000000004E-2</v>
      </c>
      <c r="O283" s="3">
        <f t="shared" si="34"/>
        <v>2999</v>
      </c>
      <c r="P283" s="1">
        <f t="shared" si="35"/>
        <v>5.4245197699236698E-2</v>
      </c>
      <c r="Q283" t="str">
        <f t="shared" si="36"/>
        <v>High CTR</v>
      </c>
      <c r="R283" t="str">
        <f t="shared" si="37"/>
        <v>High</v>
      </c>
      <c r="S283" t="str">
        <f t="shared" si="38"/>
        <v>Morning</v>
      </c>
      <c r="T283">
        <f t="shared" si="39"/>
        <v>3</v>
      </c>
    </row>
    <row r="284" spans="1:20" x14ac:dyDescent="0.3">
      <c r="A284" t="s">
        <v>860</v>
      </c>
      <c r="B284" t="s">
        <v>861</v>
      </c>
      <c r="C284" s="2">
        <v>2407</v>
      </c>
      <c r="D284" s="2">
        <v>104</v>
      </c>
      <c r="E284" s="2">
        <v>107</v>
      </c>
      <c r="F284" s="18">
        <v>60.82</v>
      </c>
      <c r="G284">
        <v>19105</v>
      </c>
      <c r="H284">
        <v>2185</v>
      </c>
      <c r="I284" s="1">
        <v>4.1100000000000003</v>
      </c>
      <c r="J284" t="s">
        <v>42</v>
      </c>
      <c r="K284" s="4" t="s">
        <v>1200</v>
      </c>
      <c r="L284" t="s">
        <v>862</v>
      </c>
      <c r="M284" s="1">
        <f t="shared" si="32"/>
        <v>0.60819999999999996</v>
      </c>
      <c r="N284" s="1">
        <f t="shared" si="33"/>
        <v>4.1100000000000005E-2</v>
      </c>
      <c r="O284" s="3">
        <f t="shared" si="34"/>
        <v>2618</v>
      </c>
      <c r="P284" s="1">
        <f t="shared" si="35"/>
        <v>1</v>
      </c>
      <c r="Q284" t="str">
        <f t="shared" si="36"/>
        <v>High CTR</v>
      </c>
      <c r="R284" t="str">
        <f t="shared" si="37"/>
        <v>High</v>
      </c>
      <c r="S284" t="str">
        <f t="shared" si="38"/>
        <v>Evening</v>
      </c>
      <c r="T284">
        <f t="shared" si="39"/>
        <v>3</v>
      </c>
    </row>
    <row r="285" spans="1:20" x14ac:dyDescent="0.3">
      <c r="A285" t="s">
        <v>863</v>
      </c>
      <c r="B285" t="s">
        <v>864</v>
      </c>
      <c r="C285" s="2">
        <v>6075</v>
      </c>
      <c r="D285" s="2">
        <v>3104</v>
      </c>
      <c r="E285" s="2">
        <v>96</v>
      </c>
      <c r="F285" s="18">
        <v>91.12</v>
      </c>
      <c r="G285">
        <v>74675</v>
      </c>
      <c r="H285">
        <v>79529</v>
      </c>
      <c r="I285" s="1">
        <v>0.53</v>
      </c>
      <c r="J285" t="s">
        <v>42</v>
      </c>
      <c r="K285" s="4" t="s">
        <v>1201</v>
      </c>
      <c r="L285" t="s">
        <v>865</v>
      </c>
      <c r="M285" s="1">
        <f t="shared" si="32"/>
        <v>0.91120000000000001</v>
      </c>
      <c r="N285" s="1">
        <f t="shared" si="33"/>
        <v>5.3E-3</v>
      </c>
      <c r="O285" s="3">
        <f t="shared" si="34"/>
        <v>9275</v>
      </c>
      <c r="P285" s="1">
        <f t="shared" si="35"/>
        <v>0.11662412453318916</v>
      </c>
      <c r="Q285" t="str">
        <f t="shared" si="36"/>
        <v>High CTR</v>
      </c>
      <c r="R285" t="str">
        <f t="shared" si="37"/>
        <v>High</v>
      </c>
      <c r="S285" t="str">
        <f t="shared" si="38"/>
        <v>Afternoon</v>
      </c>
      <c r="T285">
        <f t="shared" si="39"/>
        <v>3</v>
      </c>
    </row>
    <row r="286" spans="1:20" x14ac:dyDescent="0.3">
      <c r="A286" t="s">
        <v>866</v>
      </c>
      <c r="B286" t="s">
        <v>867</v>
      </c>
      <c r="C286" s="2">
        <v>6049</v>
      </c>
      <c r="D286" s="2">
        <v>3769</v>
      </c>
      <c r="E286" s="2">
        <v>989</v>
      </c>
      <c r="F286" s="18">
        <v>14.13</v>
      </c>
      <c r="G286">
        <v>45885</v>
      </c>
      <c r="H286">
        <v>45469</v>
      </c>
      <c r="I286" s="1">
        <v>0.81</v>
      </c>
      <c r="J286" t="s">
        <v>12</v>
      </c>
      <c r="K286" s="4" t="s">
        <v>1202</v>
      </c>
      <c r="L286" t="s">
        <v>868</v>
      </c>
      <c r="M286" s="1">
        <f t="shared" si="32"/>
        <v>0.14130000000000001</v>
      </c>
      <c r="N286" s="1">
        <f t="shared" si="33"/>
        <v>8.1000000000000013E-3</v>
      </c>
      <c r="O286" s="3">
        <f t="shared" si="34"/>
        <v>10807</v>
      </c>
      <c r="P286" s="1">
        <f t="shared" si="35"/>
        <v>0.23767841826299238</v>
      </c>
      <c r="Q286" t="str">
        <f t="shared" si="36"/>
        <v>High CTR</v>
      </c>
      <c r="R286" t="str">
        <f t="shared" si="37"/>
        <v>High</v>
      </c>
      <c r="S286" t="str">
        <f t="shared" si="38"/>
        <v>Morning</v>
      </c>
      <c r="T286">
        <f t="shared" si="39"/>
        <v>3</v>
      </c>
    </row>
    <row r="287" spans="1:20" x14ac:dyDescent="0.3">
      <c r="A287" t="s">
        <v>869</v>
      </c>
      <c r="B287" t="s">
        <v>870</v>
      </c>
      <c r="C287" s="2">
        <v>3169</v>
      </c>
      <c r="D287" s="2">
        <v>2964</v>
      </c>
      <c r="E287" s="2">
        <v>78</v>
      </c>
      <c r="F287" s="18">
        <v>63.68</v>
      </c>
      <c r="G287">
        <v>32246</v>
      </c>
      <c r="H287">
        <v>61261</v>
      </c>
      <c r="I287" s="1">
        <v>7.85</v>
      </c>
      <c r="J287" t="s">
        <v>16</v>
      </c>
      <c r="K287" s="4" t="s">
        <v>1203</v>
      </c>
      <c r="L287" t="s">
        <v>871</v>
      </c>
      <c r="M287" s="1">
        <f t="shared" si="32"/>
        <v>0.63680000000000003</v>
      </c>
      <c r="N287" s="1">
        <f t="shared" si="33"/>
        <v>7.85E-2</v>
      </c>
      <c r="O287" s="3">
        <f t="shared" si="34"/>
        <v>6211</v>
      </c>
      <c r="P287" s="1">
        <f t="shared" si="35"/>
        <v>0.10138587355740193</v>
      </c>
      <c r="Q287" t="str">
        <f t="shared" si="36"/>
        <v>High CTR</v>
      </c>
      <c r="R287" t="str">
        <f t="shared" si="37"/>
        <v>High</v>
      </c>
      <c r="S287" t="str">
        <f t="shared" si="38"/>
        <v>Afternoon</v>
      </c>
      <c r="T287">
        <f t="shared" si="39"/>
        <v>3</v>
      </c>
    </row>
    <row r="288" spans="1:20" x14ac:dyDescent="0.3">
      <c r="A288" t="s">
        <v>872</v>
      </c>
      <c r="B288" t="s">
        <v>873</v>
      </c>
      <c r="C288" s="2">
        <v>220</v>
      </c>
      <c r="D288" s="2">
        <v>3590</v>
      </c>
      <c r="E288" s="2">
        <v>1276</v>
      </c>
      <c r="F288" s="18">
        <v>96.26</v>
      </c>
      <c r="G288">
        <v>83475</v>
      </c>
      <c r="H288">
        <v>44117</v>
      </c>
      <c r="I288" s="1">
        <v>5.75</v>
      </c>
      <c r="J288" t="s">
        <v>20</v>
      </c>
      <c r="K288" s="4" t="s">
        <v>1204</v>
      </c>
      <c r="L288" t="s">
        <v>874</v>
      </c>
      <c r="M288" s="1">
        <f t="shared" si="32"/>
        <v>0.96260000000000001</v>
      </c>
      <c r="N288" s="1">
        <f t="shared" si="33"/>
        <v>5.7500000000000002E-2</v>
      </c>
      <c r="O288" s="3">
        <f t="shared" si="34"/>
        <v>5086</v>
      </c>
      <c r="P288" s="1">
        <f t="shared" si="35"/>
        <v>0.11528435750391006</v>
      </c>
      <c r="Q288" t="str">
        <f t="shared" si="36"/>
        <v>High CTR</v>
      </c>
      <c r="R288" t="str">
        <f t="shared" si="37"/>
        <v>High</v>
      </c>
      <c r="S288" t="str">
        <f t="shared" si="38"/>
        <v>Evening</v>
      </c>
      <c r="T288">
        <f t="shared" si="39"/>
        <v>3</v>
      </c>
    </row>
    <row r="289" spans="1:20" x14ac:dyDescent="0.3">
      <c r="A289" t="s">
        <v>875</v>
      </c>
      <c r="B289" t="s">
        <v>876</v>
      </c>
      <c r="C289" s="2">
        <v>3368</v>
      </c>
      <c r="D289" s="2">
        <v>1099</v>
      </c>
      <c r="E289" s="2">
        <v>1458</v>
      </c>
      <c r="F289" s="18">
        <v>83.24</v>
      </c>
      <c r="G289">
        <v>18400</v>
      </c>
      <c r="H289">
        <v>52414</v>
      </c>
      <c r="I289" s="1">
        <v>8.66</v>
      </c>
      <c r="J289" t="s">
        <v>42</v>
      </c>
      <c r="K289" s="4" t="s">
        <v>1205</v>
      </c>
      <c r="L289" t="s">
        <v>877</v>
      </c>
      <c r="M289" s="1">
        <f t="shared" si="32"/>
        <v>0.83239999999999992</v>
      </c>
      <c r="N289" s="1">
        <f t="shared" si="33"/>
        <v>8.6599999999999996E-2</v>
      </c>
      <c r="O289" s="3">
        <f t="shared" si="34"/>
        <v>5925</v>
      </c>
      <c r="P289" s="1">
        <f t="shared" si="35"/>
        <v>0.11304231693822261</v>
      </c>
      <c r="Q289" t="str">
        <f t="shared" si="36"/>
        <v>High CTR</v>
      </c>
      <c r="R289" t="str">
        <f t="shared" si="37"/>
        <v>High</v>
      </c>
      <c r="S289" t="str">
        <f t="shared" si="38"/>
        <v>Morning</v>
      </c>
      <c r="T289">
        <f t="shared" si="39"/>
        <v>3</v>
      </c>
    </row>
    <row r="290" spans="1:20" x14ac:dyDescent="0.3">
      <c r="A290" t="s">
        <v>878</v>
      </c>
      <c r="B290" t="s">
        <v>879</v>
      </c>
      <c r="C290" s="2">
        <v>7251</v>
      </c>
      <c r="D290" s="2">
        <v>4210</v>
      </c>
      <c r="E290" s="2">
        <v>766</v>
      </c>
      <c r="F290" s="18">
        <v>61.32</v>
      </c>
      <c r="G290">
        <v>48010</v>
      </c>
      <c r="H290">
        <v>1410</v>
      </c>
      <c r="I290" s="1">
        <v>2.72</v>
      </c>
      <c r="J290" t="s">
        <v>16</v>
      </c>
      <c r="K290" s="4" t="s">
        <v>1206</v>
      </c>
      <c r="L290" t="s">
        <v>880</v>
      </c>
      <c r="M290" s="1">
        <f t="shared" si="32"/>
        <v>0.61319999999999997</v>
      </c>
      <c r="N290" s="1">
        <f t="shared" si="33"/>
        <v>2.7200000000000002E-2</v>
      </c>
      <c r="O290" s="3">
        <f t="shared" si="34"/>
        <v>12227</v>
      </c>
      <c r="P290" s="1">
        <f t="shared" si="35"/>
        <v>1</v>
      </c>
      <c r="Q290" t="str">
        <f t="shared" si="36"/>
        <v>High CTR</v>
      </c>
      <c r="R290" t="str">
        <f t="shared" si="37"/>
        <v>High</v>
      </c>
      <c r="S290" t="str">
        <f t="shared" si="38"/>
        <v>Morning</v>
      </c>
      <c r="T290">
        <f t="shared" si="39"/>
        <v>3</v>
      </c>
    </row>
    <row r="291" spans="1:20" x14ac:dyDescent="0.3">
      <c r="A291" t="s">
        <v>881</v>
      </c>
      <c r="B291" t="s">
        <v>882</v>
      </c>
      <c r="C291" s="2">
        <v>6106</v>
      </c>
      <c r="D291" s="2">
        <v>3379</v>
      </c>
      <c r="E291" s="2">
        <v>233</v>
      </c>
      <c r="F291" s="18">
        <v>52.21</v>
      </c>
      <c r="G291">
        <v>49983</v>
      </c>
      <c r="H291">
        <v>69328</v>
      </c>
      <c r="I291" s="1">
        <v>3.23</v>
      </c>
      <c r="J291" t="s">
        <v>20</v>
      </c>
      <c r="K291" s="4" t="s">
        <v>1207</v>
      </c>
      <c r="L291" t="s">
        <v>883</v>
      </c>
      <c r="M291" s="1">
        <f t="shared" si="32"/>
        <v>0.52210000000000001</v>
      </c>
      <c r="N291" s="1">
        <f t="shared" si="33"/>
        <v>3.2300000000000002E-2</v>
      </c>
      <c r="O291" s="3">
        <f t="shared" si="34"/>
        <v>9718</v>
      </c>
      <c r="P291" s="1">
        <f t="shared" si="35"/>
        <v>0.14017424417262866</v>
      </c>
      <c r="Q291" t="str">
        <f t="shared" si="36"/>
        <v>High CTR</v>
      </c>
      <c r="R291" t="str">
        <f t="shared" si="37"/>
        <v>High</v>
      </c>
      <c r="S291" t="str">
        <f t="shared" si="38"/>
        <v>Night</v>
      </c>
      <c r="T291">
        <f t="shared" si="39"/>
        <v>3</v>
      </c>
    </row>
    <row r="292" spans="1:20" x14ac:dyDescent="0.3">
      <c r="A292" t="s">
        <v>884</v>
      </c>
      <c r="B292" t="s">
        <v>885</v>
      </c>
      <c r="C292" s="2">
        <v>6737</v>
      </c>
      <c r="D292" s="2">
        <v>352</v>
      </c>
      <c r="E292" s="2">
        <v>159</v>
      </c>
      <c r="F292" s="18">
        <v>97.22</v>
      </c>
      <c r="G292">
        <v>42428</v>
      </c>
      <c r="H292">
        <v>69770</v>
      </c>
      <c r="I292" s="1">
        <v>7.94</v>
      </c>
      <c r="J292" t="s">
        <v>20</v>
      </c>
      <c r="K292" s="4" t="s">
        <v>1208</v>
      </c>
      <c r="L292" t="s">
        <v>886</v>
      </c>
      <c r="M292" s="1">
        <f t="shared" si="32"/>
        <v>0.97219999999999995</v>
      </c>
      <c r="N292" s="1">
        <f t="shared" si="33"/>
        <v>7.9399999999999998E-2</v>
      </c>
      <c r="O292" s="3">
        <f t="shared" si="34"/>
        <v>7248</v>
      </c>
      <c r="P292" s="1">
        <f t="shared" si="35"/>
        <v>0.10388419091299986</v>
      </c>
      <c r="Q292" t="str">
        <f t="shared" si="36"/>
        <v>High CTR</v>
      </c>
      <c r="R292" t="str">
        <f t="shared" si="37"/>
        <v>High</v>
      </c>
      <c r="S292" t="str">
        <f t="shared" si="38"/>
        <v>Night</v>
      </c>
      <c r="T292">
        <f t="shared" si="39"/>
        <v>3</v>
      </c>
    </row>
    <row r="293" spans="1:20" x14ac:dyDescent="0.3">
      <c r="A293" t="s">
        <v>887</v>
      </c>
      <c r="B293" t="s">
        <v>888</v>
      </c>
      <c r="C293" s="2">
        <v>2258</v>
      </c>
      <c r="D293" s="2">
        <v>4556</v>
      </c>
      <c r="E293" s="2">
        <v>1112</v>
      </c>
      <c r="F293" s="18">
        <v>76.87</v>
      </c>
      <c r="G293">
        <v>35105</v>
      </c>
      <c r="H293">
        <v>30815</v>
      </c>
      <c r="I293" s="1">
        <v>0.27</v>
      </c>
      <c r="J293" t="s">
        <v>16</v>
      </c>
      <c r="K293" s="4" t="s">
        <v>1209</v>
      </c>
      <c r="L293" t="s">
        <v>889</v>
      </c>
      <c r="M293" s="1">
        <f t="shared" si="32"/>
        <v>0.76870000000000005</v>
      </c>
      <c r="N293" s="1">
        <f t="shared" si="33"/>
        <v>2.7000000000000001E-3</v>
      </c>
      <c r="O293" s="3">
        <f t="shared" si="34"/>
        <v>7926</v>
      </c>
      <c r="P293" s="1">
        <f t="shared" si="35"/>
        <v>0.25721239656011685</v>
      </c>
      <c r="Q293" t="str">
        <f t="shared" si="36"/>
        <v>High CTR</v>
      </c>
      <c r="R293" t="str">
        <f t="shared" si="37"/>
        <v>High</v>
      </c>
      <c r="S293" t="str">
        <f t="shared" si="38"/>
        <v>Morning</v>
      </c>
      <c r="T293">
        <f t="shared" si="39"/>
        <v>3</v>
      </c>
    </row>
    <row r="294" spans="1:20" x14ac:dyDescent="0.3">
      <c r="A294" t="s">
        <v>890</v>
      </c>
      <c r="B294" t="s">
        <v>891</v>
      </c>
      <c r="C294" s="2">
        <v>7181</v>
      </c>
      <c r="D294" s="2">
        <v>3071</v>
      </c>
      <c r="E294" s="2">
        <v>523</v>
      </c>
      <c r="F294" s="18">
        <v>98.25</v>
      </c>
      <c r="G294">
        <v>21517</v>
      </c>
      <c r="H294">
        <v>658</v>
      </c>
      <c r="I294" s="1">
        <v>0.2</v>
      </c>
      <c r="J294" t="s">
        <v>20</v>
      </c>
      <c r="K294" s="4" t="s">
        <v>1210</v>
      </c>
      <c r="L294" t="s">
        <v>892</v>
      </c>
      <c r="M294" s="1">
        <f t="shared" si="32"/>
        <v>0.98250000000000004</v>
      </c>
      <c r="N294" s="1">
        <f t="shared" si="33"/>
        <v>2E-3</v>
      </c>
      <c r="O294" s="3">
        <f t="shared" si="34"/>
        <v>10775</v>
      </c>
      <c r="P294" s="1">
        <f t="shared" si="35"/>
        <v>1</v>
      </c>
      <c r="Q294" t="str">
        <f t="shared" si="36"/>
        <v>High CTR</v>
      </c>
      <c r="R294" t="str">
        <f t="shared" si="37"/>
        <v>High</v>
      </c>
      <c r="S294" t="str">
        <f t="shared" si="38"/>
        <v>Morning</v>
      </c>
      <c r="T294">
        <f t="shared" si="39"/>
        <v>3</v>
      </c>
    </row>
    <row r="295" spans="1:20" x14ac:dyDescent="0.3">
      <c r="A295" t="s">
        <v>893</v>
      </c>
      <c r="B295" t="s">
        <v>894</v>
      </c>
      <c r="C295" s="2">
        <v>4245</v>
      </c>
      <c r="D295" s="2">
        <v>2244</v>
      </c>
      <c r="E295" s="2">
        <v>776</v>
      </c>
      <c r="F295" s="18">
        <v>19.05</v>
      </c>
      <c r="G295">
        <v>53640</v>
      </c>
      <c r="H295">
        <v>60479</v>
      </c>
      <c r="I295" s="1">
        <v>5.4</v>
      </c>
      <c r="J295" t="s">
        <v>20</v>
      </c>
      <c r="K295" s="4" t="s">
        <v>1211</v>
      </c>
      <c r="L295" t="s">
        <v>895</v>
      </c>
      <c r="M295" s="1">
        <f t="shared" si="32"/>
        <v>0.1905</v>
      </c>
      <c r="N295" s="1">
        <f t="shared" si="33"/>
        <v>5.4000000000000006E-2</v>
      </c>
      <c r="O295" s="3">
        <f t="shared" si="34"/>
        <v>7265</v>
      </c>
      <c r="P295" s="1">
        <f t="shared" si="35"/>
        <v>0.12012434068023611</v>
      </c>
      <c r="Q295" t="str">
        <f t="shared" si="36"/>
        <v>High CTR</v>
      </c>
      <c r="R295" t="str">
        <f t="shared" si="37"/>
        <v>High</v>
      </c>
      <c r="S295" t="str">
        <f t="shared" si="38"/>
        <v>Morning</v>
      </c>
      <c r="T295">
        <f t="shared" si="39"/>
        <v>3</v>
      </c>
    </row>
    <row r="296" spans="1:20" x14ac:dyDescent="0.3">
      <c r="A296" t="s">
        <v>896</v>
      </c>
      <c r="B296" t="s">
        <v>897</v>
      </c>
      <c r="C296" s="2">
        <v>1502</v>
      </c>
      <c r="D296" s="2">
        <v>646</v>
      </c>
      <c r="E296" s="2">
        <v>687</v>
      </c>
      <c r="F296" s="18">
        <v>53.14</v>
      </c>
      <c r="G296">
        <v>60281</v>
      </c>
      <c r="H296">
        <v>80023</v>
      </c>
      <c r="I296" s="1">
        <v>5.96</v>
      </c>
      <c r="J296" t="s">
        <v>20</v>
      </c>
      <c r="K296" s="4" t="s">
        <v>1212</v>
      </c>
      <c r="L296" t="s">
        <v>898</v>
      </c>
      <c r="M296" s="1">
        <f t="shared" si="32"/>
        <v>0.53139999999999998</v>
      </c>
      <c r="N296" s="1">
        <f t="shared" si="33"/>
        <v>5.96E-2</v>
      </c>
      <c r="O296" s="3">
        <f t="shared" si="34"/>
        <v>2835</v>
      </c>
      <c r="P296" s="1">
        <f t="shared" si="35"/>
        <v>3.5427314647038979E-2</v>
      </c>
      <c r="Q296" t="str">
        <f t="shared" si="36"/>
        <v>High CTR</v>
      </c>
      <c r="R296" t="str">
        <f t="shared" si="37"/>
        <v>High</v>
      </c>
      <c r="S296" t="str">
        <f t="shared" si="38"/>
        <v>Morning</v>
      </c>
      <c r="T296">
        <f t="shared" si="39"/>
        <v>3</v>
      </c>
    </row>
    <row r="297" spans="1:20" x14ac:dyDescent="0.3">
      <c r="A297" t="s">
        <v>899</v>
      </c>
      <c r="B297" t="s">
        <v>900</v>
      </c>
      <c r="C297" s="2">
        <v>8362</v>
      </c>
      <c r="D297" s="2">
        <v>1864</v>
      </c>
      <c r="E297" s="2">
        <v>1049</v>
      </c>
      <c r="F297" s="18">
        <v>52.37</v>
      </c>
      <c r="G297">
        <v>26419</v>
      </c>
      <c r="H297">
        <v>96775</v>
      </c>
      <c r="I297" s="1">
        <v>6.44</v>
      </c>
      <c r="J297" t="s">
        <v>16</v>
      </c>
      <c r="K297" s="4" t="s">
        <v>1213</v>
      </c>
      <c r="L297" t="s">
        <v>901</v>
      </c>
      <c r="M297" s="1">
        <f t="shared" si="32"/>
        <v>0.52369999999999994</v>
      </c>
      <c r="N297" s="1">
        <f t="shared" si="33"/>
        <v>6.4399999999999999E-2</v>
      </c>
      <c r="O297" s="3">
        <f t="shared" si="34"/>
        <v>11275</v>
      </c>
      <c r="P297" s="1">
        <f t="shared" si="35"/>
        <v>0.11650736243864634</v>
      </c>
      <c r="Q297" t="str">
        <f t="shared" si="36"/>
        <v>High CTR</v>
      </c>
      <c r="R297" t="str">
        <f t="shared" si="37"/>
        <v>High</v>
      </c>
      <c r="S297" t="str">
        <f t="shared" si="38"/>
        <v>Morning</v>
      </c>
      <c r="T297">
        <f t="shared" si="39"/>
        <v>3</v>
      </c>
    </row>
    <row r="298" spans="1:20" x14ac:dyDescent="0.3">
      <c r="A298" t="s">
        <v>902</v>
      </c>
      <c r="B298" t="s">
        <v>903</v>
      </c>
      <c r="C298" s="2">
        <v>9538</v>
      </c>
      <c r="D298" s="2">
        <v>3828</v>
      </c>
      <c r="E298" s="2">
        <v>1928</v>
      </c>
      <c r="F298" s="18">
        <v>62.99</v>
      </c>
      <c r="G298">
        <v>26815</v>
      </c>
      <c r="H298">
        <v>25483</v>
      </c>
      <c r="I298" s="1">
        <v>0.91</v>
      </c>
      <c r="J298" t="s">
        <v>42</v>
      </c>
      <c r="K298" s="4" t="s">
        <v>1214</v>
      </c>
      <c r="L298" t="s">
        <v>904</v>
      </c>
      <c r="M298" s="1">
        <f t="shared" si="32"/>
        <v>0.62990000000000002</v>
      </c>
      <c r="N298" s="1">
        <f t="shared" si="33"/>
        <v>9.1000000000000004E-3</v>
      </c>
      <c r="O298" s="3">
        <f t="shared" si="34"/>
        <v>15294</v>
      </c>
      <c r="P298" s="1">
        <f t="shared" si="35"/>
        <v>0.60016481575952596</v>
      </c>
      <c r="Q298" t="str">
        <f t="shared" si="36"/>
        <v>High CTR</v>
      </c>
      <c r="R298" t="str">
        <f t="shared" si="37"/>
        <v>High</v>
      </c>
      <c r="S298" t="str">
        <f t="shared" si="38"/>
        <v>Morning</v>
      </c>
      <c r="T298">
        <f t="shared" si="39"/>
        <v>3</v>
      </c>
    </row>
    <row r="299" spans="1:20" x14ac:dyDescent="0.3">
      <c r="A299" t="s">
        <v>905</v>
      </c>
      <c r="B299" t="s">
        <v>906</v>
      </c>
      <c r="C299" s="2">
        <v>7167</v>
      </c>
      <c r="D299" s="2">
        <v>2381</v>
      </c>
      <c r="E299" s="2">
        <v>1657</v>
      </c>
      <c r="F299" s="18">
        <v>5.38</v>
      </c>
      <c r="G299">
        <v>50136</v>
      </c>
      <c r="H299">
        <v>49867</v>
      </c>
      <c r="I299" s="1">
        <v>4.93</v>
      </c>
      <c r="J299" t="s">
        <v>12</v>
      </c>
      <c r="K299" s="4" t="s">
        <v>1215</v>
      </c>
      <c r="L299" t="s">
        <v>907</v>
      </c>
      <c r="M299" s="1">
        <f t="shared" si="32"/>
        <v>5.3800000000000001E-2</v>
      </c>
      <c r="N299" s="1">
        <f t="shared" si="33"/>
        <v>4.9299999999999997E-2</v>
      </c>
      <c r="O299" s="3">
        <f t="shared" si="34"/>
        <v>11205</v>
      </c>
      <c r="P299" s="1">
        <f t="shared" si="35"/>
        <v>0.2246976958710169</v>
      </c>
      <c r="Q299" t="str">
        <f t="shared" si="36"/>
        <v>High CTR</v>
      </c>
      <c r="R299" t="str">
        <f t="shared" si="37"/>
        <v>High</v>
      </c>
      <c r="S299" t="str">
        <f t="shared" si="38"/>
        <v>Morning</v>
      </c>
      <c r="T299">
        <f t="shared" si="39"/>
        <v>3</v>
      </c>
    </row>
    <row r="300" spans="1:20" x14ac:dyDescent="0.3">
      <c r="A300" t="s">
        <v>908</v>
      </c>
      <c r="B300" t="s">
        <v>909</v>
      </c>
      <c r="C300" s="2">
        <v>2740</v>
      </c>
      <c r="D300" s="2">
        <v>2534</v>
      </c>
      <c r="E300" s="2">
        <v>786</v>
      </c>
      <c r="F300" s="18">
        <v>17.02</v>
      </c>
      <c r="G300">
        <v>49345</v>
      </c>
      <c r="H300">
        <v>43400</v>
      </c>
      <c r="I300" s="1">
        <v>2.64</v>
      </c>
      <c r="J300" t="s">
        <v>42</v>
      </c>
      <c r="K300" s="4" t="s">
        <v>1216</v>
      </c>
      <c r="L300" t="s">
        <v>910</v>
      </c>
      <c r="M300" s="1">
        <f t="shared" si="32"/>
        <v>0.17019999999999999</v>
      </c>
      <c r="N300" s="1">
        <f t="shared" si="33"/>
        <v>2.64E-2</v>
      </c>
      <c r="O300" s="3">
        <f t="shared" si="34"/>
        <v>6060</v>
      </c>
      <c r="P300" s="1">
        <f t="shared" si="35"/>
        <v>0.13963133640552997</v>
      </c>
      <c r="Q300" t="str">
        <f t="shared" si="36"/>
        <v>High CTR</v>
      </c>
      <c r="R300" t="str">
        <f t="shared" si="37"/>
        <v>High</v>
      </c>
      <c r="S300" t="str">
        <f t="shared" si="38"/>
        <v>Morning</v>
      </c>
      <c r="T300">
        <f t="shared" si="39"/>
        <v>3</v>
      </c>
    </row>
    <row r="301" spans="1:20" x14ac:dyDescent="0.3">
      <c r="A301" t="s">
        <v>911</v>
      </c>
      <c r="B301" t="s">
        <v>912</v>
      </c>
      <c r="C301" s="2">
        <v>5084</v>
      </c>
      <c r="D301" s="2">
        <v>1819</v>
      </c>
      <c r="E301" s="2">
        <v>1264</v>
      </c>
      <c r="F301" s="18">
        <v>46.19</v>
      </c>
      <c r="G301">
        <v>7276</v>
      </c>
      <c r="H301">
        <v>8472</v>
      </c>
      <c r="I301" s="1">
        <v>6.94</v>
      </c>
      <c r="J301" t="s">
        <v>42</v>
      </c>
      <c r="K301" s="4" t="s">
        <v>1217</v>
      </c>
      <c r="L301" t="s">
        <v>913</v>
      </c>
      <c r="M301" s="1">
        <f t="shared" si="32"/>
        <v>0.46189999999999998</v>
      </c>
      <c r="N301" s="1">
        <f t="shared" si="33"/>
        <v>6.9400000000000003E-2</v>
      </c>
      <c r="O301" s="3">
        <f t="shared" si="34"/>
        <v>8167</v>
      </c>
      <c r="P301" s="1">
        <f t="shared" si="35"/>
        <v>0.96399905571293676</v>
      </c>
      <c r="Q301" t="str">
        <f t="shared" si="36"/>
        <v>High CTR</v>
      </c>
      <c r="R301" t="str">
        <f t="shared" si="37"/>
        <v>High</v>
      </c>
      <c r="S301" t="str">
        <f t="shared" si="38"/>
        <v>Morning</v>
      </c>
      <c r="T301">
        <f t="shared" si="39"/>
        <v>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4BCF2-4BF0-4275-A178-953E4C5A1278}">
  <dimension ref="A1:I17"/>
  <sheetViews>
    <sheetView topLeftCell="D11" zoomScale="107" workbookViewId="0">
      <selection activeCell="E29" sqref="E29"/>
    </sheetView>
  </sheetViews>
  <sheetFormatPr defaultRowHeight="14.4" x14ac:dyDescent="0.3"/>
  <cols>
    <col min="1" max="1" width="36.88671875" bestFit="1" customWidth="1"/>
    <col min="2" max="3" width="23.44140625" bestFit="1" customWidth="1"/>
    <col min="4" max="4" width="7.77734375" customWidth="1"/>
    <col min="5" max="5" width="15.33203125" bestFit="1" customWidth="1"/>
    <col min="6" max="6" width="32.109375" bestFit="1" customWidth="1"/>
    <col min="7" max="7" width="19" customWidth="1"/>
    <col min="9" max="9" width="8.88671875" customWidth="1"/>
  </cols>
  <sheetData>
    <row r="1" spans="1:9" x14ac:dyDescent="0.3">
      <c r="A1" s="28" t="s">
        <v>1227</v>
      </c>
      <c r="B1" s="28"/>
      <c r="C1" s="11" t="s">
        <v>1228</v>
      </c>
      <c r="E1" s="28" t="s">
        <v>1229</v>
      </c>
      <c r="F1" s="28"/>
      <c r="H1" s="14" t="s">
        <v>1223</v>
      </c>
      <c r="I1" t="s">
        <v>1822</v>
      </c>
    </row>
    <row r="2" spans="1:9" x14ac:dyDescent="0.3">
      <c r="H2" s="15" t="s">
        <v>1760</v>
      </c>
      <c r="I2">
        <v>15657</v>
      </c>
    </row>
    <row r="3" spans="1:9" x14ac:dyDescent="0.3">
      <c r="A3" s="14" t="s">
        <v>1223</v>
      </c>
      <c r="B3" t="s">
        <v>1226</v>
      </c>
      <c r="C3" t="s">
        <v>1225</v>
      </c>
      <c r="E3" s="14" t="s">
        <v>1223</v>
      </c>
      <c r="F3" t="s">
        <v>1226</v>
      </c>
      <c r="H3" s="15" t="s">
        <v>1759</v>
      </c>
      <c r="I3">
        <v>15657</v>
      </c>
    </row>
    <row r="4" spans="1:9" x14ac:dyDescent="0.3">
      <c r="A4" s="15" t="s">
        <v>20</v>
      </c>
      <c r="B4" s="16">
        <v>0.1905</v>
      </c>
      <c r="C4" s="24">
        <v>7265</v>
      </c>
      <c r="E4" s="15" t="s">
        <v>1231</v>
      </c>
      <c r="F4" s="16">
        <v>0.1905</v>
      </c>
      <c r="H4" s="15" t="s">
        <v>1819</v>
      </c>
      <c r="I4">
        <v>15294</v>
      </c>
    </row>
    <row r="5" spans="1:9" x14ac:dyDescent="0.3">
      <c r="A5" s="15" t="s">
        <v>1224</v>
      </c>
      <c r="B5" s="16">
        <v>0.1905</v>
      </c>
      <c r="C5" s="24">
        <v>7265</v>
      </c>
      <c r="E5" s="15" t="s">
        <v>1224</v>
      </c>
      <c r="F5" s="16">
        <v>0.1905</v>
      </c>
      <c r="H5" s="15" t="s">
        <v>1735</v>
      </c>
      <c r="I5">
        <v>15201</v>
      </c>
    </row>
    <row r="6" spans="1:9" x14ac:dyDescent="0.3">
      <c r="H6" s="15" t="s">
        <v>1665</v>
      </c>
      <c r="I6">
        <v>14907</v>
      </c>
    </row>
    <row r="7" spans="1:9" x14ac:dyDescent="0.3">
      <c r="H7" s="15" t="s">
        <v>1375</v>
      </c>
      <c r="I7">
        <v>14683</v>
      </c>
    </row>
    <row r="8" spans="1:9" x14ac:dyDescent="0.3">
      <c r="H8" s="15" t="s">
        <v>1377</v>
      </c>
      <c r="I8">
        <v>14683</v>
      </c>
    </row>
    <row r="9" spans="1:9" x14ac:dyDescent="0.3">
      <c r="H9" s="15" t="s">
        <v>1713</v>
      </c>
      <c r="I9">
        <v>14525</v>
      </c>
    </row>
    <row r="10" spans="1:9" x14ac:dyDescent="0.3">
      <c r="H10" s="15" t="s">
        <v>1712</v>
      </c>
      <c r="I10">
        <v>14525</v>
      </c>
    </row>
    <row r="11" spans="1:9" x14ac:dyDescent="0.3">
      <c r="A11" s="20" t="s">
        <v>1234</v>
      </c>
      <c r="E11" s="19" t="s">
        <v>1235</v>
      </c>
      <c r="H11" s="15" t="s">
        <v>1779</v>
      </c>
      <c r="I11">
        <v>14468</v>
      </c>
    </row>
    <row r="12" spans="1:9" x14ac:dyDescent="0.3">
      <c r="H12" s="15" t="s">
        <v>1778</v>
      </c>
      <c r="I12">
        <v>14468</v>
      </c>
    </row>
    <row r="13" spans="1:9" x14ac:dyDescent="0.3">
      <c r="A13" s="14" t="s">
        <v>1223</v>
      </c>
      <c r="B13" t="s">
        <v>1225</v>
      </c>
      <c r="E13" s="14" t="s">
        <v>1223</v>
      </c>
      <c r="F13" t="s">
        <v>1226</v>
      </c>
      <c r="H13" s="15" t="s">
        <v>1224</v>
      </c>
      <c r="I13">
        <v>14915.272727272728</v>
      </c>
    </row>
    <row r="14" spans="1:9" x14ac:dyDescent="0.3">
      <c r="A14" s="15" t="s">
        <v>893</v>
      </c>
      <c r="B14" s="2">
        <v>7265</v>
      </c>
      <c r="C14" s="21"/>
      <c r="E14" s="15" t="s">
        <v>1211</v>
      </c>
      <c r="F14" s="16">
        <v>0.1905</v>
      </c>
    </row>
    <row r="15" spans="1:9" x14ac:dyDescent="0.3">
      <c r="A15" s="15" t="s">
        <v>1224</v>
      </c>
      <c r="B15" s="2">
        <v>7265</v>
      </c>
      <c r="C15" s="21"/>
      <c r="E15" s="15" t="s">
        <v>1224</v>
      </c>
      <c r="F15" s="16">
        <v>0.1905</v>
      </c>
    </row>
    <row r="16" spans="1:9" x14ac:dyDescent="0.3">
      <c r="C16" s="21"/>
    </row>
    <row r="17" spans="3:3" x14ac:dyDescent="0.3">
      <c r="C17" s="21"/>
    </row>
  </sheetData>
  <mergeCells count="2">
    <mergeCell ref="A1:B1"/>
    <mergeCell ref="E1:F1"/>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CDDD7-90C1-4E25-8588-8C553731949E}">
  <dimension ref="A1:T901"/>
  <sheetViews>
    <sheetView topLeftCell="L1" workbookViewId="0">
      <selection activeCell="T2" sqref="T2"/>
    </sheetView>
  </sheetViews>
  <sheetFormatPr defaultRowHeight="14.4" x14ac:dyDescent="0.3"/>
  <cols>
    <col min="1" max="2" width="36.33203125" bestFit="1" customWidth="1"/>
    <col min="3" max="3" width="6.88671875" bestFit="1" customWidth="1"/>
    <col min="4" max="4" width="8.5546875" bestFit="1" customWidth="1"/>
    <col min="5" max="5" width="12.109375" bestFit="1" customWidth="1"/>
    <col min="6" max="6" width="18.21875" bestFit="1" customWidth="1"/>
    <col min="7" max="7" width="13.109375" bestFit="1" customWidth="1"/>
    <col min="8" max="8" width="7.88671875" bestFit="1" customWidth="1"/>
    <col min="9" max="9" width="5.44140625" bestFit="1" customWidth="1"/>
    <col min="10" max="10" width="11.6640625" bestFit="1" customWidth="1"/>
    <col min="11" max="11" width="12.77734375" bestFit="1" customWidth="1"/>
    <col min="12" max="12" width="14.21875" bestFit="1" customWidth="1"/>
    <col min="13" max="13" width="23.88671875" bestFit="1" customWidth="1"/>
    <col min="14" max="14" width="10.88671875" bestFit="1" customWidth="1"/>
    <col min="15" max="15" width="18.5546875" bestFit="1" customWidth="1"/>
    <col min="16" max="16" width="18.109375" bestFit="1" customWidth="1"/>
    <col min="17" max="17" width="13.21875" bestFit="1" customWidth="1"/>
    <col min="18" max="18" width="18.6640625" bestFit="1" customWidth="1"/>
    <col min="19" max="19" width="20.21875" bestFit="1" customWidth="1"/>
    <col min="20" max="20" width="13.88671875" bestFit="1" customWidth="1"/>
  </cols>
  <sheetData>
    <row r="1" spans="1:20" x14ac:dyDescent="0.3">
      <c r="A1" t="s">
        <v>0</v>
      </c>
      <c r="B1" t="s">
        <v>1</v>
      </c>
      <c r="C1" t="s">
        <v>2</v>
      </c>
      <c r="D1" t="s">
        <v>3</v>
      </c>
      <c r="E1" t="s">
        <v>4</v>
      </c>
      <c r="F1" t="s">
        <v>5</v>
      </c>
      <c r="G1" t="s">
        <v>6</v>
      </c>
      <c r="H1" t="s">
        <v>7</v>
      </c>
      <c r="I1" t="s">
        <v>915</v>
      </c>
      <c r="J1" t="s">
        <v>8</v>
      </c>
      <c r="K1" t="s">
        <v>914</v>
      </c>
      <c r="L1" t="s">
        <v>9</v>
      </c>
      <c r="M1" t="s">
        <v>916</v>
      </c>
      <c r="N1" t="s">
        <v>917</v>
      </c>
      <c r="O1" t="s">
        <v>1218</v>
      </c>
      <c r="P1" t="s">
        <v>1219</v>
      </c>
      <c r="Q1" t="s">
        <v>1220</v>
      </c>
      <c r="R1" t="s">
        <v>1221</v>
      </c>
      <c r="S1" t="s">
        <v>1222</v>
      </c>
      <c r="T1" t="s">
        <v>1236</v>
      </c>
    </row>
    <row r="2" spans="1:20" x14ac:dyDescent="0.3">
      <c r="A2" t="s">
        <v>10</v>
      </c>
      <c r="B2" t="s">
        <v>11</v>
      </c>
      <c r="C2">
        <v>4724</v>
      </c>
      <c r="D2">
        <v>2683</v>
      </c>
      <c r="E2">
        <v>1452</v>
      </c>
      <c r="F2">
        <v>83.04</v>
      </c>
      <c r="G2">
        <v>67176</v>
      </c>
      <c r="H2">
        <v>52636</v>
      </c>
      <c r="I2">
        <v>6.32</v>
      </c>
      <c r="J2" t="s">
        <v>12</v>
      </c>
      <c r="K2" t="s">
        <v>1237</v>
      </c>
      <c r="L2" s="25">
        <v>0.64726851851851852</v>
      </c>
      <c r="M2">
        <v>0.83040000000000003</v>
      </c>
      <c r="N2">
        <v>6.3200000000000006E-2</v>
      </c>
      <c r="O2">
        <v>8859</v>
      </c>
      <c r="P2">
        <v>0.16830686222357322</v>
      </c>
      <c r="Q2" t="s">
        <v>1238</v>
      </c>
      <c r="R2" t="s">
        <v>1239</v>
      </c>
      <c r="S2" t="s">
        <v>1230</v>
      </c>
      <c r="T2">
        <v>3</v>
      </c>
    </row>
    <row r="3" spans="1:20" x14ac:dyDescent="0.3">
      <c r="A3" t="s">
        <v>10</v>
      </c>
      <c r="B3" t="s">
        <v>11</v>
      </c>
      <c r="C3">
        <v>4724</v>
      </c>
      <c r="D3">
        <v>2683</v>
      </c>
      <c r="E3">
        <v>1452</v>
      </c>
      <c r="F3">
        <v>83.04</v>
      </c>
      <c r="G3">
        <v>67176</v>
      </c>
      <c r="H3">
        <v>52636</v>
      </c>
      <c r="I3">
        <v>6.32</v>
      </c>
      <c r="J3" t="s">
        <v>12</v>
      </c>
      <c r="K3" t="s">
        <v>1240</v>
      </c>
      <c r="L3" s="25">
        <v>0.64726851851851852</v>
      </c>
      <c r="M3">
        <v>0.83040000000000003</v>
      </c>
      <c r="N3">
        <v>6.3200000000000006E-2</v>
      </c>
      <c r="O3">
        <v>8859</v>
      </c>
      <c r="P3">
        <v>0.16830686222357322</v>
      </c>
      <c r="Q3" t="s">
        <v>1238</v>
      </c>
      <c r="R3" t="s">
        <v>1239</v>
      </c>
      <c r="S3" t="s">
        <v>1230</v>
      </c>
      <c r="T3">
        <v>3</v>
      </c>
    </row>
    <row r="4" spans="1:20" x14ac:dyDescent="0.3">
      <c r="A4" t="s">
        <v>10</v>
      </c>
      <c r="B4" t="s">
        <v>11</v>
      </c>
      <c r="C4">
        <v>4724</v>
      </c>
      <c r="D4">
        <v>2683</v>
      </c>
      <c r="E4">
        <v>1452</v>
      </c>
      <c r="F4">
        <v>83.04</v>
      </c>
      <c r="G4">
        <v>67176</v>
      </c>
      <c r="H4">
        <v>52636</v>
      </c>
      <c r="I4">
        <v>6.32</v>
      </c>
      <c r="J4" t="s">
        <v>12</v>
      </c>
      <c r="K4" t="s">
        <v>1241</v>
      </c>
      <c r="L4" s="25">
        <v>0.64726851851851852</v>
      </c>
      <c r="M4">
        <v>0.83040000000000003</v>
      </c>
      <c r="N4">
        <v>6.3200000000000006E-2</v>
      </c>
      <c r="O4">
        <v>8859</v>
      </c>
      <c r="P4">
        <v>0.16830686222357322</v>
      </c>
      <c r="Q4" t="s">
        <v>1238</v>
      </c>
      <c r="R4" t="s">
        <v>1239</v>
      </c>
      <c r="S4" t="s">
        <v>1230</v>
      </c>
      <c r="T4">
        <v>3</v>
      </c>
    </row>
    <row r="5" spans="1:20" x14ac:dyDescent="0.3">
      <c r="A5" t="s">
        <v>14</v>
      </c>
      <c r="B5" t="s">
        <v>15</v>
      </c>
      <c r="C5">
        <v>9633</v>
      </c>
      <c r="D5">
        <v>2484</v>
      </c>
      <c r="E5">
        <v>200</v>
      </c>
      <c r="F5">
        <v>3.51</v>
      </c>
      <c r="G5">
        <v>12575</v>
      </c>
      <c r="H5">
        <v>18307</v>
      </c>
      <c r="I5">
        <v>0.91</v>
      </c>
      <c r="J5" t="s">
        <v>16</v>
      </c>
      <c r="K5" t="s">
        <v>1242</v>
      </c>
      <c r="L5" s="25">
        <v>0.6106597222222222</v>
      </c>
      <c r="M5">
        <v>3.5099999999999999E-2</v>
      </c>
      <c r="N5">
        <v>9.1000000000000004E-3</v>
      </c>
      <c r="O5">
        <v>12317</v>
      </c>
      <c r="P5">
        <v>0.67280275304528325</v>
      </c>
      <c r="Q5" t="s">
        <v>1238</v>
      </c>
      <c r="R5" t="s">
        <v>1239</v>
      </c>
      <c r="S5" t="s">
        <v>1230</v>
      </c>
      <c r="T5">
        <v>3</v>
      </c>
    </row>
    <row r="6" spans="1:20" x14ac:dyDescent="0.3">
      <c r="A6" t="s">
        <v>14</v>
      </c>
      <c r="B6" t="s">
        <v>15</v>
      </c>
      <c r="C6">
        <v>9633</v>
      </c>
      <c r="D6">
        <v>2484</v>
      </c>
      <c r="E6">
        <v>200</v>
      </c>
      <c r="F6">
        <v>3.51</v>
      </c>
      <c r="G6">
        <v>12575</v>
      </c>
      <c r="H6">
        <v>18307</v>
      </c>
      <c r="I6">
        <v>0.91</v>
      </c>
      <c r="J6" t="s">
        <v>16</v>
      </c>
      <c r="K6" t="s">
        <v>1243</v>
      </c>
      <c r="L6" s="25">
        <v>0.6106597222222222</v>
      </c>
      <c r="M6">
        <v>3.5099999999999999E-2</v>
      </c>
      <c r="N6">
        <v>9.1000000000000004E-3</v>
      </c>
      <c r="O6">
        <v>12317</v>
      </c>
      <c r="P6">
        <v>0.67280275304528325</v>
      </c>
      <c r="Q6" t="s">
        <v>1238</v>
      </c>
      <c r="R6" t="s">
        <v>1239</v>
      </c>
      <c r="S6" t="s">
        <v>1230</v>
      </c>
      <c r="T6">
        <v>3</v>
      </c>
    </row>
    <row r="7" spans="1:20" x14ac:dyDescent="0.3">
      <c r="A7" t="s">
        <v>14</v>
      </c>
      <c r="B7" t="s">
        <v>15</v>
      </c>
      <c r="C7">
        <v>9633</v>
      </c>
      <c r="D7">
        <v>2484</v>
      </c>
      <c r="E7">
        <v>200</v>
      </c>
      <c r="F7">
        <v>3.51</v>
      </c>
      <c r="G7">
        <v>12575</v>
      </c>
      <c r="H7">
        <v>18307</v>
      </c>
      <c r="I7">
        <v>0.91</v>
      </c>
      <c r="J7" t="s">
        <v>16</v>
      </c>
      <c r="K7" t="s">
        <v>1244</v>
      </c>
      <c r="L7" s="25">
        <v>0.6106597222222222</v>
      </c>
      <c r="M7">
        <v>3.5099999999999999E-2</v>
      </c>
      <c r="N7">
        <v>9.1000000000000004E-3</v>
      </c>
      <c r="O7">
        <v>12317</v>
      </c>
      <c r="P7">
        <v>0.67280275304528325</v>
      </c>
      <c r="Q7" t="s">
        <v>1238</v>
      </c>
      <c r="R7" t="s">
        <v>1239</v>
      </c>
      <c r="S7" t="s">
        <v>1230</v>
      </c>
      <c r="T7">
        <v>3</v>
      </c>
    </row>
    <row r="8" spans="1:20" x14ac:dyDescent="0.3">
      <c r="A8" t="s">
        <v>18</v>
      </c>
      <c r="B8" t="s">
        <v>19</v>
      </c>
      <c r="C8">
        <v>9213</v>
      </c>
      <c r="D8">
        <v>1029</v>
      </c>
      <c r="E8">
        <v>1366</v>
      </c>
      <c r="F8">
        <v>80.69</v>
      </c>
      <c r="G8">
        <v>33330</v>
      </c>
      <c r="H8">
        <v>40656</v>
      </c>
      <c r="I8">
        <v>6.91</v>
      </c>
      <c r="J8" t="s">
        <v>20</v>
      </c>
      <c r="K8" t="s">
        <v>1245</v>
      </c>
      <c r="L8" s="25">
        <v>0.4854398148148148</v>
      </c>
      <c r="M8">
        <v>0.80689999999999995</v>
      </c>
      <c r="N8">
        <v>6.9099999999999995E-2</v>
      </c>
      <c r="O8">
        <v>11608</v>
      </c>
      <c r="P8">
        <v>0.28551751279024007</v>
      </c>
      <c r="Q8" t="s">
        <v>1238</v>
      </c>
      <c r="R8" t="s">
        <v>1239</v>
      </c>
      <c r="S8" t="s">
        <v>1231</v>
      </c>
      <c r="T8">
        <v>3</v>
      </c>
    </row>
    <row r="9" spans="1:20" x14ac:dyDescent="0.3">
      <c r="A9" t="s">
        <v>18</v>
      </c>
      <c r="B9" t="s">
        <v>19</v>
      </c>
      <c r="C9">
        <v>9213</v>
      </c>
      <c r="D9">
        <v>1029</v>
      </c>
      <c r="E9">
        <v>1366</v>
      </c>
      <c r="F9">
        <v>80.69</v>
      </c>
      <c r="G9">
        <v>33330</v>
      </c>
      <c r="H9">
        <v>40656</v>
      </c>
      <c r="I9">
        <v>6.91</v>
      </c>
      <c r="J9" t="s">
        <v>20</v>
      </c>
      <c r="K9" t="s">
        <v>1246</v>
      </c>
      <c r="L9" s="25">
        <v>0.4854398148148148</v>
      </c>
      <c r="M9">
        <v>0.80689999999999995</v>
      </c>
      <c r="N9">
        <v>6.9099999999999995E-2</v>
      </c>
      <c r="O9">
        <v>11608</v>
      </c>
      <c r="P9">
        <v>0.28551751279024007</v>
      </c>
      <c r="Q9" t="s">
        <v>1238</v>
      </c>
      <c r="R9" t="s">
        <v>1239</v>
      </c>
      <c r="S9" t="s">
        <v>1231</v>
      </c>
      <c r="T9">
        <v>3</v>
      </c>
    </row>
    <row r="10" spans="1:20" x14ac:dyDescent="0.3">
      <c r="A10" t="s">
        <v>18</v>
      </c>
      <c r="B10" t="s">
        <v>19</v>
      </c>
      <c r="C10">
        <v>9213</v>
      </c>
      <c r="D10">
        <v>1029</v>
      </c>
      <c r="E10">
        <v>1366</v>
      </c>
      <c r="F10">
        <v>80.69</v>
      </c>
      <c r="G10">
        <v>33330</v>
      </c>
      <c r="H10">
        <v>40656</v>
      </c>
      <c r="I10">
        <v>6.91</v>
      </c>
      <c r="J10" t="s">
        <v>20</v>
      </c>
      <c r="K10" t="s">
        <v>1247</v>
      </c>
      <c r="L10" s="25">
        <v>0.4854398148148148</v>
      </c>
      <c r="M10">
        <v>0.80689999999999995</v>
      </c>
      <c r="N10">
        <v>6.9099999999999995E-2</v>
      </c>
      <c r="O10">
        <v>11608</v>
      </c>
      <c r="P10">
        <v>0.28551751279024007</v>
      </c>
      <c r="Q10" t="s">
        <v>1238</v>
      </c>
      <c r="R10" t="s">
        <v>1239</v>
      </c>
      <c r="S10" t="s">
        <v>1231</v>
      </c>
      <c r="T10">
        <v>3</v>
      </c>
    </row>
    <row r="11" spans="1:20" x14ac:dyDescent="0.3">
      <c r="A11" t="s">
        <v>22</v>
      </c>
      <c r="B11" t="s">
        <v>23</v>
      </c>
      <c r="C11">
        <v>5753</v>
      </c>
      <c r="D11">
        <v>2392</v>
      </c>
      <c r="E11">
        <v>312</v>
      </c>
      <c r="F11">
        <v>96.79</v>
      </c>
      <c r="G11">
        <v>15399</v>
      </c>
      <c r="H11">
        <v>94920</v>
      </c>
      <c r="I11">
        <v>0.74</v>
      </c>
      <c r="J11" t="s">
        <v>20</v>
      </c>
      <c r="K11" t="s">
        <v>1248</v>
      </c>
      <c r="L11" s="25">
        <v>0.45689814814814816</v>
      </c>
      <c r="M11">
        <v>0.96790000000000009</v>
      </c>
      <c r="N11">
        <v>7.4000000000000003E-3</v>
      </c>
      <c r="O11">
        <v>8457</v>
      </c>
      <c r="P11">
        <v>8.9096080910240197E-2</v>
      </c>
      <c r="Q11" t="s">
        <v>1238</v>
      </c>
      <c r="R11" t="s">
        <v>1239</v>
      </c>
      <c r="S11" t="s">
        <v>1231</v>
      </c>
      <c r="T11">
        <v>3</v>
      </c>
    </row>
    <row r="12" spans="1:20" x14ac:dyDescent="0.3">
      <c r="A12" t="s">
        <v>22</v>
      </c>
      <c r="B12" t="s">
        <v>23</v>
      </c>
      <c r="C12">
        <v>5753</v>
      </c>
      <c r="D12">
        <v>2392</v>
      </c>
      <c r="E12">
        <v>312</v>
      </c>
      <c r="F12">
        <v>96.79</v>
      </c>
      <c r="G12">
        <v>15399</v>
      </c>
      <c r="H12">
        <v>94920</v>
      </c>
      <c r="I12">
        <v>0.74</v>
      </c>
      <c r="J12" t="s">
        <v>20</v>
      </c>
      <c r="K12" t="s">
        <v>1249</v>
      </c>
      <c r="L12" s="25">
        <v>0.45689814814814816</v>
      </c>
      <c r="M12">
        <v>0.96790000000000009</v>
      </c>
      <c r="N12">
        <v>7.4000000000000003E-3</v>
      </c>
      <c r="O12">
        <v>8457</v>
      </c>
      <c r="P12">
        <v>8.9096080910240197E-2</v>
      </c>
      <c r="Q12" t="s">
        <v>1238</v>
      </c>
      <c r="R12" t="s">
        <v>1239</v>
      </c>
      <c r="S12" t="s">
        <v>1231</v>
      </c>
      <c r="T12">
        <v>3</v>
      </c>
    </row>
    <row r="13" spans="1:20" x14ac:dyDescent="0.3">
      <c r="A13" t="s">
        <v>22</v>
      </c>
      <c r="B13" t="s">
        <v>23</v>
      </c>
      <c r="C13">
        <v>5753</v>
      </c>
      <c r="D13">
        <v>2392</v>
      </c>
      <c r="E13">
        <v>312</v>
      </c>
      <c r="F13">
        <v>96.79</v>
      </c>
      <c r="G13">
        <v>15399</v>
      </c>
      <c r="H13">
        <v>94920</v>
      </c>
      <c r="I13">
        <v>0.74</v>
      </c>
      <c r="J13" t="s">
        <v>20</v>
      </c>
      <c r="K13" t="s">
        <v>1250</v>
      </c>
      <c r="L13" s="25">
        <v>0.45689814814814816</v>
      </c>
      <c r="M13">
        <v>0.96790000000000009</v>
      </c>
      <c r="N13">
        <v>7.4000000000000003E-3</v>
      </c>
      <c r="O13">
        <v>8457</v>
      </c>
      <c r="P13">
        <v>8.9096080910240197E-2</v>
      </c>
      <c r="Q13" t="s">
        <v>1238</v>
      </c>
      <c r="R13" t="s">
        <v>1239</v>
      </c>
      <c r="S13" t="s">
        <v>1231</v>
      </c>
      <c r="T13">
        <v>3</v>
      </c>
    </row>
    <row r="14" spans="1:20" x14ac:dyDescent="0.3">
      <c r="A14" t="s">
        <v>25</v>
      </c>
      <c r="B14" t="s">
        <v>26</v>
      </c>
      <c r="C14">
        <v>8977</v>
      </c>
      <c r="D14">
        <v>4183</v>
      </c>
      <c r="E14">
        <v>668</v>
      </c>
      <c r="F14">
        <v>85.24</v>
      </c>
      <c r="G14">
        <v>70221</v>
      </c>
      <c r="H14">
        <v>6119</v>
      </c>
      <c r="I14">
        <v>6.15</v>
      </c>
      <c r="J14" t="s">
        <v>20</v>
      </c>
      <c r="K14" t="s">
        <v>1251</v>
      </c>
      <c r="L14" s="25">
        <v>0.16181712962962963</v>
      </c>
      <c r="M14">
        <v>0.85239999999999994</v>
      </c>
      <c r="N14">
        <v>6.1500000000000006E-2</v>
      </c>
      <c r="O14">
        <v>13828</v>
      </c>
      <c r="P14">
        <v>1</v>
      </c>
      <c r="Q14" t="s">
        <v>1238</v>
      </c>
      <c r="R14" t="s">
        <v>1239</v>
      </c>
      <c r="S14" t="s">
        <v>1231</v>
      </c>
      <c r="T14">
        <v>3</v>
      </c>
    </row>
    <row r="15" spans="1:20" x14ac:dyDescent="0.3">
      <c r="A15" t="s">
        <v>25</v>
      </c>
      <c r="B15" t="s">
        <v>26</v>
      </c>
      <c r="C15">
        <v>8977</v>
      </c>
      <c r="D15">
        <v>4183</v>
      </c>
      <c r="E15">
        <v>668</v>
      </c>
      <c r="F15">
        <v>85.24</v>
      </c>
      <c r="G15">
        <v>70221</v>
      </c>
      <c r="H15">
        <v>6119</v>
      </c>
      <c r="I15">
        <v>6.15</v>
      </c>
      <c r="J15" t="s">
        <v>20</v>
      </c>
      <c r="K15" t="s">
        <v>1252</v>
      </c>
      <c r="L15" s="25">
        <v>0.16181712962962963</v>
      </c>
      <c r="M15">
        <v>0.85239999999999994</v>
      </c>
      <c r="N15">
        <v>6.1500000000000006E-2</v>
      </c>
      <c r="O15">
        <v>13828</v>
      </c>
      <c r="P15">
        <v>1</v>
      </c>
      <c r="Q15" t="s">
        <v>1238</v>
      </c>
      <c r="R15" t="s">
        <v>1239</v>
      </c>
      <c r="S15" t="s">
        <v>1231</v>
      </c>
      <c r="T15">
        <v>3</v>
      </c>
    </row>
    <row r="16" spans="1:20" x14ac:dyDescent="0.3">
      <c r="A16" t="s">
        <v>25</v>
      </c>
      <c r="B16" t="s">
        <v>26</v>
      </c>
      <c r="C16">
        <v>8977</v>
      </c>
      <c r="D16">
        <v>4183</v>
      </c>
      <c r="E16">
        <v>668</v>
      </c>
      <c r="F16">
        <v>85.24</v>
      </c>
      <c r="G16">
        <v>70221</v>
      </c>
      <c r="H16">
        <v>6119</v>
      </c>
      <c r="I16">
        <v>6.15</v>
      </c>
      <c r="J16" t="s">
        <v>20</v>
      </c>
      <c r="K16" t="s">
        <v>1253</v>
      </c>
      <c r="L16" s="25">
        <v>0.16181712962962963</v>
      </c>
      <c r="M16">
        <v>0.85239999999999994</v>
      </c>
      <c r="N16">
        <v>6.1500000000000006E-2</v>
      </c>
      <c r="O16">
        <v>13828</v>
      </c>
      <c r="P16">
        <v>1</v>
      </c>
      <c r="Q16" t="s">
        <v>1238</v>
      </c>
      <c r="R16" t="s">
        <v>1239</v>
      </c>
      <c r="S16" t="s">
        <v>1231</v>
      </c>
      <c r="T16">
        <v>3</v>
      </c>
    </row>
    <row r="17" spans="1:20" x14ac:dyDescent="0.3">
      <c r="A17" t="s">
        <v>28</v>
      </c>
      <c r="B17" t="s">
        <v>29</v>
      </c>
      <c r="C17">
        <v>7644</v>
      </c>
      <c r="D17">
        <v>700</v>
      </c>
      <c r="E17">
        <v>497</v>
      </c>
      <c r="F17">
        <v>51.53</v>
      </c>
      <c r="G17">
        <v>43401</v>
      </c>
      <c r="H17">
        <v>82290</v>
      </c>
      <c r="I17">
        <v>8.0299999999999994</v>
      </c>
      <c r="J17" t="s">
        <v>12</v>
      </c>
      <c r="K17" t="s">
        <v>1254</v>
      </c>
      <c r="L17" s="25">
        <v>0.95964120370370365</v>
      </c>
      <c r="M17">
        <v>0.51529999999999998</v>
      </c>
      <c r="N17">
        <v>8.0299999999999996E-2</v>
      </c>
      <c r="O17">
        <v>8841</v>
      </c>
      <c r="P17">
        <v>0.10743711265038279</v>
      </c>
      <c r="Q17" t="s">
        <v>1238</v>
      </c>
      <c r="R17" t="s">
        <v>1239</v>
      </c>
      <c r="S17" t="s">
        <v>1233</v>
      </c>
      <c r="T17">
        <v>3</v>
      </c>
    </row>
    <row r="18" spans="1:20" x14ac:dyDescent="0.3">
      <c r="A18" t="s">
        <v>28</v>
      </c>
      <c r="B18" t="s">
        <v>29</v>
      </c>
      <c r="C18">
        <v>7644</v>
      </c>
      <c r="D18">
        <v>700</v>
      </c>
      <c r="E18">
        <v>497</v>
      </c>
      <c r="F18">
        <v>51.53</v>
      </c>
      <c r="G18">
        <v>43401</v>
      </c>
      <c r="H18">
        <v>82290</v>
      </c>
      <c r="I18">
        <v>8.0299999999999994</v>
      </c>
      <c r="J18" t="s">
        <v>12</v>
      </c>
      <c r="K18" t="s">
        <v>1255</v>
      </c>
      <c r="L18" s="25">
        <v>0.95964120370370365</v>
      </c>
      <c r="M18">
        <v>0.51529999999999998</v>
      </c>
      <c r="N18">
        <v>8.0299999999999996E-2</v>
      </c>
      <c r="O18">
        <v>8841</v>
      </c>
      <c r="P18">
        <v>0.10743711265038279</v>
      </c>
      <c r="Q18" t="s">
        <v>1238</v>
      </c>
      <c r="R18" t="s">
        <v>1239</v>
      </c>
      <c r="S18" t="s">
        <v>1233</v>
      </c>
      <c r="T18">
        <v>3</v>
      </c>
    </row>
    <row r="19" spans="1:20" x14ac:dyDescent="0.3">
      <c r="A19" t="s">
        <v>28</v>
      </c>
      <c r="B19" t="s">
        <v>29</v>
      </c>
      <c r="C19">
        <v>7644</v>
      </c>
      <c r="D19">
        <v>700</v>
      </c>
      <c r="E19">
        <v>497</v>
      </c>
      <c r="F19">
        <v>51.53</v>
      </c>
      <c r="G19">
        <v>43401</v>
      </c>
      <c r="H19">
        <v>82290</v>
      </c>
      <c r="I19">
        <v>8.0299999999999994</v>
      </c>
      <c r="J19" t="s">
        <v>12</v>
      </c>
      <c r="K19" t="s">
        <v>1256</v>
      </c>
      <c r="L19" s="25">
        <v>0.95964120370370365</v>
      </c>
      <c r="M19">
        <v>0.51529999999999998</v>
      </c>
      <c r="N19">
        <v>8.0299999999999996E-2</v>
      </c>
      <c r="O19">
        <v>8841</v>
      </c>
      <c r="P19">
        <v>0.10743711265038279</v>
      </c>
      <c r="Q19" t="s">
        <v>1238</v>
      </c>
      <c r="R19" t="s">
        <v>1239</v>
      </c>
      <c r="S19" t="s">
        <v>1233</v>
      </c>
      <c r="T19">
        <v>3</v>
      </c>
    </row>
    <row r="20" spans="1:20" x14ac:dyDescent="0.3">
      <c r="A20" t="s">
        <v>31</v>
      </c>
      <c r="B20" t="s">
        <v>32</v>
      </c>
      <c r="C20">
        <v>7634</v>
      </c>
      <c r="D20">
        <v>836</v>
      </c>
      <c r="E20">
        <v>1282</v>
      </c>
      <c r="F20">
        <v>16.55</v>
      </c>
      <c r="G20">
        <v>5029</v>
      </c>
      <c r="H20">
        <v>82551</v>
      </c>
      <c r="I20">
        <v>8.26</v>
      </c>
      <c r="J20" t="s">
        <v>16</v>
      </c>
      <c r="K20" t="s">
        <v>1257</v>
      </c>
      <c r="L20" s="25">
        <v>0.8026388888888889</v>
      </c>
      <c r="M20">
        <v>0.16550000000000001</v>
      </c>
      <c r="N20">
        <v>8.2599999999999993E-2</v>
      </c>
      <c r="O20">
        <v>9752</v>
      </c>
      <c r="P20">
        <v>0.11813303291298713</v>
      </c>
      <c r="Q20" t="s">
        <v>1238</v>
      </c>
      <c r="R20" t="s">
        <v>1239</v>
      </c>
      <c r="S20" t="s">
        <v>1232</v>
      </c>
      <c r="T20">
        <v>3</v>
      </c>
    </row>
    <row r="21" spans="1:20" x14ac:dyDescent="0.3">
      <c r="A21" t="s">
        <v>31</v>
      </c>
      <c r="B21" t="s">
        <v>32</v>
      </c>
      <c r="C21">
        <v>7634</v>
      </c>
      <c r="D21">
        <v>836</v>
      </c>
      <c r="E21">
        <v>1282</v>
      </c>
      <c r="F21">
        <v>16.55</v>
      </c>
      <c r="G21">
        <v>5029</v>
      </c>
      <c r="H21">
        <v>82551</v>
      </c>
      <c r="I21">
        <v>8.26</v>
      </c>
      <c r="J21" t="s">
        <v>16</v>
      </c>
      <c r="K21" t="s">
        <v>1258</v>
      </c>
      <c r="L21" s="25">
        <v>0.8026388888888889</v>
      </c>
      <c r="M21">
        <v>0.16550000000000001</v>
      </c>
      <c r="N21">
        <v>8.2599999999999993E-2</v>
      </c>
      <c r="O21">
        <v>9752</v>
      </c>
      <c r="P21">
        <v>0.11813303291298713</v>
      </c>
      <c r="Q21" t="s">
        <v>1238</v>
      </c>
      <c r="R21" t="s">
        <v>1239</v>
      </c>
      <c r="S21" t="s">
        <v>1232</v>
      </c>
      <c r="T21">
        <v>3</v>
      </c>
    </row>
    <row r="22" spans="1:20" x14ac:dyDescent="0.3">
      <c r="A22" t="s">
        <v>31</v>
      </c>
      <c r="B22" t="s">
        <v>32</v>
      </c>
      <c r="C22">
        <v>7634</v>
      </c>
      <c r="D22">
        <v>836</v>
      </c>
      <c r="E22">
        <v>1282</v>
      </c>
      <c r="F22">
        <v>16.55</v>
      </c>
      <c r="G22">
        <v>5029</v>
      </c>
      <c r="H22">
        <v>82551</v>
      </c>
      <c r="I22">
        <v>8.26</v>
      </c>
      <c r="J22" t="s">
        <v>16</v>
      </c>
      <c r="K22" t="s">
        <v>1259</v>
      </c>
      <c r="L22" s="25">
        <v>0.8026388888888889</v>
      </c>
      <c r="M22">
        <v>0.16550000000000001</v>
      </c>
      <c r="N22">
        <v>8.2599999999999993E-2</v>
      </c>
      <c r="O22">
        <v>9752</v>
      </c>
      <c r="P22">
        <v>0.11813303291298713</v>
      </c>
      <c r="Q22" t="s">
        <v>1238</v>
      </c>
      <c r="R22" t="s">
        <v>1239</v>
      </c>
      <c r="S22" t="s">
        <v>1232</v>
      </c>
      <c r="T22">
        <v>3</v>
      </c>
    </row>
    <row r="23" spans="1:20" x14ac:dyDescent="0.3">
      <c r="A23" t="s">
        <v>34</v>
      </c>
      <c r="B23" t="s">
        <v>35</v>
      </c>
      <c r="C23">
        <v>8291</v>
      </c>
      <c r="D23">
        <v>799</v>
      </c>
      <c r="E23">
        <v>406</v>
      </c>
      <c r="F23">
        <v>38.47</v>
      </c>
      <c r="G23">
        <v>12765</v>
      </c>
      <c r="H23">
        <v>27367</v>
      </c>
      <c r="I23">
        <v>9.26</v>
      </c>
      <c r="J23" t="s">
        <v>16</v>
      </c>
      <c r="K23" t="s">
        <v>1260</v>
      </c>
      <c r="L23" s="25">
        <v>0.36266203703703703</v>
      </c>
      <c r="M23">
        <v>0.38469999999999999</v>
      </c>
      <c r="N23">
        <v>9.2600000000000002E-2</v>
      </c>
      <c r="O23">
        <v>9496</v>
      </c>
      <c r="P23">
        <v>0.34698724741476961</v>
      </c>
      <c r="Q23" t="s">
        <v>1238</v>
      </c>
      <c r="R23" t="s">
        <v>1239</v>
      </c>
      <c r="S23" t="s">
        <v>1231</v>
      </c>
      <c r="T23">
        <v>3</v>
      </c>
    </row>
    <row r="24" spans="1:20" x14ac:dyDescent="0.3">
      <c r="A24" t="s">
        <v>34</v>
      </c>
      <c r="B24" t="s">
        <v>35</v>
      </c>
      <c r="C24">
        <v>8291</v>
      </c>
      <c r="D24">
        <v>799</v>
      </c>
      <c r="E24">
        <v>406</v>
      </c>
      <c r="F24">
        <v>38.47</v>
      </c>
      <c r="G24">
        <v>12765</v>
      </c>
      <c r="H24">
        <v>27367</v>
      </c>
      <c r="I24">
        <v>9.26</v>
      </c>
      <c r="J24" t="s">
        <v>16</v>
      </c>
      <c r="K24" t="s">
        <v>1261</v>
      </c>
      <c r="L24" s="25">
        <v>0.36266203703703703</v>
      </c>
      <c r="M24">
        <v>0.38469999999999999</v>
      </c>
      <c r="N24">
        <v>9.2600000000000002E-2</v>
      </c>
      <c r="O24">
        <v>9496</v>
      </c>
      <c r="P24">
        <v>0.34698724741476961</v>
      </c>
      <c r="Q24" t="s">
        <v>1238</v>
      </c>
      <c r="R24" t="s">
        <v>1239</v>
      </c>
      <c r="S24" t="s">
        <v>1231</v>
      </c>
      <c r="T24">
        <v>3</v>
      </c>
    </row>
    <row r="25" spans="1:20" x14ac:dyDescent="0.3">
      <c r="A25" t="s">
        <v>34</v>
      </c>
      <c r="B25" t="s">
        <v>35</v>
      </c>
      <c r="C25">
        <v>8291</v>
      </c>
      <c r="D25">
        <v>799</v>
      </c>
      <c r="E25">
        <v>406</v>
      </c>
      <c r="F25">
        <v>38.47</v>
      </c>
      <c r="G25">
        <v>12765</v>
      </c>
      <c r="H25">
        <v>27367</v>
      </c>
      <c r="I25">
        <v>9.26</v>
      </c>
      <c r="J25" t="s">
        <v>16</v>
      </c>
      <c r="K25" t="s">
        <v>1262</v>
      </c>
      <c r="L25" s="25">
        <v>0.36266203703703703</v>
      </c>
      <c r="M25">
        <v>0.38469999999999999</v>
      </c>
      <c r="N25">
        <v>9.2600000000000002E-2</v>
      </c>
      <c r="O25">
        <v>9496</v>
      </c>
      <c r="P25">
        <v>0.34698724741476961</v>
      </c>
      <c r="Q25" t="s">
        <v>1238</v>
      </c>
      <c r="R25" t="s">
        <v>1239</v>
      </c>
      <c r="S25" t="s">
        <v>1231</v>
      </c>
      <c r="T25">
        <v>3</v>
      </c>
    </row>
    <row r="26" spans="1:20" x14ac:dyDescent="0.3">
      <c r="A26" t="s">
        <v>37</v>
      </c>
      <c r="B26" t="s">
        <v>38</v>
      </c>
      <c r="C26">
        <v>692</v>
      </c>
      <c r="D26">
        <v>1208</v>
      </c>
      <c r="E26">
        <v>828</v>
      </c>
      <c r="F26">
        <v>78.459999999999994</v>
      </c>
      <c r="G26">
        <v>89131</v>
      </c>
      <c r="H26">
        <v>88660</v>
      </c>
      <c r="I26">
        <v>3.4</v>
      </c>
      <c r="J26" t="s">
        <v>16</v>
      </c>
      <c r="K26" t="s">
        <v>1263</v>
      </c>
      <c r="L26" s="25">
        <v>0.25157407407407406</v>
      </c>
      <c r="M26">
        <v>0.78459999999999996</v>
      </c>
      <c r="N26">
        <v>3.4000000000000002E-2</v>
      </c>
      <c r="O26">
        <v>2728</v>
      </c>
      <c r="P26">
        <v>3.0769230769230771E-2</v>
      </c>
      <c r="Q26" t="s">
        <v>1238</v>
      </c>
      <c r="R26" t="s">
        <v>1239</v>
      </c>
      <c r="S26" t="s">
        <v>1231</v>
      </c>
      <c r="T26">
        <v>3</v>
      </c>
    </row>
    <row r="27" spans="1:20" x14ac:dyDescent="0.3">
      <c r="A27" t="s">
        <v>37</v>
      </c>
      <c r="B27" t="s">
        <v>38</v>
      </c>
      <c r="C27">
        <v>692</v>
      </c>
      <c r="D27">
        <v>1208</v>
      </c>
      <c r="E27">
        <v>828</v>
      </c>
      <c r="F27">
        <v>78.459999999999994</v>
      </c>
      <c r="G27">
        <v>89131</v>
      </c>
      <c r="H27">
        <v>88660</v>
      </c>
      <c r="I27">
        <v>3.4</v>
      </c>
      <c r="J27" t="s">
        <v>16</v>
      </c>
      <c r="K27" t="s">
        <v>1264</v>
      </c>
      <c r="L27" s="25">
        <v>0.25157407407407406</v>
      </c>
      <c r="M27">
        <v>0.78459999999999996</v>
      </c>
      <c r="N27">
        <v>3.4000000000000002E-2</v>
      </c>
      <c r="O27">
        <v>2728</v>
      </c>
      <c r="P27">
        <v>3.0769230769230771E-2</v>
      </c>
      <c r="Q27" t="s">
        <v>1238</v>
      </c>
      <c r="R27" t="s">
        <v>1239</v>
      </c>
      <c r="S27" t="s">
        <v>1231</v>
      </c>
      <c r="T27">
        <v>3</v>
      </c>
    </row>
    <row r="28" spans="1:20" x14ac:dyDescent="0.3">
      <c r="A28" t="s">
        <v>37</v>
      </c>
      <c r="B28" t="s">
        <v>38</v>
      </c>
      <c r="C28">
        <v>692</v>
      </c>
      <c r="D28">
        <v>1208</v>
      </c>
      <c r="E28">
        <v>828</v>
      </c>
      <c r="F28">
        <v>78.459999999999994</v>
      </c>
      <c r="G28">
        <v>89131</v>
      </c>
      <c r="H28">
        <v>88660</v>
      </c>
      <c r="I28">
        <v>3.4</v>
      </c>
      <c r="J28" t="s">
        <v>16</v>
      </c>
      <c r="K28" t="s">
        <v>1265</v>
      </c>
      <c r="L28" s="25">
        <v>0.25157407407407406</v>
      </c>
      <c r="M28">
        <v>0.78459999999999996</v>
      </c>
      <c r="N28">
        <v>3.4000000000000002E-2</v>
      </c>
      <c r="O28">
        <v>2728</v>
      </c>
      <c r="P28">
        <v>3.0769230769230771E-2</v>
      </c>
      <c r="Q28" t="s">
        <v>1238</v>
      </c>
      <c r="R28" t="s">
        <v>1239</v>
      </c>
      <c r="S28" t="s">
        <v>1231</v>
      </c>
      <c r="T28">
        <v>3</v>
      </c>
    </row>
    <row r="29" spans="1:20" x14ac:dyDescent="0.3">
      <c r="A29" t="s">
        <v>40</v>
      </c>
      <c r="B29" t="s">
        <v>41</v>
      </c>
      <c r="C29">
        <v>9194</v>
      </c>
      <c r="D29">
        <v>969</v>
      </c>
      <c r="E29">
        <v>208</v>
      </c>
      <c r="F29">
        <v>62.92</v>
      </c>
      <c r="G29">
        <v>34702</v>
      </c>
      <c r="H29">
        <v>63475</v>
      </c>
      <c r="I29">
        <v>8.98</v>
      </c>
      <c r="J29" t="s">
        <v>42</v>
      </c>
      <c r="K29" t="s">
        <v>1266</v>
      </c>
      <c r="L29" s="25">
        <v>0.10017361111111112</v>
      </c>
      <c r="M29">
        <v>0.62919999999999998</v>
      </c>
      <c r="N29">
        <v>8.9800000000000005E-2</v>
      </c>
      <c r="O29">
        <v>10371</v>
      </c>
      <c r="P29">
        <v>0.16338716029933045</v>
      </c>
      <c r="Q29" t="s">
        <v>1238</v>
      </c>
      <c r="R29" t="s">
        <v>1239</v>
      </c>
      <c r="S29" t="s">
        <v>1231</v>
      </c>
      <c r="T29">
        <v>3</v>
      </c>
    </row>
    <row r="30" spans="1:20" x14ac:dyDescent="0.3">
      <c r="A30" t="s">
        <v>40</v>
      </c>
      <c r="B30" t="s">
        <v>41</v>
      </c>
      <c r="C30">
        <v>9194</v>
      </c>
      <c r="D30">
        <v>969</v>
      </c>
      <c r="E30">
        <v>208</v>
      </c>
      <c r="F30">
        <v>62.92</v>
      </c>
      <c r="G30">
        <v>34702</v>
      </c>
      <c r="H30">
        <v>63475</v>
      </c>
      <c r="I30">
        <v>8.98</v>
      </c>
      <c r="J30" t="s">
        <v>42</v>
      </c>
      <c r="K30" t="s">
        <v>1267</v>
      </c>
      <c r="L30" s="25">
        <v>0.10017361111111112</v>
      </c>
      <c r="M30">
        <v>0.62919999999999998</v>
      </c>
      <c r="N30">
        <v>8.9800000000000005E-2</v>
      </c>
      <c r="O30">
        <v>10371</v>
      </c>
      <c r="P30">
        <v>0.16338716029933045</v>
      </c>
      <c r="Q30" t="s">
        <v>1238</v>
      </c>
      <c r="R30" t="s">
        <v>1239</v>
      </c>
      <c r="S30" t="s">
        <v>1231</v>
      </c>
      <c r="T30">
        <v>3</v>
      </c>
    </row>
    <row r="31" spans="1:20" x14ac:dyDescent="0.3">
      <c r="A31" t="s">
        <v>40</v>
      </c>
      <c r="B31" t="s">
        <v>41</v>
      </c>
      <c r="C31">
        <v>9194</v>
      </c>
      <c r="D31">
        <v>969</v>
      </c>
      <c r="E31">
        <v>208</v>
      </c>
      <c r="F31">
        <v>62.92</v>
      </c>
      <c r="G31">
        <v>34702</v>
      </c>
      <c r="H31">
        <v>63475</v>
      </c>
      <c r="I31">
        <v>8.98</v>
      </c>
      <c r="J31" t="s">
        <v>42</v>
      </c>
      <c r="K31" t="s">
        <v>1268</v>
      </c>
      <c r="L31" s="25">
        <v>0.10017361111111112</v>
      </c>
      <c r="M31">
        <v>0.62919999999999998</v>
      </c>
      <c r="N31">
        <v>8.9800000000000005E-2</v>
      </c>
      <c r="O31">
        <v>10371</v>
      </c>
      <c r="P31">
        <v>0.16338716029933045</v>
      </c>
      <c r="Q31" t="s">
        <v>1238</v>
      </c>
      <c r="R31" t="s">
        <v>1239</v>
      </c>
      <c r="S31" t="s">
        <v>1231</v>
      </c>
      <c r="T31">
        <v>3</v>
      </c>
    </row>
    <row r="32" spans="1:20" x14ac:dyDescent="0.3">
      <c r="A32" t="s">
        <v>44</v>
      </c>
      <c r="B32" t="s">
        <v>45</v>
      </c>
      <c r="C32">
        <v>6108</v>
      </c>
      <c r="D32">
        <v>2277</v>
      </c>
      <c r="E32">
        <v>1086</v>
      </c>
      <c r="F32">
        <v>87.33</v>
      </c>
      <c r="G32">
        <v>85657</v>
      </c>
      <c r="H32">
        <v>90781</v>
      </c>
      <c r="I32">
        <v>9.7799999999999994</v>
      </c>
      <c r="J32" t="s">
        <v>20</v>
      </c>
      <c r="K32" t="s">
        <v>1269</v>
      </c>
      <c r="L32" s="25">
        <v>0.12150462962962963</v>
      </c>
      <c r="M32">
        <v>0.87329999999999997</v>
      </c>
      <c r="N32">
        <v>9.7799999999999998E-2</v>
      </c>
      <c r="O32">
        <v>9471</v>
      </c>
      <c r="P32">
        <v>0.10432799814939249</v>
      </c>
      <c r="Q32" t="s">
        <v>1238</v>
      </c>
      <c r="R32" t="s">
        <v>1239</v>
      </c>
      <c r="S32" t="s">
        <v>1231</v>
      </c>
      <c r="T32">
        <v>3</v>
      </c>
    </row>
    <row r="33" spans="1:20" x14ac:dyDescent="0.3">
      <c r="A33" t="s">
        <v>44</v>
      </c>
      <c r="B33" t="s">
        <v>45</v>
      </c>
      <c r="C33">
        <v>6108</v>
      </c>
      <c r="D33">
        <v>2277</v>
      </c>
      <c r="E33">
        <v>1086</v>
      </c>
      <c r="F33">
        <v>87.33</v>
      </c>
      <c r="G33">
        <v>85657</v>
      </c>
      <c r="H33">
        <v>90781</v>
      </c>
      <c r="I33">
        <v>9.7799999999999994</v>
      </c>
      <c r="J33" t="s">
        <v>20</v>
      </c>
      <c r="K33" t="s">
        <v>1270</v>
      </c>
      <c r="L33" s="25">
        <v>0.12150462962962963</v>
      </c>
      <c r="M33">
        <v>0.87329999999999997</v>
      </c>
      <c r="N33">
        <v>9.7799999999999998E-2</v>
      </c>
      <c r="O33">
        <v>9471</v>
      </c>
      <c r="P33">
        <v>0.10432799814939249</v>
      </c>
      <c r="Q33" t="s">
        <v>1238</v>
      </c>
      <c r="R33" t="s">
        <v>1239</v>
      </c>
      <c r="S33" t="s">
        <v>1231</v>
      </c>
      <c r="T33">
        <v>3</v>
      </c>
    </row>
    <row r="34" spans="1:20" x14ac:dyDescent="0.3">
      <c r="A34" t="s">
        <v>44</v>
      </c>
      <c r="B34" t="s">
        <v>45</v>
      </c>
      <c r="C34">
        <v>6108</v>
      </c>
      <c r="D34">
        <v>2277</v>
      </c>
      <c r="E34">
        <v>1086</v>
      </c>
      <c r="F34">
        <v>87.33</v>
      </c>
      <c r="G34">
        <v>85657</v>
      </c>
      <c r="H34">
        <v>90781</v>
      </c>
      <c r="I34">
        <v>9.7799999999999994</v>
      </c>
      <c r="J34" t="s">
        <v>20</v>
      </c>
      <c r="K34" t="s">
        <v>1271</v>
      </c>
      <c r="L34" s="25">
        <v>0.12150462962962963</v>
      </c>
      <c r="M34">
        <v>0.87329999999999997</v>
      </c>
      <c r="N34">
        <v>9.7799999999999998E-2</v>
      </c>
      <c r="O34">
        <v>9471</v>
      </c>
      <c r="P34">
        <v>0.10432799814939249</v>
      </c>
      <c r="Q34" t="s">
        <v>1238</v>
      </c>
      <c r="R34" t="s">
        <v>1239</v>
      </c>
      <c r="S34" t="s">
        <v>1231</v>
      </c>
      <c r="T34">
        <v>3</v>
      </c>
    </row>
    <row r="35" spans="1:20" x14ac:dyDescent="0.3">
      <c r="A35" t="s">
        <v>47</v>
      </c>
      <c r="B35" t="s">
        <v>48</v>
      </c>
      <c r="C35">
        <v>6048</v>
      </c>
      <c r="D35">
        <v>4595</v>
      </c>
      <c r="E35">
        <v>1042</v>
      </c>
      <c r="F35">
        <v>46.56</v>
      </c>
      <c r="G35">
        <v>15739</v>
      </c>
      <c r="H35">
        <v>40262</v>
      </c>
      <c r="I35">
        <v>3.13</v>
      </c>
      <c r="J35" t="s">
        <v>20</v>
      </c>
      <c r="K35" t="s">
        <v>1272</v>
      </c>
      <c r="L35" s="25">
        <v>0.23879629629629628</v>
      </c>
      <c r="M35">
        <v>0.46560000000000001</v>
      </c>
      <c r="N35">
        <v>3.1300000000000001E-2</v>
      </c>
      <c r="O35">
        <v>11685</v>
      </c>
      <c r="P35">
        <v>0.29022403258655805</v>
      </c>
      <c r="Q35" t="s">
        <v>1238</v>
      </c>
      <c r="R35" t="s">
        <v>1239</v>
      </c>
      <c r="S35" t="s">
        <v>1231</v>
      </c>
      <c r="T35">
        <v>3</v>
      </c>
    </row>
    <row r="36" spans="1:20" x14ac:dyDescent="0.3">
      <c r="A36" t="s">
        <v>47</v>
      </c>
      <c r="B36" t="s">
        <v>48</v>
      </c>
      <c r="C36">
        <v>6048</v>
      </c>
      <c r="D36">
        <v>4595</v>
      </c>
      <c r="E36">
        <v>1042</v>
      </c>
      <c r="F36">
        <v>46.56</v>
      </c>
      <c r="G36">
        <v>15739</v>
      </c>
      <c r="H36">
        <v>40262</v>
      </c>
      <c r="I36">
        <v>3.13</v>
      </c>
      <c r="J36" t="s">
        <v>20</v>
      </c>
      <c r="K36" t="s">
        <v>1273</v>
      </c>
      <c r="L36" s="25">
        <v>0.23879629629629628</v>
      </c>
      <c r="M36">
        <v>0.46560000000000001</v>
      </c>
      <c r="N36">
        <v>3.1300000000000001E-2</v>
      </c>
      <c r="O36">
        <v>11685</v>
      </c>
      <c r="P36">
        <v>0.29022403258655805</v>
      </c>
      <c r="Q36" t="s">
        <v>1238</v>
      </c>
      <c r="R36" t="s">
        <v>1239</v>
      </c>
      <c r="S36" t="s">
        <v>1231</v>
      </c>
      <c r="T36">
        <v>3</v>
      </c>
    </row>
    <row r="37" spans="1:20" x14ac:dyDescent="0.3">
      <c r="A37" t="s">
        <v>47</v>
      </c>
      <c r="B37" t="s">
        <v>48</v>
      </c>
      <c r="C37">
        <v>6048</v>
      </c>
      <c r="D37">
        <v>4595</v>
      </c>
      <c r="E37">
        <v>1042</v>
      </c>
      <c r="F37">
        <v>46.56</v>
      </c>
      <c r="G37">
        <v>15739</v>
      </c>
      <c r="H37">
        <v>40262</v>
      </c>
      <c r="I37">
        <v>3.13</v>
      </c>
      <c r="J37" t="s">
        <v>20</v>
      </c>
      <c r="K37" t="s">
        <v>1274</v>
      </c>
      <c r="L37" s="25">
        <v>0.23879629629629628</v>
      </c>
      <c r="M37">
        <v>0.46560000000000001</v>
      </c>
      <c r="N37">
        <v>3.1300000000000001E-2</v>
      </c>
      <c r="O37">
        <v>11685</v>
      </c>
      <c r="P37">
        <v>0.29022403258655805</v>
      </c>
      <c r="Q37" t="s">
        <v>1238</v>
      </c>
      <c r="R37" t="s">
        <v>1239</v>
      </c>
      <c r="S37" t="s">
        <v>1231</v>
      </c>
      <c r="T37">
        <v>3</v>
      </c>
    </row>
    <row r="38" spans="1:20" x14ac:dyDescent="0.3">
      <c r="A38" t="s">
        <v>50</v>
      </c>
      <c r="B38" t="s">
        <v>51</v>
      </c>
      <c r="C38">
        <v>8594</v>
      </c>
      <c r="D38">
        <v>440</v>
      </c>
      <c r="E38">
        <v>840</v>
      </c>
      <c r="F38">
        <v>20.68</v>
      </c>
      <c r="G38">
        <v>88445</v>
      </c>
      <c r="H38">
        <v>4445</v>
      </c>
      <c r="I38">
        <v>8.01</v>
      </c>
      <c r="J38" t="s">
        <v>20</v>
      </c>
      <c r="K38" t="s">
        <v>1275</v>
      </c>
      <c r="L38" s="25">
        <v>0.35716435185185186</v>
      </c>
      <c r="M38">
        <v>0.20679999999999998</v>
      </c>
      <c r="N38">
        <v>8.0100000000000005E-2</v>
      </c>
      <c r="O38">
        <v>9874</v>
      </c>
      <c r="P38">
        <v>1</v>
      </c>
      <c r="Q38" t="s">
        <v>1238</v>
      </c>
      <c r="R38" t="s">
        <v>1239</v>
      </c>
      <c r="S38" t="s">
        <v>1231</v>
      </c>
      <c r="T38">
        <v>3</v>
      </c>
    </row>
    <row r="39" spans="1:20" x14ac:dyDescent="0.3">
      <c r="A39" t="s">
        <v>50</v>
      </c>
      <c r="B39" t="s">
        <v>51</v>
      </c>
      <c r="C39">
        <v>8594</v>
      </c>
      <c r="D39">
        <v>440</v>
      </c>
      <c r="E39">
        <v>840</v>
      </c>
      <c r="F39">
        <v>20.68</v>
      </c>
      <c r="G39">
        <v>88445</v>
      </c>
      <c r="H39">
        <v>4445</v>
      </c>
      <c r="I39">
        <v>8.01</v>
      </c>
      <c r="J39" t="s">
        <v>20</v>
      </c>
      <c r="K39" t="s">
        <v>1276</v>
      </c>
      <c r="L39" s="25">
        <v>0.35716435185185186</v>
      </c>
      <c r="M39">
        <v>0.20679999999999998</v>
      </c>
      <c r="N39">
        <v>8.0100000000000005E-2</v>
      </c>
      <c r="O39">
        <v>9874</v>
      </c>
      <c r="P39">
        <v>1</v>
      </c>
      <c r="Q39" t="s">
        <v>1238</v>
      </c>
      <c r="R39" t="s">
        <v>1239</v>
      </c>
      <c r="S39" t="s">
        <v>1231</v>
      </c>
      <c r="T39">
        <v>3</v>
      </c>
    </row>
    <row r="40" spans="1:20" x14ac:dyDescent="0.3">
      <c r="A40" t="s">
        <v>50</v>
      </c>
      <c r="B40" t="s">
        <v>51</v>
      </c>
      <c r="C40">
        <v>8594</v>
      </c>
      <c r="D40">
        <v>440</v>
      </c>
      <c r="E40">
        <v>840</v>
      </c>
      <c r="F40">
        <v>20.68</v>
      </c>
      <c r="G40">
        <v>88445</v>
      </c>
      <c r="H40">
        <v>4445</v>
      </c>
      <c r="I40">
        <v>8.01</v>
      </c>
      <c r="J40" t="s">
        <v>20</v>
      </c>
      <c r="K40" t="s">
        <v>1277</v>
      </c>
      <c r="L40" s="25">
        <v>0.35716435185185186</v>
      </c>
      <c r="M40">
        <v>0.20679999999999998</v>
      </c>
      <c r="N40">
        <v>8.0100000000000005E-2</v>
      </c>
      <c r="O40">
        <v>9874</v>
      </c>
      <c r="P40">
        <v>1</v>
      </c>
      <c r="Q40" t="s">
        <v>1238</v>
      </c>
      <c r="R40" t="s">
        <v>1239</v>
      </c>
      <c r="S40" t="s">
        <v>1231</v>
      </c>
      <c r="T40">
        <v>3</v>
      </c>
    </row>
    <row r="41" spans="1:20" x14ac:dyDescent="0.3">
      <c r="A41" t="s">
        <v>53</v>
      </c>
      <c r="B41" t="s">
        <v>54</v>
      </c>
      <c r="C41">
        <v>2935</v>
      </c>
      <c r="D41">
        <v>4061</v>
      </c>
      <c r="E41">
        <v>236</v>
      </c>
      <c r="F41">
        <v>81.680000000000007</v>
      </c>
      <c r="G41">
        <v>52411</v>
      </c>
      <c r="H41">
        <v>2887</v>
      </c>
      <c r="I41">
        <v>1.87</v>
      </c>
      <c r="J41" t="s">
        <v>42</v>
      </c>
      <c r="K41" t="s">
        <v>1278</v>
      </c>
      <c r="L41" s="25">
        <v>0.37200231481481483</v>
      </c>
      <c r="M41">
        <v>0.81680000000000008</v>
      </c>
      <c r="N41">
        <v>1.8700000000000001E-2</v>
      </c>
      <c r="O41">
        <v>7232</v>
      </c>
      <c r="P41">
        <v>1</v>
      </c>
      <c r="Q41" t="s">
        <v>1238</v>
      </c>
      <c r="R41" t="s">
        <v>1239</v>
      </c>
      <c r="S41" t="s">
        <v>1231</v>
      </c>
      <c r="T41">
        <v>3</v>
      </c>
    </row>
    <row r="42" spans="1:20" x14ac:dyDescent="0.3">
      <c r="A42" t="s">
        <v>53</v>
      </c>
      <c r="B42" t="s">
        <v>54</v>
      </c>
      <c r="C42">
        <v>2935</v>
      </c>
      <c r="D42">
        <v>4061</v>
      </c>
      <c r="E42">
        <v>236</v>
      </c>
      <c r="F42">
        <v>81.680000000000007</v>
      </c>
      <c r="G42">
        <v>52411</v>
      </c>
      <c r="H42">
        <v>2887</v>
      </c>
      <c r="I42">
        <v>1.87</v>
      </c>
      <c r="J42" t="s">
        <v>42</v>
      </c>
      <c r="K42" t="s">
        <v>1279</v>
      </c>
      <c r="L42" s="25">
        <v>0.37200231481481483</v>
      </c>
      <c r="M42">
        <v>0.81680000000000008</v>
      </c>
      <c r="N42">
        <v>1.8700000000000001E-2</v>
      </c>
      <c r="O42">
        <v>7232</v>
      </c>
      <c r="P42">
        <v>1</v>
      </c>
      <c r="Q42" t="s">
        <v>1238</v>
      </c>
      <c r="R42" t="s">
        <v>1239</v>
      </c>
      <c r="S42" t="s">
        <v>1231</v>
      </c>
      <c r="T42">
        <v>3</v>
      </c>
    </row>
    <row r="43" spans="1:20" x14ac:dyDescent="0.3">
      <c r="A43" t="s">
        <v>53</v>
      </c>
      <c r="B43" t="s">
        <v>54</v>
      </c>
      <c r="C43">
        <v>2935</v>
      </c>
      <c r="D43">
        <v>4061</v>
      </c>
      <c r="E43">
        <v>236</v>
      </c>
      <c r="F43">
        <v>81.680000000000007</v>
      </c>
      <c r="G43">
        <v>52411</v>
      </c>
      <c r="H43">
        <v>2887</v>
      </c>
      <c r="I43">
        <v>1.87</v>
      </c>
      <c r="J43" t="s">
        <v>42</v>
      </c>
      <c r="K43" t="s">
        <v>1280</v>
      </c>
      <c r="L43" s="25">
        <v>0.37200231481481483</v>
      </c>
      <c r="M43">
        <v>0.81680000000000008</v>
      </c>
      <c r="N43">
        <v>1.8700000000000001E-2</v>
      </c>
      <c r="O43">
        <v>7232</v>
      </c>
      <c r="P43">
        <v>1</v>
      </c>
      <c r="Q43" t="s">
        <v>1238</v>
      </c>
      <c r="R43" t="s">
        <v>1239</v>
      </c>
      <c r="S43" t="s">
        <v>1231</v>
      </c>
      <c r="T43">
        <v>3</v>
      </c>
    </row>
    <row r="44" spans="1:20" x14ac:dyDescent="0.3">
      <c r="A44" t="s">
        <v>56</v>
      </c>
      <c r="B44" t="s">
        <v>57</v>
      </c>
      <c r="C44">
        <v>2303</v>
      </c>
      <c r="D44">
        <v>1120</v>
      </c>
      <c r="E44">
        <v>1660</v>
      </c>
      <c r="F44">
        <v>53.48</v>
      </c>
      <c r="G44">
        <v>78543</v>
      </c>
      <c r="H44">
        <v>46720</v>
      </c>
      <c r="I44">
        <v>1.25</v>
      </c>
      <c r="J44" t="s">
        <v>12</v>
      </c>
      <c r="K44" t="s">
        <v>1281</v>
      </c>
      <c r="L44" s="25">
        <v>0.93130787037037033</v>
      </c>
      <c r="M44">
        <v>0.53479999999999994</v>
      </c>
      <c r="N44">
        <v>1.2500000000000001E-2</v>
      </c>
      <c r="O44">
        <v>5083</v>
      </c>
      <c r="P44">
        <v>0.10879708904109589</v>
      </c>
      <c r="Q44" t="s">
        <v>1238</v>
      </c>
      <c r="R44" t="s">
        <v>1239</v>
      </c>
      <c r="S44" t="s">
        <v>1233</v>
      </c>
      <c r="T44">
        <v>3</v>
      </c>
    </row>
    <row r="45" spans="1:20" x14ac:dyDescent="0.3">
      <c r="A45" t="s">
        <v>56</v>
      </c>
      <c r="B45" t="s">
        <v>57</v>
      </c>
      <c r="C45">
        <v>2303</v>
      </c>
      <c r="D45">
        <v>1120</v>
      </c>
      <c r="E45">
        <v>1660</v>
      </c>
      <c r="F45">
        <v>53.48</v>
      </c>
      <c r="G45">
        <v>78543</v>
      </c>
      <c r="H45">
        <v>46720</v>
      </c>
      <c r="I45">
        <v>1.25</v>
      </c>
      <c r="J45" t="s">
        <v>12</v>
      </c>
      <c r="K45" t="s">
        <v>1282</v>
      </c>
      <c r="L45" s="25">
        <v>0.93130787037037033</v>
      </c>
      <c r="M45">
        <v>0.53479999999999994</v>
      </c>
      <c r="N45">
        <v>1.2500000000000001E-2</v>
      </c>
      <c r="O45">
        <v>5083</v>
      </c>
      <c r="P45">
        <v>0.10879708904109589</v>
      </c>
      <c r="Q45" t="s">
        <v>1238</v>
      </c>
      <c r="R45" t="s">
        <v>1239</v>
      </c>
      <c r="S45" t="s">
        <v>1233</v>
      </c>
      <c r="T45">
        <v>3</v>
      </c>
    </row>
    <row r="46" spans="1:20" x14ac:dyDescent="0.3">
      <c r="A46" t="s">
        <v>56</v>
      </c>
      <c r="B46" t="s">
        <v>57</v>
      </c>
      <c r="C46">
        <v>2303</v>
      </c>
      <c r="D46">
        <v>1120</v>
      </c>
      <c r="E46">
        <v>1660</v>
      </c>
      <c r="F46">
        <v>53.48</v>
      </c>
      <c r="G46">
        <v>78543</v>
      </c>
      <c r="H46">
        <v>46720</v>
      </c>
      <c r="I46">
        <v>1.25</v>
      </c>
      <c r="J46" t="s">
        <v>12</v>
      </c>
      <c r="K46" t="s">
        <v>1283</v>
      </c>
      <c r="L46" s="25">
        <v>0.93130787037037033</v>
      </c>
      <c r="M46">
        <v>0.53479999999999994</v>
      </c>
      <c r="N46">
        <v>1.2500000000000001E-2</v>
      </c>
      <c r="O46">
        <v>5083</v>
      </c>
      <c r="P46">
        <v>0.10879708904109589</v>
      </c>
      <c r="Q46" t="s">
        <v>1238</v>
      </c>
      <c r="R46" t="s">
        <v>1239</v>
      </c>
      <c r="S46" t="s">
        <v>1233</v>
      </c>
      <c r="T46">
        <v>3</v>
      </c>
    </row>
    <row r="47" spans="1:20" x14ac:dyDescent="0.3">
      <c r="A47" t="s">
        <v>59</v>
      </c>
      <c r="B47" t="s">
        <v>60</v>
      </c>
      <c r="C47">
        <v>3729</v>
      </c>
      <c r="D47">
        <v>931</v>
      </c>
      <c r="E47">
        <v>1022</v>
      </c>
      <c r="F47">
        <v>69.540000000000006</v>
      </c>
      <c r="G47">
        <v>78370</v>
      </c>
      <c r="H47">
        <v>37690</v>
      </c>
      <c r="I47">
        <v>1.95</v>
      </c>
      <c r="J47" t="s">
        <v>42</v>
      </c>
      <c r="K47" t="s">
        <v>1284</v>
      </c>
      <c r="L47" s="25">
        <v>0.6939467592592593</v>
      </c>
      <c r="M47">
        <v>0.69540000000000002</v>
      </c>
      <c r="N47">
        <v>1.95E-2</v>
      </c>
      <c r="O47">
        <v>5682</v>
      </c>
      <c r="P47">
        <v>0.1507561687450252</v>
      </c>
      <c r="Q47" t="s">
        <v>1238</v>
      </c>
      <c r="R47" t="s">
        <v>1239</v>
      </c>
      <c r="S47" t="s">
        <v>1230</v>
      </c>
      <c r="T47">
        <v>3</v>
      </c>
    </row>
    <row r="48" spans="1:20" x14ac:dyDescent="0.3">
      <c r="A48" t="s">
        <v>59</v>
      </c>
      <c r="B48" t="s">
        <v>60</v>
      </c>
      <c r="C48">
        <v>3729</v>
      </c>
      <c r="D48">
        <v>931</v>
      </c>
      <c r="E48">
        <v>1022</v>
      </c>
      <c r="F48">
        <v>69.540000000000006</v>
      </c>
      <c r="G48">
        <v>78370</v>
      </c>
      <c r="H48">
        <v>37690</v>
      </c>
      <c r="I48">
        <v>1.95</v>
      </c>
      <c r="J48" t="s">
        <v>42</v>
      </c>
      <c r="K48" t="s">
        <v>1285</v>
      </c>
      <c r="L48" s="25">
        <v>0.6939467592592593</v>
      </c>
      <c r="M48">
        <v>0.69540000000000002</v>
      </c>
      <c r="N48">
        <v>1.95E-2</v>
      </c>
      <c r="O48">
        <v>5682</v>
      </c>
      <c r="P48">
        <v>0.1507561687450252</v>
      </c>
      <c r="Q48" t="s">
        <v>1238</v>
      </c>
      <c r="R48" t="s">
        <v>1239</v>
      </c>
      <c r="S48" t="s">
        <v>1230</v>
      </c>
      <c r="T48">
        <v>3</v>
      </c>
    </row>
    <row r="49" spans="1:20" x14ac:dyDescent="0.3">
      <c r="A49" t="s">
        <v>59</v>
      </c>
      <c r="B49" t="s">
        <v>60</v>
      </c>
      <c r="C49">
        <v>3729</v>
      </c>
      <c r="D49">
        <v>931</v>
      </c>
      <c r="E49">
        <v>1022</v>
      </c>
      <c r="F49">
        <v>69.540000000000006</v>
      </c>
      <c r="G49">
        <v>78370</v>
      </c>
      <c r="H49">
        <v>37690</v>
      </c>
      <c r="I49">
        <v>1.95</v>
      </c>
      <c r="J49" t="s">
        <v>42</v>
      </c>
      <c r="K49" t="s">
        <v>1286</v>
      </c>
      <c r="L49" s="25">
        <v>0.6939467592592593</v>
      </c>
      <c r="M49">
        <v>0.69540000000000002</v>
      </c>
      <c r="N49">
        <v>1.95E-2</v>
      </c>
      <c r="O49">
        <v>5682</v>
      </c>
      <c r="P49">
        <v>0.1507561687450252</v>
      </c>
      <c r="Q49" t="s">
        <v>1238</v>
      </c>
      <c r="R49" t="s">
        <v>1239</v>
      </c>
      <c r="S49" t="s">
        <v>1230</v>
      </c>
      <c r="T49">
        <v>3</v>
      </c>
    </row>
    <row r="50" spans="1:20" x14ac:dyDescent="0.3">
      <c r="A50" t="s">
        <v>62</v>
      </c>
      <c r="B50" t="s">
        <v>63</v>
      </c>
      <c r="C50">
        <v>4987</v>
      </c>
      <c r="D50">
        <v>4164</v>
      </c>
      <c r="E50">
        <v>669</v>
      </c>
      <c r="F50">
        <v>81</v>
      </c>
      <c r="G50">
        <v>63915</v>
      </c>
      <c r="H50">
        <v>68362</v>
      </c>
      <c r="I50">
        <v>5.37</v>
      </c>
      <c r="J50" t="s">
        <v>12</v>
      </c>
      <c r="K50" t="s">
        <v>1287</v>
      </c>
      <c r="L50" s="25">
        <v>0.56428240740740743</v>
      </c>
      <c r="M50">
        <v>0.81</v>
      </c>
      <c r="N50">
        <v>5.3699999999999998E-2</v>
      </c>
      <c r="O50">
        <v>9820</v>
      </c>
      <c r="P50">
        <v>0.14364705538164477</v>
      </c>
      <c r="Q50" t="s">
        <v>1238</v>
      </c>
      <c r="R50" t="s">
        <v>1239</v>
      </c>
      <c r="S50" t="s">
        <v>1230</v>
      </c>
      <c r="T50">
        <v>3</v>
      </c>
    </row>
    <row r="51" spans="1:20" x14ac:dyDescent="0.3">
      <c r="A51" t="s">
        <v>62</v>
      </c>
      <c r="B51" t="s">
        <v>63</v>
      </c>
      <c r="C51">
        <v>4987</v>
      </c>
      <c r="D51">
        <v>4164</v>
      </c>
      <c r="E51">
        <v>669</v>
      </c>
      <c r="F51">
        <v>81</v>
      </c>
      <c r="G51">
        <v>63915</v>
      </c>
      <c r="H51">
        <v>68362</v>
      </c>
      <c r="I51">
        <v>5.37</v>
      </c>
      <c r="J51" t="s">
        <v>12</v>
      </c>
      <c r="K51" t="s">
        <v>1259</v>
      </c>
      <c r="L51" s="25">
        <v>0.56428240740740743</v>
      </c>
      <c r="M51">
        <v>0.81</v>
      </c>
      <c r="N51">
        <v>5.3699999999999998E-2</v>
      </c>
      <c r="O51">
        <v>9820</v>
      </c>
      <c r="P51">
        <v>0.14364705538164477</v>
      </c>
      <c r="Q51" t="s">
        <v>1238</v>
      </c>
      <c r="R51" t="s">
        <v>1239</v>
      </c>
      <c r="S51" t="s">
        <v>1230</v>
      </c>
      <c r="T51">
        <v>3</v>
      </c>
    </row>
    <row r="52" spans="1:20" x14ac:dyDescent="0.3">
      <c r="A52" t="s">
        <v>62</v>
      </c>
      <c r="B52" t="s">
        <v>63</v>
      </c>
      <c r="C52">
        <v>4987</v>
      </c>
      <c r="D52">
        <v>4164</v>
      </c>
      <c r="E52">
        <v>669</v>
      </c>
      <c r="F52">
        <v>81</v>
      </c>
      <c r="G52">
        <v>63915</v>
      </c>
      <c r="H52">
        <v>68362</v>
      </c>
      <c r="I52">
        <v>5.37</v>
      </c>
      <c r="J52" t="s">
        <v>12</v>
      </c>
      <c r="K52" t="s">
        <v>1288</v>
      </c>
      <c r="L52" s="25">
        <v>0.56428240740740743</v>
      </c>
      <c r="M52">
        <v>0.81</v>
      </c>
      <c r="N52">
        <v>5.3699999999999998E-2</v>
      </c>
      <c r="O52">
        <v>9820</v>
      </c>
      <c r="P52">
        <v>0.14364705538164477</v>
      </c>
      <c r="Q52" t="s">
        <v>1238</v>
      </c>
      <c r="R52" t="s">
        <v>1239</v>
      </c>
      <c r="S52" t="s">
        <v>1230</v>
      </c>
      <c r="T52">
        <v>3</v>
      </c>
    </row>
    <row r="53" spans="1:20" x14ac:dyDescent="0.3">
      <c r="A53" t="s">
        <v>65</v>
      </c>
      <c r="B53" t="s">
        <v>66</v>
      </c>
      <c r="C53">
        <v>381</v>
      </c>
      <c r="D53">
        <v>3180</v>
      </c>
      <c r="E53">
        <v>1841</v>
      </c>
      <c r="F53">
        <v>12.44</v>
      </c>
      <c r="G53">
        <v>7553</v>
      </c>
      <c r="H53">
        <v>92301</v>
      </c>
      <c r="I53">
        <v>7.04</v>
      </c>
      <c r="J53" t="s">
        <v>12</v>
      </c>
      <c r="K53" t="s">
        <v>1289</v>
      </c>
      <c r="L53" s="25">
        <v>9.7430555555555562E-2</v>
      </c>
      <c r="M53">
        <v>0.1244</v>
      </c>
      <c r="N53">
        <v>7.0400000000000004E-2</v>
      </c>
      <c r="O53">
        <v>5402</v>
      </c>
      <c r="P53">
        <v>5.8525909795126813E-2</v>
      </c>
      <c r="Q53" t="s">
        <v>1238</v>
      </c>
      <c r="R53" t="s">
        <v>1239</v>
      </c>
      <c r="S53" t="s">
        <v>1231</v>
      </c>
      <c r="T53">
        <v>3</v>
      </c>
    </row>
    <row r="54" spans="1:20" x14ac:dyDescent="0.3">
      <c r="A54" t="s">
        <v>65</v>
      </c>
      <c r="B54" t="s">
        <v>66</v>
      </c>
      <c r="C54">
        <v>381</v>
      </c>
      <c r="D54">
        <v>3180</v>
      </c>
      <c r="E54">
        <v>1841</v>
      </c>
      <c r="F54">
        <v>12.44</v>
      </c>
      <c r="G54">
        <v>7553</v>
      </c>
      <c r="H54">
        <v>92301</v>
      </c>
      <c r="I54">
        <v>7.04</v>
      </c>
      <c r="J54" t="s">
        <v>12</v>
      </c>
      <c r="K54" t="s">
        <v>1290</v>
      </c>
      <c r="L54" s="25">
        <v>9.7430555555555562E-2</v>
      </c>
      <c r="M54">
        <v>0.1244</v>
      </c>
      <c r="N54">
        <v>7.0400000000000004E-2</v>
      </c>
      <c r="O54">
        <v>5402</v>
      </c>
      <c r="P54">
        <v>5.8525909795126813E-2</v>
      </c>
      <c r="Q54" t="s">
        <v>1238</v>
      </c>
      <c r="R54" t="s">
        <v>1239</v>
      </c>
      <c r="S54" t="s">
        <v>1231</v>
      </c>
      <c r="T54">
        <v>3</v>
      </c>
    </row>
    <row r="55" spans="1:20" x14ac:dyDescent="0.3">
      <c r="A55" t="s">
        <v>65</v>
      </c>
      <c r="B55" t="s">
        <v>66</v>
      </c>
      <c r="C55">
        <v>381</v>
      </c>
      <c r="D55">
        <v>3180</v>
      </c>
      <c r="E55">
        <v>1841</v>
      </c>
      <c r="F55">
        <v>12.44</v>
      </c>
      <c r="G55">
        <v>7553</v>
      </c>
      <c r="H55">
        <v>92301</v>
      </c>
      <c r="I55">
        <v>7.04</v>
      </c>
      <c r="J55" t="s">
        <v>12</v>
      </c>
      <c r="K55" t="s">
        <v>1291</v>
      </c>
      <c r="L55" s="25">
        <v>9.7430555555555562E-2</v>
      </c>
      <c r="M55">
        <v>0.1244</v>
      </c>
      <c r="N55">
        <v>7.0400000000000004E-2</v>
      </c>
      <c r="O55">
        <v>5402</v>
      </c>
      <c r="P55">
        <v>5.8525909795126813E-2</v>
      </c>
      <c r="Q55" t="s">
        <v>1238</v>
      </c>
      <c r="R55" t="s">
        <v>1239</v>
      </c>
      <c r="S55" t="s">
        <v>1231</v>
      </c>
      <c r="T55">
        <v>3</v>
      </c>
    </row>
    <row r="56" spans="1:20" x14ac:dyDescent="0.3">
      <c r="A56" t="s">
        <v>68</v>
      </c>
      <c r="B56" t="s">
        <v>69</v>
      </c>
      <c r="C56">
        <v>3483</v>
      </c>
      <c r="D56">
        <v>2605</v>
      </c>
      <c r="E56">
        <v>253</v>
      </c>
      <c r="F56">
        <v>50.43</v>
      </c>
      <c r="G56">
        <v>88323</v>
      </c>
      <c r="H56">
        <v>52593</v>
      </c>
      <c r="I56">
        <v>7.22</v>
      </c>
      <c r="J56" t="s">
        <v>20</v>
      </c>
      <c r="K56" t="s">
        <v>1292</v>
      </c>
      <c r="L56" s="25">
        <v>0.53863425925925923</v>
      </c>
      <c r="M56">
        <v>0.50429999999999997</v>
      </c>
      <c r="N56">
        <v>7.22E-2</v>
      </c>
      <c r="O56">
        <v>6341</v>
      </c>
      <c r="P56">
        <v>0.12056737588652482</v>
      </c>
      <c r="Q56" t="s">
        <v>1238</v>
      </c>
      <c r="R56" t="s">
        <v>1239</v>
      </c>
      <c r="S56" t="s">
        <v>1230</v>
      </c>
      <c r="T56">
        <v>3</v>
      </c>
    </row>
    <row r="57" spans="1:20" x14ac:dyDescent="0.3">
      <c r="A57" t="s">
        <v>68</v>
      </c>
      <c r="B57" t="s">
        <v>69</v>
      </c>
      <c r="C57">
        <v>3483</v>
      </c>
      <c r="D57">
        <v>2605</v>
      </c>
      <c r="E57">
        <v>253</v>
      </c>
      <c r="F57">
        <v>50.43</v>
      </c>
      <c r="G57">
        <v>88323</v>
      </c>
      <c r="H57">
        <v>52593</v>
      </c>
      <c r="I57">
        <v>7.22</v>
      </c>
      <c r="J57" t="s">
        <v>20</v>
      </c>
      <c r="K57" t="s">
        <v>1293</v>
      </c>
      <c r="L57" s="25">
        <v>0.53863425925925923</v>
      </c>
      <c r="M57">
        <v>0.50429999999999997</v>
      </c>
      <c r="N57">
        <v>7.22E-2</v>
      </c>
      <c r="O57">
        <v>6341</v>
      </c>
      <c r="P57">
        <v>0.12056737588652482</v>
      </c>
      <c r="Q57" t="s">
        <v>1238</v>
      </c>
      <c r="R57" t="s">
        <v>1239</v>
      </c>
      <c r="S57" t="s">
        <v>1230</v>
      </c>
      <c r="T57">
        <v>3</v>
      </c>
    </row>
    <row r="58" spans="1:20" x14ac:dyDescent="0.3">
      <c r="A58" t="s">
        <v>68</v>
      </c>
      <c r="B58" t="s">
        <v>69</v>
      </c>
      <c r="C58">
        <v>3483</v>
      </c>
      <c r="D58">
        <v>2605</v>
      </c>
      <c r="E58">
        <v>253</v>
      </c>
      <c r="F58">
        <v>50.43</v>
      </c>
      <c r="G58">
        <v>88323</v>
      </c>
      <c r="H58">
        <v>52593</v>
      </c>
      <c r="I58">
        <v>7.22</v>
      </c>
      <c r="J58" t="s">
        <v>20</v>
      </c>
      <c r="K58" t="s">
        <v>1294</v>
      </c>
      <c r="L58" s="25">
        <v>0.53863425925925923</v>
      </c>
      <c r="M58">
        <v>0.50429999999999997</v>
      </c>
      <c r="N58">
        <v>7.22E-2</v>
      </c>
      <c r="O58">
        <v>6341</v>
      </c>
      <c r="P58">
        <v>0.12056737588652482</v>
      </c>
      <c r="Q58" t="s">
        <v>1238</v>
      </c>
      <c r="R58" t="s">
        <v>1239</v>
      </c>
      <c r="S58" t="s">
        <v>1230</v>
      </c>
      <c r="T58">
        <v>3</v>
      </c>
    </row>
    <row r="59" spans="1:20" x14ac:dyDescent="0.3">
      <c r="A59" t="s">
        <v>71</v>
      </c>
      <c r="B59" t="s">
        <v>72</v>
      </c>
      <c r="C59">
        <v>118</v>
      </c>
      <c r="D59">
        <v>3048</v>
      </c>
      <c r="E59">
        <v>918</v>
      </c>
      <c r="F59">
        <v>4.2699999999999996</v>
      </c>
      <c r="G59">
        <v>19881</v>
      </c>
      <c r="H59">
        <v>41902</v>
      </c>
      <c r="I59">
        <v>2.35</v>
      </c>
      <c r="J59" t="s">
        <v>16</v>
      </c>
      <c r="K59" t="s">
        <v>1295</v>
      </c>
      <c r="L59" s="25">
        <v>0.83972222222222226</v>
      </c>
      <c r="M59">
        <v>4.2699999999999995E-2</v>
      </c>
      <c r="N59">
        <v>2.35E-2</v>
      </c>
      <c r="O59">
        <v>4084</v>
      </c>
      <c r="P59">
        <v>9.7465514772564557E-2</v>
      </c>
      <c r="Q59" t="s">
        <v>1238</v>
      </c>
      <c r="R59" t="s">
        <v>1239</v>
      </c>
      <c r="S59" t="s">
        <v>1232</v>
      </c>
      <c r="T59">
        <v>3</v>
      </c>
    </row>
    <row r="60" spans="1:20" x14ac:dyDescent="0.3">
      <c r="A60" t="s">
        <v>71</v>
      </c>
      <c r="B60" t="s">
        <v>72</v>
      </c>
      <c r="C60">
        <v>118</v>
      </c>
      <c r="D60">
        <v>3048</v>
      </c>
      <c r="E60">
        <v>918</v>
      </c>
      <c r="F60">
        <v>4.2699999999999996</v>
      </c>
      <c r="G60">
        <v>19881</v>
      </c>
      <c r="H60">
        <v>41902</v>
      </c>
      <c r="I60">
        <v>2.35</v>
      </c>
      <c r="J60" t="s">
        <v>16</v>
      </c>
      <c r="K60" t="s">
        <v>1296</v>
      </c>
      <c r="L60" s="25">
        <v>0.83972222222222226</v>
      </c>
      <c r="M60">
        <v>4.2699999999999995E-2</v>
      </c>
      <c r="N60">
        <v>2.35E-2</v>
      </c>
      <c r="O60">
        <v>4084</v>
      </c>
      <c r="P60">
        <v>9.7465514772564557E-2</v>
      </c>
      <c r="Q60" t="s">
        <v>1238</v>
      </c>
      <c r="R60" t="s">
        <v>1239</v>
      </c>
      <c r="S60" t="s">
        <v>1232</v>
      </c>
      <c r="T60">
        <v>3</v>
      </c>
    </row>
    <row r="61" spans="1:20" x14ac:dyDescent="0.3">
      <c r="A61" t="s">
        <v>71</v>
      </c>
      <c r="B61" t="s">
        <v>72</v>
      </c>
      <c r="C61">
        <v>118</v>
      </c>
      <c r="D61">
        <v>3048</v>
      </c>
      <c r="E61">
        <v>918</v>
      </c>
      <c r="F61">
        <v>4.2699999999999996</v>
      </c>
      <c r="G61">
        <v>19881</v>
      </c>
      <c r="H61">
        <v>41902</v>
      </c>
      <c r="I61">
        <v>2.35</v>
      </c>
      <c r="J61" t="s">
        <v>16</v>
      </c>
      <c r="K61" t="s">
        <v>1297</v>
      </c>
      <c r="L61" s="25">
        <v>0.83972222222222226</v>
      </c>
      <c r="M61">
        <v>4.2699999999999995E-2</v>
      </c>
      <c r="N61">
        <v>2.35E-2</v>
      </c>
      <c r="O61">
        <v>4084</v>
      </c>
      <c r="P61">
        <v>9.7465514772564557E-2</v>
      </c>
      <c r="Q61" t="s">
        <v>1238</v>
      </c>
      <c r="R61" t="s">
        <v>1239</v>
      </c>
      <c r="S61" t="s">
        <v>1232</v>
      </c>
      <c r="T61">
        <v>3</v>
      </c>
    </row>
    <row r="62" spans="1:20" x14ac:dyDescent="0.3">
      <c r="A62" t="s">
        <v>74</v>
      </c>
      <c r="B62" t="s">
        <v>75</v>
      </c>
      <c r="C62">
        <v>530</v>
      </c>
      <c r="D62">
        <v>858</v>
      </c>
      <c r="E62">
        <v>1273</v>
      </c>
      <c r="F62">
        <v>27.99</v>
      </c>
      <c r="G62">
        <v>75502</v>
      </c>
      <c r="H62">
        <v>39879</v>
      </c>
      <c r="I62">
        <v>5.89</v>
      </c>
      <c r="J62" t="s">
        <v>42</v>
      </c>
      <c r="K62" t="s">
        <v>1298</v>
      </c>
      <c r="L62" s="25">
        <v>0.1832175925925926</v>
      </c>
      <c r="M62">
        <v>0.27989999999999998</v>
      </c>
      <c r="N62">
        <v>5.8899999999999994E-2</v>
      </c>
      <c r="O62">
        <v>2661</v>
      </c>
      <c r="P62">
        <v>6.6726848717370044E-2</v>
      </c>
      <c r="Q62" t="s">
        <v>1238</v>
      </c>
      <c r="R62" t="s">
        <v>1239</v>
      </c>
      <c r="S62" t="s">
        <v>1231</v>
      </c>
      <c r="T62">
        <v>3</v>
      </c>
    </row>
    <row r="63" spans="1:20" x14ac:dyDescent="0.3">
      <c r="A63" t="s">
        <v>74</v>
      </c>
      <c r="B63" t="s">
        <v>75</v>
      </c>
      <c r="C63">
        <v>530</v>
      </c>
      <c r="D63">
        <v>858</v>
      </c>
      <c r="E63">
        <v>1273</v>
      </c>
      <c r="F63">
        <v>27.99</v>
      </c>
      <c r="G63">
        <v>75502</v>
      </c>
      <c r="H63">
        <v>39879</v>
      </c>
      <c r="I63">
        <v>5.89</v>
      </c>
      <c r="J63" t="s">
        <v>42</v>
      </c>
      <c r="K63" t="s">
        <v>1299</v>
      </c>
      <c r="L63" s="25">
        <v>0.1832175925925926</v>
      </c>
      <c r="M63">
        <v>0.27989999999999998</v>
      </c>
      <c r="N63">
        <v>5.8899999999999994E-2</v>
      </c>
      <c r="O63">
        <v>2661</v>
      </c>
      <c r="P63">
        <v>6.6726848717370044E-2</v>
      </c>
      <c r="Q63" t="s">
        <v>1238</v>
      </c>
      <c r="R63" t="s">
        <v>1239</v>
      </c>
      <c r="S63" t="s">
        <v>1231</v>
      </c>
      <c r="T63">
        <v>3</v>
      </c>
    </row>
    <row r="64" spans="1:20" x14ac:dyDescent="0.3">
      <c r="A64" t="s">
        <v>74</v>
      </c>
      <c r="B64" t="s">
        <v>75</v>
      </c>
      <c r="C64">
        <v>530</v>
      </c>
      <c r="D64">
        <v>858</v>
      </c>
      <c r="E64">
        <v>1273</v>
      </c>
      <c r="F64">
        <v>27.99</v>
      </c>
      <c r="G64">
        <v>75502</v>
      </c>
      <c r="H64">
        <v>39879</v>
      </c>
      <c r="I64">
        <v>5.89</v>
      </c>
      <c r="J64" t="s">
        <v>42</v>
      </c>
      <c r="K64" t="s">
        <v>1300</v>
      </c>
      <c r="L64" s="25">
        <v>0.1832175925925926</v>
      </c>
      <c r="M64">
        <v>0.27989999999999998</v>
      </c>
      <c r="N64">
        <v>5.8899999999999994E-2</v>
      </c>
      <c r="O64">
        <v>2661</v>
      </c>
      <c r="P64">
        <v>6.6726848717370044E-2</v>
      </c>
      <c r="Q64" t="s">
        <v>1238</v>
      </c>
      <c r="R64" t="s">
        <v>1239</v>
      </c>
      <c r="S64" t="s">
        <v>1231</v>
      </c>
      <c r="T64">
        <v>3</v>
      </c>
    </row>
    <row r="65" spans="1:20" x14ac:dyDescent="0.3">
      <c r="A65" t="s">
        <v>77</v>
      </c>
      <c r="B65" t="s">
        <v>78</v>
      </c>
      <c r="C65">
        <v>7882</v>
      </c>
      <c r="D65">
        <v>909</v>
      </c>
      <c r="E65">
        <v>732</v>
      </c>
      <c r="F65">
        <v>46.35</v>
      </c>
      <c r="G65">
        <v>67482</v>
      </c>
      <c r="H65">
        <v>48480</v>
      </c>
      <c r="I65">
        <v>1.47</v>
      </c>
      <c r="J65" t="s">
        <v>42</v>
      </c>
      <c r="K65" t="s">
        <v>1301</v>
      </c>
      <c r="L65" s="25">
        <v>0.46285879629629628</v>
      </c>
      <c r="M65">
        <v>0.46350000000000002</v>
      </c>
      <c r="N65">
        <v>1.47E-2</v>
      </c>
      <c r="O65">
        <v>9523</v>
      </c>
      <c r="P65">
        <v>0.19643151815181517</v>
      </c>
      <c r="Q65" t="s">
        <v>1238</v>
      </c>
      <c r="R65" t="s">
        <v>1239</v>
      </c>
      <c r="S65" t="s">
        <v>1231</v>
      </c>
      <c r="T65">
        <v>3</v>
      </c>
    </row>
    <row r="66" spans="1:20" x14ac:dyDescent="0.3">
      <c r="A66" t="s">
        <v>77</v>
      </c>
      <c r="B66" t="s">
        <v>78</v>
      </c>
      <c r="C66">
        <v>7882</v>
      </c>
      <c r="D66">
        <v>909</v>
      </c>
      <c r="E66">
        <v>732</v>
      </c>
      <c r="F66">
        <v>46.35</v>
      </c>
      <c r="G66">
        <v>67482</v>
      </c>
      <c r="H66">
        <v>48480</v>
      </c>
      <c r="I66">
        <v>1.47</v>
      </c>
      <c r="J66" t="s">
        <v>42</v>
      </c>
      <c r="K66" t="s">
        <v>1302</v>
      </c>
      <c r="L66" s="25">
        <v>0.46285879629629628</v>
      </c>
      <c r="M66">
        <v>0.46350000000000002</v>
      </c>
      <c r="N66">
        <v>1.47E-2</v>
      </c>
      <c r="O66">
        <v>9523</v>
      </c>
      <c r="P66">
        <v>0.19643151815181517</v>
      </c>
      <c r="Q66" t="s">
        <v>1238</v>
      </c>
      <c r="R66" t="s">
        <v>1239</v>
      </c>
      <c r="S66" t="s">
        <v>1231</v>
      </c>
      <c r="T66">
        <v>3</v>
      </c>
    </row>
    <row r="67" spans="1:20" x14ac:dyDescent="0.3">
      <c r="A67" t="s">
        <v>77</v>
      </c>
      <c r="B67" t="s">
        <v>78</v>
      </c>
      <c r="C67">
        <v>7882</v>
      </c>
      <c r="D67">
        <v>909</v>
      </c>
      <c r="E67">
        <v>732</v>
      </c>
      <c r="F67">
        <v>46.35</v>
      </c>
      <c r="G67">
        <v>67482</v>
      </c>
      <c r="H67">
        <v>48480</v>
      </c>
      <c r="I67">
        <v>1.47</v>
      </c>
      <c r="J67" t="s">
        <v>42</v>
      </c>
      <c r="K67" t="s">
        <v>1303</v>
      </c>
      <c r="L67" s="25">
        <v>0.46285879629629628</v>
      </c>
      <c r="M67">
        <v>0.46350000000000002</v>
      </c>
      <c r="N67">
        <v>1.47E-2</v>
      </c>
      <c r="O67">
        <v>9523</v>
      </c>
      <c r="P67">
        <v>0.19643151815181517</v>
      </c>
      <c r="Q67" t="s">
        <v>1238</v>
      </c>
      <c r="R67" t="s">
        <v>1239</v>
      </c>
      <c r="S67" t="s">
        <v>1231</v>
      </c>
      <c r="T67">
        <v>3</v>
      </c>
    </row>
    <row r="68" spans="1:20" x14ac:dyDescent="0.3">
      <c r="A68" t="s">
        <v>80</v>
      </c>
      <c r="B68" t="s">
        <v>81</v>
      </c>
      <c r="C68">
        <v>7085</v>
      </c>
      <c r="D68">
        <v>3616</v>
      </c>
      <c r="E68">
        <v>741</v>
      </c>
      <c r="F68">
        <v>11.84</v>
      </c>
      <c r="G68">
        <v>78533</v>
      </c>
      <c r="H68">
        <v>12572</v>
      </c>
      <c r="I68">
        <v>3.22</v>
      </c>
      <c r="J68" t="s">
        <v>12</v>
      </c>
      <c r="K68" t="s">
        <v>1304</v>
      </c>
      <c r="L68" s="25">
        <v>0.74972222222222218</v>
      </c>
      <c r="M68">
        <v>0.11840000000000001</v>
      </c>
      <c r="N68">
        <v>3.2199999999999999E-2</v>
      </c>
      <c r="O68">
        <v>11442</v>
      </c>
      <c r="P68">
        <v>0.91011772192173079</v>
      </c>
      <c r="Q68" t="s">
        <v>1238</v>
      </c>
      <c r="R68" t="s">
        <v>1239</v>
      </c>
      <c r="S68" t="s">
        <v>1232</v>
      </c>
      <c r="T68">
        <v>3</v>
      </c>
    </row>
    <row r="69" spans="1:20" x14ac:dyDescent="0.3">
      <c r="A69" t="s">
        <v>80</v>
      </c>
      <c r="B69" t="s">
        <v>81</v>
      </c>
      <c r="C69">
        <v>7085</v>
      </c>
      <c r="D69">
        <v>3616</v>
      </c>
      <c r="E69">
        <v>741</v>
      </c>
      <c r="F69">
        <v>11.84</v>
      </c>
      <c r="G69">
        <v>78533</v>
      </c>
      <c r="H69">
        <v>12572</v>
      </c>
      <c r="I69">
        <v>3.22</v>
      </c>
      <c r="J69" t="s">
        <v>12</v>
      </c>
      <c r="K69" t="s">
        <v>1305</v>
      </c>
      <c r="L69" s="25">
        <v>0.74972222222222218</v>
      </c>
      <c r="M69">
        <v>0.11840000000000001</v>
      </c>
      <c r="N69">
        <v>3.2199999999999999E-2</v>
      </c>
      <c r="O69">
        <v>11442</v>
      </c>
      <c r="P69">
        <v>0.91011772192173079</v>
      </c>
      <c r="Q69" t="s">
        <v>1238</v>
      </c>
      <c r="R69" t="s">
        <v>1239</v>
      </c>
      <c r="S69" t="s">
        <v>1232</v>
      </c>
      <c r="T69">
        <v>3</v>
      </c>
    </row>
    <row r="70" spans="1:20" x14ac:dyDescent="0.3">
      <c r="A70" t="s">
        <v>80</v>
      </c>
      <c r="B70" t="s">
        <v>81</v>
      </c>
      <c r="C70">
        <v>7085</v>
      </c>
      <c r="D70">
        <v>3616</v>
      </c>
      <c r="E70">
        <v>741</v>
      </c>
      <c r="F70">
        <v>11.84</v>
      </c>
      <c r="G70">
        <v>78533</v>
      </c>
      <c r="H70">
        <v>12572</v>
      </c>
      <c r="I70">
        <v>3.22</v>
      </c>
      <c r="J70" t="s">
        <v>12</v>
      </c>
      <c r="K70" t="s">
        <v>1306</v>
      </c>
      <c r="L70" s="25">
        <v>0.74972222222222218</v>
      </c>
      <c r="M70">
        <v>0.11840000000000001</v>
      </c>
      <c r="N70">
        <v>3.2199999999999999E-2</v>
      </c>
      <c r="O70">
        <v>11442</v>
      </c>
      <c r="P70">
        <v>0.91011772192173079</v>
      </c>
      <c r="Q70" t="s">
        <v>1238</v>
      </c>
      <c r="R70" t="s">
        <v>1239</v>
      </c>
      <c r="S70" t="s">
        <v>1232</v>
      </c>
      <c r="T70">
        <v>3</v>
      </c>
    </row>
    <row r="71" spans="1:20" x14ac:dyDescent="0.3">
      <c r="A71" t="s">
        <v>83</v>
      </c>
      <c r="B71" t="s">
        <v>84</v>
      </c>
      <c r="C71">
        <v>9218</v>
      </c>
      <c r="D71">
        <v>1560</v>
      </c>
      <c r="E71">
        <v>93</v>
      </c>
      <c r="F71">
        <v>68.12</v>
      </c>
      <c r="G71">
        <v>60329</v>
      </c>
      <c r="H71">
        <v>76227</v>
      </c>
      <c r="I71">
        <v>8.66</v>
      </c>
      <c r="J71" t="s">
        <v>20</v>
      </c>
      <c r="K71" t="s">
        <v>1307</v>
      </c>
      <c r="L71" s="25">
        <v>0.80637731481481478</v>
      </c>
      <c r="M71">
        <v>0.68120000000000003</v>
      </c>
      <c r="N71">
        <v>8.6599999999999996E-2</v>
      </c>
      <c r="O71">
        <v>10871</v>
      </c>
      <c r="P71">
        <v>0.14261350964881211</v>
      </c>
      <c r="Q71" t="s">
        <v>1238</v>
      </c>
      <c r="R71" t="s">
        <v>1239</v>
      </c>
      <c r="S71" t="s">
        <v>1232</v>
      </c>
      <c r="T71">
        <v>3</v>
      </c>
    </row>
    <row r="72" spans="1:20" x14ac:dyDescent="0.3">
      <c r="A72" t="s">
        <v>83</v>
      </c>
      <c r="B72" t="s">
        <v>84</v>
      </c>
      <c r="C72">
        <v>9218</v>
      </c>
      <c r="D72">
        <v>1560</v>
      </c>
      <c r="E72">
        <v>93</v>
      </c>
      <c r="F72">
        <v>68.12</v>
      </c>
      <c r="G72">
        <v>60329</v>
      </c>
      <c r="H72">
        <v>76227</v>
      </c>
      <c r="I72">
        <v>8.66</v>
      </c>
      <c r="J72" t="s">
        <v>20</v>
      </c>
      <c r="K72" t="s">
        <v>1308</v>
      </c>
      <c r="L72" s="25">
        <v>0.80637731481481478</v>
      </c>
      <c r="M72">
        <v>0.68120000000000003</v>
      </c>
      <c r="N72">
        <v>8.6599999999999996E-2</v>
      </c>
      <c r="O72">
        <v>10871</v>
      </c>
      <c r="P72">
        <v>0.14261350964881211</v>
      </c>
      <c r="Q72" t="s">
        <v>1238</v>
      </c>
      <c r="R72" t="s">
        <v>1239</v>
      </c>
      <c r="S72" t="s">
        <v>1232</v>
      </c>
      <c r="T72">
        <v>3</v>
      </c>
    </row>
    <row r="73" spans="1:20" x14ac:dyDescent="0.3">
      <c r="A73" t="s">
        <v>83</v>
      </c>
      <c r="B73" t="s">
        <v>84</v>
      </c>
      <c r="C73">
        <v>9218</v>
      </c>
      <c r="D73">
        <v>1560</v>
      </c>
      <c r="E73">
        <v>93</v>
      </c>
      <c r="F73">
        <v>68.12</v>
      </c>
      <c r="G73">
        <v>60329</v>
      </c>
      <c r="H73">
        <v>76227</v>
      </c>
      <c r="I73">
        <v>8.66</v>
      </c>
      <c r="J73" t="s">
        <v>20</v>
      </c>
      <c r="K73" t="s">
        <v>1309</v>
      </c>
      <c r="L73" s="25">
        <v>0.80637731481481478</v>
      </c>
      <c r="M73">
        <v>0.68120000000000003</v>
      </c>
      <c r="N73">
        <v>8.6599999999999996E-2</v>
      </c>
      <c r="O73">
        <v>10871</v>
      </c>
      <c r="P73">
        <v>0.14261350964881211</v>
      </c>
      <c r="Q73" t="s">
        <v>1238</v>
      </c>
      <c r="R73" t="s">
        <v>1239</v>
      </c>
      <c r="S73" t="s">
        <v>1232</v>
      </c>
      <c r="T73">
        <v>3</v>
      </c>
    </row>
    <row r="74" spans="1:20" x14ac:dyDescent="0.3">
      <c r="A74" t="s">
        <v>86</v>
      </c>
      <c r="B74" t="s">
        <v>87</v>
      </c>
      <c r="C74">
        <v>1220</v>
      </c>
      <c r="D74">
        <v>633</v>
      </c>
      <c r="E74">
        <v>986</v>
      </c>
      <c r="F74">
        <v>2.65</v>
      </c>
      <c r="G74">
        <v>57353</v>
      </c>
      <c r="H74">
        <v>86163</v>
      </c>
      <c r="I74">
        <v>2.31</v>
      </c>
      <c r="J74" t="s">
        <v>16</v>
      </c>
      <c r="K74" t="s">
        <v>1310</v>
      </c>
      <c r="L74" s="25">
        <v>0.29197916666666668</v>
      </c>
      <c r="M74">
        <v>2.6499999999999999E-2</v>
      </c>
      <c r="N74">
        <v>2.3099999999999999E-2</v>
      </c>
      <c r="O74">
        <v>2839</v>
      </c>
      <c r="P74">
        <v>3.2949177721295686E-2</v>
      </c>
      <c r="Q74" t="s">
        <v>1238</v>
      </c>
      <c r="R74" t="s">
        <v>1239</v>
      </c>
      <c r="S74" t="s">
        <v>1231</v>
      </c>
      <c r="T74">
        <v>3</v>
      </c>
    </row>
    <row r="75" spans="1:20" x14ac:dyDescent="0.3">
      <c r="A75" t="s">
        <v>86</v>
      </c>
      <c r="B75" t="s">
        <v>87</v>
      </c>
      <c r="C75">
        <v>1220</v>
      </c>
      <c r="D75">
        <v>633</v>
      </c>
      <c r="E75">
        <v>986</v>
      </c>
      <c r="F75">
        <v>2.65</v>
      </c>
      <c r="G75">
        <v>57353</v>
      </c>
      <c r="H75">
        <v>86163</v>
      </c>
      <c r="I75">
        <v>2.31</v>
      </c>
      <c r="J75" t="s">
        <v>16</v>
      </c>
      <c r="K75" t="s">
        <v>1311</v>
      </c>
      <c r="L75" s="25">
        <v>0.29197916666666668</v>
      </c>
      <c r="M75">
        <v>2.6499999999999999E-2</v>
      </c>
      <c r="N75">
        <v>2.3099999999999999E-2</v>
      </c>
      <c r="O75">
        <v>2839</v>
      </c>
      <c r="P75">
        <v>3.2949177721295686E-2</v>
      </c>
      <c r="Q75" t="s">
        <v>1238</v>
      </c>
      <c r="R75" t="s">
        <v>1239</v>
      </c>
      <c r="S75" t="s">
        <v>1231</v>
      </c>
      <c r="T75">
        <v>3</v>
      </c>
    </row>
    <row r="76" spans="1:20" x14ac:dyDescent="0.3">
      <c r="A76" t="s">
        <v>86</v>
      </c>
      <c r="B76" t="s">
        <v>87</v>
      </c>
      <c r="C76">
        <v>1220</v>
      </c>
      <c r="D76">
        <v>633</v>
      </c>
      <c r="E76">
        <v>986</v>
      </c>
      <c r="F76">
        <v>2.65</v>
      </c>
      <c r="G76">
        <v>57353</v>
      </c>
      <c r="H76">
        <v>86163</v>
      </c>
      <c r="I76">
        <v>2.31</v>
      </c>
      <c r="J76" t="s">
        <v>16</v>
      </c>
      <c r="K76" t="s">
        <v>1280</v>
      </c>
      <c r="L76" s="25">
        <v>0.29197916666666668</v>
      </c>
      <c r="M76">
        <v>2.6499999999999999E-2</v>
      </c>
      <c r="N76">
        <v>2.3099999999999999E-2</v>
      </c>
      <c r="O76">
        <v>2839</v>
      </c>
      <c r="P76">
        <v>3.2949177721295686E-2</v>
      </c>
      <c r="Q76" t="s">
        <v>1238</v>
      </c>
      <c r="R76" t="s">
        <v>1239</v>
      </c>
      <c r="S76" t="s">
        <v>1231</v>
      </c>
      <c r="T76">
        <v>3</v>
      </c>
    </row>
    <row r="77" spans="1:20" x14ac:dyDescent="0.3">
      <c r="A77" t="s">
        <v>89</v>
      </c>
      <c r="B77" t="s">
        <v>90</v>
      </c>
      <c r="C77">
        <v>2093</v>
      </c>
      <c r="D77">
        <v>4157</v>
      </c>
      <c r="E77">
        <v>215</v>
      </c>
      <c r="F77">
        <v>30.6</v>
      </c>
      <c r="G77">
        <v>97819</v>
      </c>
      <c r="H77">
        <v>48911</v>
      </c>
      <c r="I77">
        <v>0.6</v>
      </c>
      <c r="J77" t="s">
        <v>20</v>
      </c>
      <c r="K77" t="s">
        <v>1312</v>
      </c>
      <c r="L77" s="25">
        <v>1.7569444444444443E-2</v>
      </c>
      <c r="M77">
        <v>0.30599999999999999</v>
      </c>
      <c r="N77">
        <v>6.0000000000000001E-3</v>
      </c>
      <c r="O77">
        <v>6465</v>
      </c>
      <c r="P77">
        <v>0.13217885547218416</v>
      </c>
      <c r="Q77" t="s">
        <v>1238</v>
      </c>
      <c r="R77" t="s">
        <v>1239</v>
      </c>
      <c r="S77" t="s">
        <v>1231</v>
      </c>
      <c r="T77">
        <v>3</v>
      </c>
    </row>
    <row r="78" spans="1:20" x14ac:dyDescent="0.3">
      <c r="A78" t="s">
        <v>89</v>
      </c>
      <c r="B78" t="s">
        <v>90</v>
      </c>
      <c r="C78">
        <v>2093</v>
      </c>
      <c r="D78">
        <v>4157</v>
      </c>
      <c r="E78">
        <v>215</v>
      </c>
      <c r="F78">
        <v>30.6</v>
      </c>
      <c r="G78">
        <v>97819</v>
      </c>
      <c r="H78">
        <v>48911</v>
      </c>
      <c r="I78">
        <v>0.6</v>
      </c>
      <c r="J78" t="s">
        <v>20</v>
      </c>
      <c r="K78" t="s">
        <v>1313</v>
      </c>
      <c r="L78" s="25">
        <v>1.7569444444444443E-2</v>
      </c>
      <c r="M78">
        <v>0.30599999999999999</v>
      </c>
      <c r="N78">
        <v>6.0000000000000001E-3</v>
      </c>
      <c r="O78">
        <v>6465</v>
      </c>
      <c r="P78">
        <v>0.13217885547218416</v>
      </c>
      <c r="Q78" t="s">
        <v>1238</v>
      </c>
      <c r="R78" t="s">
        <v>1239</v>
      </c>
      <c r="S78" t="s">
        <v>1231</v>
      </c>
      <c r="T78">
        <v>3</v>
      </c>
    </row>
    <row r="79" spans="1:20" x14ac:dyDescent="0.3">
      <c r="A79" t="s">
        <v>89</v>
      </c>
      <c r="B79" t="s">
        <v>90</v>
      </c>
      <c r="C79">
        <v>2093</v>
      </c>
      <c r="D79">
        <v>4157</v>
      </c>
      <c r="E79">
        <v>215</v>
      </c>
      <c r="F79">
        <v>30.6</v>
      </c>
      <c r="G79">
        <v>97819</v>
      </c>
      <c r="H79">
        <v>48911</v>
      </c>
      <c r="I79">
        <v>0.6</v>
      </c>
      <c r="J79" t="s">
        <v>20</v>
      </c>
      <c r="K79" t="s">
        <v>1314</v>
      </c>
      <c r="L79" s="25">
        <v>1.7569444444444443E-2</v>
      </c>
      <c r="M79">
        <v>0.30599999999999999</v>
      </c>
      <c r="N79">
        <v>6.0000000000000001E-3</v>
      </c>
      <c r="O79">
        <v>6465</v>
      </c>
      <c r="P79">
        <v>0.13217885547218416</v>
      </c>
      <c r="Q79" t="s">
        <v>1238</v>
      </c>
      <c r="R79" t="s">
        <v>1239</v>
      </c>
      <c r="S79" t="s">
        <v>1231</v>
      </c>
      <c r="T79">
        <v>3</v>
      </c>
    </row>
    <row r="80" spans="1:20" x14ac:dyDescent="0.3">
      <c r="A80" t="s">
        <v>92</v>
      </c>
      <c r="B80" t="s">
        <v>93</v>
      </c>
      <c r="C80">
        <v>7397</v>
      </c>
      <c r="D80">
        <v>604</v>
      </c>
      <c r="E80">
        <v>550</v>
      </c>
      <c r="F80">
        <v>0.48</v>
      </c>
      <c r="G80">
        <v>96991</v>
      </c>
      <c r="H80">
        <v>49236</v>
      </c>
      <c r="I80">
        <v>1.25</v>
      </c>
      <c r="J80" t="s">
        <v>12</v>
      </c>
      <c r="K80" t="s">
        <v>1315</v>
      </c>
      <c r="L80" s="25">
        <v>0.59923611111111108</v>
      </c>
      <c r="M80">
        <v>4.7999999999999996E-3</v>
      </c>
      <c r="N80">
        <v>1.2500000000000001E-2</v>
      </c>
      <c r="O80">
        <v>8551</v>
      </c>
      <c r="P80">
        <v>0.17367373466569178</v>
      </c>
      <c r="Q80" t="s">
        <v>1238</v>
      </c>
      <c r="R80" t="s">
        <v>1239</v>
      </c>
      <c r="S80" t="s">
        <v>1230</v>
      </c>
      <c r="T80">
        <v>3</v>
      </c>
    </row>
    <row r="81" spans="1:20" x14ac:dyDescent="0.3">
      <c r="A81" t="s">
        <v>92</v>
      </c>
      <c r="B81" t="s">
        <v>93</v>
      </c>
      <c r="C81">
        <v>7397</v>
      </c>
      <c r="D81">
        <v>604</v>
      </c>
      <c r="E81">
        <v>550</v>
      </c>
      <c r="F81">
        <v>0.48</v>
      </c>
      <c r="G81">
        <v>96991</v>
      </c>
      <c r="H81">
        <v>49236</v>
      </c>
      <c r="I81">
        <v>1.25</v>
      </c>
      <c r="J81" t="s">
        <v>12</v>
      </c>
      <c r="K81" t="s">
        <v>1316</v>
      </c>
      <c r="L81" s="25">
        <v>0.59923611111111108</v>
      </c>
      <c r="M81">
        <v>4.7999999999999996E-3</v>
      </c>
      <c r="N81">
        <v>1.2500000000000001E-2</v>
      </c>
      <c r="O81">
        <v>8551</v>
      </c>
      <c r="P81">
        <v>0.17367373466569178</v>
      </c>
      <c r="Q81" t="s">
        <v>1238</v>
      </c>
      <c r="R81" t="s">
        <v>1239</v>
      </c>
      <c r="S81" t="s">
        <v>1230</v>
      </c>
      <c r="T81">
        <v>3</v>
      </c>
    </row>
    <row r="82" spans="1:20" x14ac:dyDescent="0.3">
      <c r="A82" t="s">
        <v>92</v>
      </c>
      <c r="B82" t="s">
        <v>93</v>
      </c>
      <c r="C82">
        <v>7397</v>
      </c>
      <c r="D82">
        <v>604</v>
      </c>
      <c r="E82">
        <v>550</v>
      </c>
      <c r="F82">
        <v>0.48</v>
      </c>
      <c r="G82">
        <v>96991</v>
      </c>
      <c r="H82">
        <v>49236</v>
      </c>
      <c r="I82">
        <v>1.25</v>
      </c>
      <c r="J82" t="s">
        <v>12</v>
      </c>
      <c r="K82" t="s">
        <v>1317</v>
      </c>
      <c r="L82" s="25">
        <v>0.59923611111111108</v>
      </c>
      <c r="M82">
        <v>4.7999999999999996E-3</v>
      </c>
      <c r="N82">
        <v>1.2500000000000001E-2</v>
      </c>
      <c r="O82">
        <v>8551</v>
      </c>
      <c r="P82">
        <v>0.17367373466569178</v>
      </c>
      <c r="Q82" t="s">
        <v>1238</v>
      </c>
      <c r="R82" t="s">
        <v>1239</v>
      </c>
      <c r="S82" t="s">
        <v>1230</v>
      </c>
      <c r="T82">
        <v>3</v>
      </c>
    </row>
    <row r="83" spans="1:20" x14ac:dyDescent="0.3">
      <c r="A83" t="s">
        <v>95</v>
      </c>
      <c r="B83" t="s">
        <v>96</v>
      </c>
      <c r="C83">
        <v>9911</v>
      </c>
      <c r="D83">
        <v>496</v>
      </c>
      <c r="E83">
        <v>94</v>
      </c>
      <c r="F83">
        <v>64.22</v>
      </c>
      <c r="G83">
        <v>9397</v>
      </c>
      <c r="H83">
        <v>70992</v>
      </c>
      <c r="I83">
        <v>9.09</v>
      </c>
      <c r="J83" t="s">
        <v>16</v>
      </c>
      <c r="K83" t="s">
        <v>1318</v>
      </c>
      <c r="L83" s="25">
        <v>0.15800925925925927</v>
      </c>
      <c r="M83">
        <v>0.64219999999999999</v>
      </c>
      <c r="N83">
        <v>9.0899999999999995E-2</v>
      </c>
      <c r="O83">
        <v>10501</v>
      </c>
      <c r="P83">
        <v>0.14791807527608744</v>
      </c>
      <c r="Q83" t="s">
        <v>1238</v>
      </c>
      <c r="R83" t="s">
        <v>1239</v>
      </c>
      <c r="S83" t="s">
        <v>1231</v>
      </c>
      <c r="T83">
        <v>3</v>
      </c>
    </row>
    <row r="84" spans="1:20" x14ac:dyDescent="0.3">
      <c r="A84" t="s">
        <v>95</v>
      </c>
      <c r="B84" t="s">
        <v>96</v>
      </c>
      <c r="C84">
        <v>9911</v>
      </c>
      <c r="D84">
        <v>496</v>
      </c>
      <c r="E84">
        <v>94</v>
      </c>
      <c r="F84">
        <v>64.22</v>
      </c>
      <c r="G84">
        <v>9397</v>
      </c>
      <c r="H84">
        <v>70992</v>
      </c>
      <c r="I84">
        <v>9.09</v>
      </c>
      <c r="J84" t="s">
        <v>16</v>
      </c>
      <c r="K84" t="s">
        <v>1319</v>
      </c>
      <c r="L84" s="25">
        <v>0.15800925925925927</v>
      </c>
      <c r="M84">
        <v>0.64219999999999999</v>
      </c>
      <c r="N84">
        <v>9.0899999999999995E-2</v>
      </c>
      <c r="O84">
        <v>10501</v>
      </c>
      <c r="P84">
        <v>0.14791807527608744</v>
      </c>
      <c r="Q84" t="s">
        <v>1238</v>
      </c>
      <c r="R84" t="s">
        <v>1239</v>
      </c>
      <c r="S84" t="s">
        <v>1231</v>
      </c>
      <c r="T84">
        <v>3</v>
      </c>
    </row>
    <row r="85" spans="1:20" x14ac:dyDescent="0.3">
      <c r="A85" t="s">
        <v>95</v>
      </c>
      <c r="B85" t="s">
        <v>96</v>
      </c>
      <c r="C85">
        <v>9911</v>
      </c>
      <c r="D85">
        <v>496</v>
      </c>
      <c r="E85">
        <v>94</v>
      </c>
      <c r="F85">
        <v>64.22</v>
      </c>
      <c r="G85">
        <v>9397</v>
      </c>
      <c r="H85">
        <v>70992</v>
      </c>
      <c r="I85">
        <v>9.09</v>
      </c>
      <c r="J85" t="s">
        <v>16</v>
      </c>
      <c r="K85" t="s">
        <v>1320</v>
      </c>
      <c r="L85" s="25">
        <v>0.15800925925925927</v>
      </c>
      <c r="M85">
        <v>0.64219999999999999</v>
      </c>
      <c r="N85">
        <v>9.0899999999999995E-2</v>
      </c>
      <c r="O85">
        <v>10501</v>
      </c>
      <c r="P85">
        <v>0.14791807527608744</v>
      </c>
      <c r="Q85" t="s">
        <v>1238</v>
      </c>
      <c r="R85" t="s">
        <v>1239</v>
      </c>
      <c r="S85" t="s">
        <v>1231</v>
      </c>
      <c r="T85">
        <v>3</v>
      </c>
    </row>
    <row r="86" spans="1:20" x14ac:dyDescent="0.3">
      <c r="A86" t="s">
        <v>98</v>
      </c>
      <c r="B86" t="s">
        <v>99</v>
      </c>
      <c r="C86">
        <v>4882</v>
      </c>
      <c r="D86">
        <v>50</v>
      </c>
      <c r="E86">
        <v>940</v>
      </c>
      <c r="F86">
        <v>23.02</v>
      </c>
      <c r="G86">
        <v>86682</v>
      </c>
      <c r="H86">
        <v>66464</v>
      </c>
      <c r="I86">
        <v>2</v>
      </c>
      <c r="J86" t="s">
        <v>16</v>
      </c>
      <c r="K86" t="s">
        <v>1321</v>
      </c>
      <c r="L86" s="25">
        <v>0.78215277777777781</v>
      </c>
      <c r="M86">
        <v>0.23019999999999999</v>
      </c>
      <c r="N86">
        <v>0.02</v>
      </c>
      <c r="O86">
        <v>5872</v>
      </c>
      <c r="P86">
        <v>8.8348579682233988E-2</v>
      </c>
      <c r="Q86" t="s">
        <v>1238</v>
      </c>
      <c r="R86" t="s">
        <v>1239</v>
      </c>
      <c r="S86" t="s">
        <v>1232</v>
      </c>
      <c r="T86">
        <v>3</v>
      </c>
    </row>
    <row r="87" spans="1:20" x14ac:dyDescent="0.3">
      <c r="A87" t="s">
        <v>98</v>
      </c>
      <c r="B87" t="s">
        <v>99</v>
      </c>
      <c r="C87">
        <v>4882</v>
      </c>
      <c r="D87">
        <v>50</v>
      </c>
      <c r="E87">
        <v>940</v>
      </c>
      <c r="F87">
        <v>23.02</v>
      </c>
      <c r="G87">
        <v>86682</v>
      </c>
      <c r="H87">
        <v>66464</v>
      </c>
      <c r="I87">
        <v>2</v>
      </c>
      <c r="J87" t="s">
        <v>16</v>
      </c>
      <c r="K87" t="s">
        <v>1313</v>
      </c>
      <c r="L87" s="25">
        <v>0.78215277777777781</v>
      </c>
      <c r="M87">
        <v>0.23019999999999999</v>
      </c>
      <c r="N87">
        <v>0.02</v>
      </c>
      <c r="O87">
        <v>5872</v>
      </c>
      <c r="P87">
        <v>8.8348579682233988E-2</v>
      </c>
      <c r="Q87" t="s">
        <v>1238</v>
      </c>
      <c r="R87" t="s">
        <v>1239</v>
      </c>
      <c r="S87" t="s">
        <v>1232</v>
      </c>
      <c r="T87">
        <v>3</v>
      </c>
    </row>
    <row r="88" spans="1:20" x14ac:dyDescent="0.3">
      <c r="A88" t="s">
        <v>98</v>
      </c>
      <c r="B88" t="s">
        <v>99</v>
      </c>
      <c r="C88">
        <v>4882</v>
      </c>
      <c r="D88">
        <v>50</v>
      </c>
      <c r="E88">
        <v>940</v>
      </c>
      <c r="F88">
        <v>23.02</v>
      </c>
      <c r="G88">
        <v>86682</v>
      </c>
      <c r="H88">
        <v>66464</v>
      </c>
      <c r="I88">
        <v>2</v>
      </c>
      <c r="J88" t="s">
        <v>16</v>
      </c>
      <c r="K88" t="s">
        <v>1322</v>
      </c>
      <c r="L88" s="25">
        <v>0.78215277777777781</v>
      </c>
      <c r="M88">
        <v>0.23019999999999999</v>
      </c>
      <c r="N88">
        <v>0.02</v>
      </c>
      <c r="O88">
        <v>5872</v>
      </c>
      <c r="P88">
        <v>8.8348579682233988E-2</v>
      </c>
      <c r="Q88" t="s">
        <v>1238</v>
      </c>
      <c r="R88" t="s">
        <v>1239</v>
      </c>
      <c r="S88" t="s">
        <v>1232</v>
      </c>
      <c r="T88">
        <v>3</v>
      </c>
    </row>
    <row r="89" spans="1:20" x14ac:dyDescent="0.3">
      <c r="A89" t="s">
        <v>101</v>
      </c>
      <c r="B89" t="s">
        <v>102</v>
      </c>
      <c r="C89">
        <v>6860</v>
      </c>
      <c r="D89">
        <v>354</v>
      </c>
      <c r="E89">
        <v>1341</v>
      </c>
      <c r="F89">
        <v>32.21</v>
      </c>
      <c r="G89">
        <v>45635</v>
      </c>
      <c r="H89">
        <v>80614</v>
      </c>
      <c r="I89">
        <v>6.68</v>
      </c>
      <c r="J89" t="s">
        <v>42</v>
      </c>
      <c r="K89" t="s">
        <v>1323</v>
      </c>
      <c r="L89" s="25">
        <v>0.31155092592592593</v>
      </c>
      <c r="M89">
        <v>0.3221</v>
      </c>
      <c r="N89">
        <v>6.6799999999999998E-2</v>
      </c>
      <c r="O89">
        <v>8555</v>
      </c>
      <c r="P89">
        <v>0.10612300592949116</v>
      </c>
      <c r="Q89" t="s">
        <v>1238</v>
      </c>
      <c r="R89" t="s">
        <v>1239</v>
      </c>
      <c r="S89" t="s">
        <v>1231</v>
      </c>
      <c r="T89">
        <v>3</v>
      </c>
    </row>
    <row r="90" spans="1:20" x14ac:dyDescent="0.3">
      <c r="A90" t="s">
        <v>101</v>
      </c>
      <c r="B90" t="s">
        <v>102</v>
      </c>
      <c r="C90">
        <v>6860</v>
      </c>
      <c r="D90">
        <v>354</v>
      </c>
      <c r="E90">
        <v>1341</v>
      </c>
      <c r="F90">
        <v>32.21</v>
      </c>
      <c r="G90">
        <v>45635</v>
      </c>
      <c r="H90">
        <v>80614</v>
      </c>
      <c r="I90">
        <v>6.68</v>
      </c>
      <c r="J90" t="s">
        <v>42</v>
      </c>
      <c r="K90" t="s">
        <v>1251</v>
      </c>
      <c r="L90" s="25">
        <v>0.31155092592592593</v>
      </c>
      <c r="M90">
        <v>0.3221</v>
      </c>
      <c r="N90">
        <v>6.6799999999999998E-2</v>
      </c>
      <c r="O90">
        <v>8555</v>
      </c>
      <c r="P90">
        <v>0.10612300592949116</v>
      </c>
      <c r="Q90" t="s">
        <v>1238</v>
      </c>
      <c r="R90" t="s">
        <v>1239</v>
      </c>
      <c r="S90" t="s">
        <v>1231</v>
      </c>
      <c r="T90">
        <v>3</v>
      </c>
    </row>
    <row r="91" spans="1:20" x14ac:dyDescent="0.3">
      <c r="A91" t="s">
        <v>101</v>
      </c>
      <c r="B91" t="s">
        <v>102</v>
      </c>
      <c r="C91">
        <v>6860</v>
      </c>
      <c r="D91">
        <v>354</v>
      </c>
      <c r="E91">
        <v>1341</v>
      </c>
      <c r="F91">
        <v>32.21</v>
      </c>
      <c r="G91">
        <v>45635</v>
      </c>
      <c r="H91">
        <v>80614</v>
      </c>
      <c r="I91">
        <v>6.68</v>
      </c>
      <c r="J91" t="s">
        <v>42</v>
      </c>
      <c r="K91" t="s">
        <v>1324</v>
      </c>
      <c r="L91" s="25">
        <v>0.31155092592592593</v>
      </c>
      <c r="M91">
        <v>0.3221</v>
      </c>
      <c r="N91">
        <v>6.6799999999999998E-2</v>
      </c>
      <c r="O91">
        <v>8555</v>
      </c>
      <c r="P91">
        <v>0.10612300592949116</v>
      </c>
      <c r="Q91" t="s">
        <v>1238</v>
      </c>
      <c r="R91" t="s">
        <v>1239</v>
      </c>
      <c r="S91" t="s">
        <v>1231</v>
      </c>
      <c r="T91">
        <v>3</v>
      </c>
    </row>
    <row r="92" spans="1:20" x14ac:dyDescent="0.3">
      <c r="A92" t="s">
        <v>104</v>
      </c>
      <c r="B92" t="s">
        <v>105</v>
      </c>
      <c r="C92">
        <v>3047</v>
      </c>
      <c r="D92">
        <v>1174</v>
      </c>
      <c r="E92">
        <v>302</v>
      </c>
      <c r="F92">
        <v>4.75</v>
      </c>
      <c r="G92">
        <v>49371</v>
      </c>
      <c r="H92">
        <v>50698</v>
      </c>
      <c r="I92">
        <v>1.03</v>
      </c>
      <c r="J92" t="s">
        <v>20</v>
      </c>
      <c r="K92" t="s">
        <v>1325</v>
      </c>
      <c r="L92" s="25">
        <v>0.32708333333333334</v>
      </c>
      <c r="M92">
        <v>4.7500000000000001E-2</v>
      </c>
      <c r="N92">
        <v>1.03E-2</v>
      </c>
      <c r="O92">
        <v>4523</v>
      </c>
      <c r="P92">
        <v>8.9214564677107575E-2</v>
      </c>
      <c r="Q92" t="s">
        <v>1238</v>
      </c>
      <c r="R92" t="s">
        <v>1239</v>
      </c>
      <c r="S92" t="s">
        <v>1231</v>
      </c>
      <c r="T92">
        <v>3</v>
      </c>
    </row>
    <row r="93" spans="1:20" x14ac:dyDescent="0.3">
      <c r="A93" t="s">
        <v>104</v>
      </c>
      <c r="B93" t="s">
        <v>105</v>
      </c>
      <c r="C93">
        <v>3047</v>
      </c>
      <c r="D93">
        <v>1174</v>
      </c>
      <c r="E93">
        <v>302</v>
      </c>
      <c r="F93">
        <v>4.75</v>
      </c>
      <c r="G93">
        <v>49371</v>
      </c>
      <c r="H93">
        <v>50698</v>
      </c>
      <c r="I93">
        <v>1.03</v>
      </c>
      <c r="J93" t="s">
        <v>20</v>
      </c>
      <c r="K93" t="s">
        <v>1326</v>
      </c>
      <c r="L93" s="25">
        <v>0.32708333333333334</v>
      </c>
      <c r="M93">
        <v>4.7500000000000001E-2</v>
      </c>
      <c r="N93">
        <v>1.03E-2</v>
      </c>
      <c r="O93">
        <v>4523</v>
      </c>
      <c r="P93">
        <v>8.9214564677107575E-2</v>
      </c>
      <c r="Q93" t="s">
        <v>1238</v>
      </c>
      <c r="R93" t="s">
        <v>1239</v>
      </c>
      <c r="S93" t="s">
        <v>1231</v>
      </c>
      <c r="T93">
        <v>3</v>
      </c>
    </row>
    <row r="94" spans="1:20" x14ac:dyDescent="0.3">
      <c r="A94" t="s">
        <v>104</v>
      </c>
      <c r="B94" t="s">
        <v>105</v>
      </c>
      <c r="C94">
        <v>3047</v>
      </c>
      <c r="D94">
        <v>1174</v>
      </c>
      <c r="E94">
        <v>302</v>
      </c>
      <c r="F94">
        <v>4.75</v>
      </c>
      <c r="G94">
        <v>49371</v>
      </c>
      <c r="H94">
        <v>50698</v>
      </c>
      <c r="I94">
        <v>1.03</v>
      </c>
      <c r="J94" t="s">
        <v>20</v>
      </c>
      <c r="K94" t="s">
        <v>1327</v>
      </c>
      <c r="L94" s="25">
        <v>0.32708333333333334</v>
      </c>
      <c r="M94">
        <v>4.7500000000000001E-2</v>
      </c>
      <c r="N94">
        <v>1.03E-2</v>
      </c>
      <c r="O94">
        <v>4523</v>
      </c>
      <c r="P94">
        <v>8.9214564677107575E-2</v>
      </c>
      <c r="Q94" t="s">
        <v>1238</v>
      </c>
      <c r="R94" t="s">
        <v>1239</v>
      </c>
      <c r="S94" t="s">
        <v>1231</v>
      </c>
      <c r="T94">
        <v>3</v>
      </c>
    </row>
    <row r="95" spans="1:20" x14ac:dyDescent="0.3">
      <c r="A95" t="s">
        <v>107</v>
      </c>
      <c r="B95" t="s">
        <v>108</v>
      </c>
      <c r="C95">
        <v>7201</v>
      </c>
      <c r="D95">
        <v>1752</v>
      </c>
      <c r="E95">
        <v>922</v>
      </c>
      <c r="F95">
        <v>20.57</v>
      </c>
      <c r="G95">
        <v>24579</v>
      </c>
      <c r="H95">
        <v>63676</v>
      </c>
      <c r="I95">
        <v>6.83</v>
      </c>
      <c r="J95" t="s">
        <v>12</v>
      </c>
      <c r="K95" t="s">
        <v>1328</v>
      </c>
      <c r="L95" s="25">
        <v>0.33459490740740738</v>
      </c>
      <c r="M95">
        <v>0.20569999999999999</v>
      </c>
      <c r="N95">
        <v>6.83E-2</v>
      </c>
      <c r="O95">
        <v>9875</v>
      </c>
      <c r="P95">
        <v>0.15508197751115019</v>
      </c>
      <c r="Q95" t="s">
        <v>1238</v>
      </c>
      <c r="R95" t="s">
        <v>1239</v>
      </c>
      <c r="S95" t="s">
        <v>1231</v>
      </c>
      <c r="T95">
        <v>3</v>
      </c>
    </row>
    <row r="96" spans="1:20" x14ac:dyDescent="0.3">
      <c r="A96" t="s">
        <v>107</v>
      </c>
      <c r="B96" t="s">
        <v>108</v>
      </c>
      <c r="C96">
        <v>7201</v>
      </c>
      <c r="D96">
        <v>1752</v>
      </c>
      <c r="E96">
        <v>922</v>
      </c>
      <c r="F96">
        <v>20.57</v>
      </c>
      <c r="G96">
        <v>24579</v>
      </c>
      <c r="H96">
        <v>63676</v>
      </c>
      <c r="I96">
        <v>6.83</v>
      </c>
      <c r="J96" t="s">
        <v>12</v>
      </c>
      <c r="K96" t="s">
        <v>1329</v>
      </c>
      <c r="L96" s="25">
        <v>0.33459490740740738</v>
      </c>
      <c r="M96">
        <v>0.20569999999999999</v>
      </c>
      <c r="N96">
        <v>6.83E-2</v>
      </c>
      <c r="O96">
        <v>9875</v>
      </c>
      <c r="P96">
        <v>0.15508197751115019</v>
      </c>
      <c r="Q96" t="s">
        <v>1238</v>
      </c>
      <c r="R96" t="s">
        <v>1239</v>
      </c>
      <c r="S96" t="s">
        <v>1231</v>
      </c>
      <c r="T96">
        <v>3</v>
      </c>
    </row>
    <row r="97" spans="1:20" x14ac:dyDescent="0.3">
      <c r="A97" t="s">
        <v>107</v>
      </c>
      <c r="B97" t="s">
        <v>108</v>
      </c>
      <c r="C97">
        <v>7201</v>
      </c>
      <c r="D97">
        <v>1752</v>
      </c>
      <c r="E97">
        <v>922</v>
      </c>
      <c r="F97">
        <v>20.57</v>
      </c>
      <c r="G97">
        <v>24579</v>
      </c>
      <c r="H97">
        <v>63676</v>
      </c>
      <c r="I97">
        <v>6.83</v>
      </c>
      <c r="J97" t="s">
        <v>12</v>
      </c>
      <c r="K97" t="s">
        <v>1330</v>
      </c>
      <c r="L97" s="25">
        <v>0.33459490740740738</v>
      </c>
      <c r="M97">
        <v>0.20569999999999999</v>
      </c>
      <c r="N97">
        <v>6.83E-2</v>
      </c>
      <c r="O97">
        <v>9875</v>
      </c>
      <c r="P97">
        <v>0.15508197751115019</v>
      </c>
      <c r="Q97" t="s">
        <v>1238</v>
      </c>
      <c r="R97" t="s">
        <v>1239</v>
      </c>
      <c r="S97" t="s">
        <v>1231</v>
      </c>
      <c r="T97">
        <v>3</v>
      </c>
    </row>
    <row r="98" spans="1:20" x14ac:dyDescent="0.3">
      <c r="A98" t="s">
        <v>110</v>
      </c>
      <c r="B98" t="s">
        <v>111</v>
      </c>
      <c r="C98">
        <v>1038</v>
      </c>
      <c r="D98">
        <v>2541</v>
      </c>
      <c r="E98">
        <v>1346</v>
      </c>
      <c r="F98">
        <v>89.36</v>
      </c>
      <c r="G98">
        <v>50562</v>
      </c>
      <c r="H98">
        <v>86433</v>
      </c>
      <c r="I98">
        <v>4.08</v>
      </c>
      <c r="J98" t="s">
        <v>16</v>
      </c>
      <c r="K98" t="s">
        <v>1331</v>
      </c>
      <c r="L98" s="25">
        <v>0.38434027777777779</v>
      </c>
      <c r="M98">
        <v>0.89359999999999995</v>
      </c>
      <c r="N98">
        <v>4.0800000000000003E-2</v>
      </c>
      <c r="O98">
        <v>4925</v>
      </c>
      <c r="P98">
        <v>5.6980551409762478E-2</v>
      </c>
      <c r="Q98" t="s">
        <v>1238</v>
      </c>
      <c r="R98" t="s">
        <v>1239</v>
      </c>
      <c r="S98" t="s">
        <v>1231</v>
      </c>
      <c r="T98">
        <v>3</v>
      </c>
    </row>
    <row r="99" spans="1:20" x14ac:dyDescent="0.3">
      <c r="A99" t="s">
        <v>110</v>
      </c>
      <c r="B99" t="s">
        <v>111</v>
      </c>
      <c r="C99">
        <v>1038</v>
      </c>
      <c r="D99">
        <v>2541</v>
      </c>
      <c r="E99">
        <v>1346</v>
      </c>
      <c r="F99">
        <v>89.36</v>
      </c>
      <c r="G99">
        <v>50562</v>
      </c>
      <c r="H99">
        <v>86433</v>
      </c>
      <c r="I99">
        <v>4.08</v>
      </c>
      <c r="J99" t="s">
        <v>16</v>
      </c>
      <c r="K99" t="s">
        <v>1332</v>
      </c>
      <c r="L99" s="25">
        <v>0.38434027777777779</v>
      </c>
      <c r="M99">
        <v>0.89359999999999995</v>
      </c>
      <c r="N99">
        <v>4.0800000000000003E-2</v>
      </c>
      <c r="O99">
        <v>4925</v>
      </c>
      <c r="P99">
        <v>5.6980551409762478E-2</v>
      </c>
      <c r="Q99" t="s">
        <v>1238</v>
      </c>
      <c r="R99" t="s">
        <v>1239</v>
      </c>
      <c r="S99" t="s">
        <v>1231</v>
      </c>
      <c r="T99">
        <v>3</v>
      </c>
    </row>
    <row r="100" spans="1:20" x14ac:dyDescent="0.3">
      <c r="A100" t="s">
        <v>110</v>
      </c>
      <c r="B100" t="s">
        <v>111</v>
      </c>
      <c r="C100">
        <v>1038</v>
      </c>
      <c r="D100">
        <v>2541</v>
      </c>
      <c r="E100">
        <v>1346</v>
      </c>
      <c r="F100">
        <v>89.36</v>
      </c>
      <c r="G100">
        <v>50562</v>
      </c>
      <c r="H100">
        <v>86433</v>
      </c>
      <c r="I100">
        <v>4.08</v>
      </c>
      <c r="J100" t="s">
        <v>16</v>
      </c>
      <c r="K100" t="s">
        <v>1333</v>
      </c>
      <c r="L100" s="25">
        <v>0.38434027777777779</v>
      </c>
      <c r="M100">
        <v>0.89359999999999995</v>
      </c>
      <c r="N100">
        <v>4.0800000000000003E-2</v>
      </c>
      <c r="O100">
        <v>4925</v>
      </c>
      <c r="P100">
        <v>5.6980551409762478E-2</v>
      </c>
      <c r="Q100" t="s">
        <v>1238</v>
      </c>
      <c r="R100" t="s">
        <v>1239</v>
      </c>
      <c r="S100" t="s">
        <v>1231</v>
      </c>
      <c r="T100">
        <v>3</v>
      </c>
    </row>
    <row r="101" spans="1:20" x14ac:dyDescent="0.3">
      <c r="A101" t="s">
        <v>113</v>
      </c>
      <c r="B101" t="s">
        <v>114</v>
      </c>
      <c r="C101">
        <v>4137</v>
      </c>
      <c r="D101">
        <v>355</v>
      </c>
      <c r="E101">
        <v>1416</v>
      </c>
      <c r="F101">
        <v>12.38</v>
      </c>
      <c r="G101">
        <v>22447</v>
      </c>
      <c r="H101">
        <v>60849</v>
      </c>
      <c r="I101">
        <v>6.63</v>
      </c>
      <c r="J101" t="s">
        <v>20</v>
      </c>
      <c r="K101" t="s">
        <v>1334</v>
      </c>
      <c r="L101" s="25">
        <v>0.53899305555555554</v>
      </c>
      <c r="M101">
        <v>0.12380000000000001</v>
      </c>
      <c r="N101">
        <v>6.6299999999999998E-2</v>
      </c>
      <c r="O101">
        <v>5908</v>
      </c>
      <c r="P101">
        <v>9.7092803497181551E-2</v>
      </c>
      <c r="Q101" t="s">
        <v>1238</v>
      </c>
      <c r="R101" t="s">
        <v>1239</v>
      </c>
      <c r="S101" t="s">
        <v>1230</v>
      </c>
      <c r="T101">
        <v>3</v>
      </c>
    </row>
    <row r="102" spans="1:20" x14ac:dyDescent="0.3">
      <c r="A102" t="s">
        <v>113</v>
      </c>
      <c r="B102" t="s">
        <v>114</v>
      </c>
      <c r="C102">
        <v>4137</v>
      </c>
      <c r="D102">
        <v>355</v>
      </c>
      <c r="E102">
        <v>1416</v>
      </c>
      <c r="F102">
        <v>12.38</v>
      </c>
      <c r="G102">
        <v>22447</v>
      </c>
      <c r="H102">
        <v>60849</v>
      </c>
      <c r="I102">
        <v>6.63</v>
      </c>
      <c r="J102" t="s">
        <v>20</v>
      </c>
      <c r="K102" t="s">
        <v>1335</v>
      </c>
      <c r="L102" s="25">
        <v>0.53899305555555554</v>
      </c>
      <c r="M102">
        <v>0.12380000000000001</v>
      </c>
      <c r="N102">
        <v>6.6299999999999998E-2</v>
      </c>
      <c r="O102">
        <v>5908</v>
      </c>
      <c r="P102">
        <v>9.7092803497181551E-2</v>
      </c>
      <c r="Q102" t="s">
        <v>1238</v>
      </c>
      <c r="R102" t="s">
        <v>1239</v>
      </c>
      <c r="S102" t="s">
        <v>1230</v>
      </c>
      <c r="T102">
        <v>3</v>
      </c>
    </row>
    <row r="103" spans="1:20" x14ac:dyDescent="0.3">
      <c r="A103" t="s">
        <v>113</v>
      </c>
      <c r="B103" t="s">
        <v>114</v>
      </c>
      <c r="C103">
        <v>4137</v>
      </c>
      <c r="D103">
        <v>355</v>
      </c>
      <c r="E103">
        <v>1416</v>
      </c>
      <c r="F103">
        <v>12.38</v>
      </c>
      <c r="G103">
        <v>22447</v>
      </c>
      <c r="H103">
        <v>60849</v>
      </c>
      <c r="I103">
        <v>6.63</v>
      </c>
      <c r="J103" t="s">
        <v>20</v>
      </c>
      <c r="K103" t="s">
        <v>1336</v>
      </c>
      <c r="L103" s="25">
        <v>0.53899305555555554</v>
      </c>
      <c r="M103">
        <v>0.12380000000000001</v>
      </c>
      <c r="N103">
        <v>6.6299999999999998E-2</v>
      </c>
      <c r="O103">
        <v>5908</v>
      </c>
      <c r="P103">
        <v>9.7092803497181551E-2</v>
      </c>
      <c r="Q103" t="s">
        <v>1238</v>
      </c>
      <c r="R103" t="s">
        <v>1239</v>
      </c>
      <c r="S103" t="s">
        <v>1230</v>
      </c>
      <c r="T103">
        <v>3</v>
      </c>
    </row>
    <row r="104" spans="1:20" x14ac:dyDescent="0.3">
      <c r="A104" t="s">
        <v>116</v>
      </c>
      <c r="B104" t="s">
        <v>117</v>
      </c>
      <c r="C104">
        <v>5576</v>
      </c>
      <c r="D104">
        <v>1322</v>
      </c>
      <c r="E104">
        <v>1436</v>
      </c>
      <c r="F104">
        <v>90.93</v>
      </c>
      <c r="G104">
        <v>63824</v>
      </c>
      <c r="H104">
        <v>87424</v>
      </c>
      <c r="I104">
        <v>5.36</v>
      </c>
      <c r="J104" t="s">
        <v>16</v>
      </c>
      <c r="K104" t="s">
        <v>1337</v>
      </c>
      <c r="L104" s="25">
        <v>0.5519560185185185</v>
      </c>
      <c r="M104">
        <v>0.90930000000000011</v>
      </c>
      <c r="N104">
        <v>5.3600000000000002E-2</v>
      </c>
      <c r="O104">
        <v>8334</v>
      </c>
      <c r="P104">
        <v>9.5328513909224005E-2</v>
      </c>
      <c r="Q104" t="s">
        <v>1238</v>
      </c>
      <c r="R104" t="s">
        <v>1239</v>
      </c>
      <c r="S104" t="s">
        <v>1230</v>
      </c>
      <c r="T104">
        <v>3</v>
      </c>
    </row>
    <row r="105" spans="1:20" x14ac:dyDescent="0.3">
      <c r="A105" t="s">
        <v>116</v>
      </c>
      <c r="B105" t="s">
        <v>117</v>
      </c>
      <c r="C105">
        <v>5576</v>
      </c>
      <c r="D105">
        <v>1322</v>
      </c>
      <c r="E105">
        <v>1436</v>
      </c>
      <c r="F105">
        <v>90.93</v>
      </c>
      <c r="G105">
        <v>63824</v>
      </c>
      <c r="H105">
        <v>87424</v>
      </c>
      <c r="I105">
        <v>5.36</v>
      </c>
      <c r="J105" t="s">
        <v>16</v>
      </c>
      <c r="K105" t="s">
        <v>1338</v>
      </c>
      <c r="L105" s="25">
        <v>0.5519560185185185</v>
      </c>
      <c r="M105">
        <v>0.90930000000000011</v>
      </c>
      <c r="N105">
        <v>5.3600000000000002E-2</v>
      </c>
      <c r="O105">
        <v>8334</v>
      </c>
      <c r="P105">
        <v>9.5328513909224005E-2</v>
      </c>
      <c r="Q105" t="s">
        <v>1238</v>
      </c>
      <c r="R105" t="s">
        <v>1239</v>
      </c>
      <c r="S105" t="s">
        <v>1230</v>
      </c>
      <c r="T105">
        <v>3</v>
      </c>
    </row>
    <row r="106" spans="1:20" x14ac:dyDescent="0.3">
      <c r="A106" t="s">
        <v>116</v>
      </c>
      <c r="B106" t="s">
        <v>117</v>
      </c>
      <c r="C106">
        <v>5576</v>
      </c>
      <c r="D106">
        <v>1322</v>
      </c>
      <c r="E106">
        <v>1436</v>
      </c>
      <c r="F106">
        <v>90.93</v>
      </c>
      <c r="G106">
        <v>63824</v>
      </c>
      <c r="H106">
        <v>87424</v>
      </c>
      <c r="I106">
        <v>5.36</v>
      </c>
      <c r="J106" t="s">
        <v>16</v>
      </c>
      <c r="K106" t="s">
        <v>1339</v>
      </c>
      <c r="L106" s="25">
        <v>0.5519560185185185</v>
      </c>
      <c r="M106">
        <v>0.90930000000000011</v>
      </c>
      <c r="N106">
        <v>5.3600000000000002E-2</v>
      </c>
      <c r="O106">
        <v>8334</v>
      </c>
      <c r="P106">
        <v>9.5328513909224005E-2</v>
      </c>
      <c r="Q106" t="s">
        <v>1238</v>
      </c>
      <c r="R106" t="s">
        <v>1239</v>
      </c>
      <c r="S106" t="s">
        <v>1230</v>
      </c>
      <c r="T106">
        <v>3</v>
      </c>
    </row>
    <row r="107" spans="1:20" x14ac:dyDescent="0.3">
      <c r="A107" t="s">
        <v>119</v>
      </c>
      <c r="B107" t="s">
        <v>120</v>
      </c>
      <c r="C107">
        <v>9542</v>
      </c>
      <c r="D107">
        <v>1083</v>
      </c>
      <c r="E107">
        <v>1131</v>
      </c>
      <c r="F107">
        <v>95.88</v>
      </c>
      <c r="G107">
        <v>70402</v>
      </c>
      <c r="H107">
        <v>10385</v>
      </c>
      <c r="I107">
        <v>6.18</v>
      </c>
      <c r="J107" t="s">
        <v>20</v>
      </c>
      <c r="K107" t="s">
        <v>1340</v>
      </c>
      <c r="L107" s="25">
        <v>9.5127314814814817E-2</v>
      </c>
      <c r="M107">
        <v>0.95879999999999999</v>
      </c>
      <c r="N107">
        <v>6.1799999999999994E-2</v>
      </c>
      <c r="O107">
        <v>11756</v>
      </c>
      <c r="P107">
        <v>1</v>
      </c>
      <c r="Q107" t="s">
        <v>1238</v>
      </c>
      <c r="R107" t="s">
        <v>1239</v>
      </c>
      <c r="S107" t="s">
        <v>1231</v>
      </c>
      <c r="T107">
        <v>3</v>
      </c>
    </row>
    <row r="108" spans="1:20" x14ac:dyDescent="0.3">
      <c r="A108" t="s">
        <v>119</v>
      </c>
      <c r="B108" t="s">
        <v>120</v>
      </c>
      <c r="C108">
        <v>9542</v>
      </c>
      <c r="D108">
        <v>1083</v>
      </c>
      <c r="E108">
        <v>1131</v>
      </c>
      <c r="F108">
        <v>95.88</v>
      </c>
      <c r="G108">
        <v>70402</v>
      </c>
      <c r="H108">
        <v>10385</v>
      </c>
      <c r="I108">
        <v>6.18</v>
      </c>
      <c r="J108" t="s">
        <v>20</v>
      </c>
      <c r="K108" t="s">
        <v>1341</v>
      </c>
      <c r="L108" s="25">
        <v>9.5127314814814817E-2</v>
      </c>
      <c r="M108">
        <v>0.95879999999999999</v>
      </c>
      <c r="N108">
        <v>6.1799999999999994E-2</v>
      </c>
      <c r="O108">
        <v>11756</v>
      </c>
      <c r="P108">
        <v>1</v>
      </c>
      <c r="Q108" t="s">
        <v>1238</v>
      </c>
      <c r="R108" t="s">
        <v>1239</v>
      </c>
      <c r="S108" t="s">
        <v>1231</v>
      </c>
      <c r="T108">
        <v>3</v>
      </c>
    </row>
    <row r="109" spans="1:20" x14ac:dyDescent="0.3">
      <c r="A109" t="s">
        <v>119</v>
      </c>
      <c r="B109" t="s">
        <v>120</v>
      </c>
      <c r="C109">
        <v>9542</v>
      </c>
      <c r="D109">
        <v>1083</v>
      </c>
      <c r="E109">
        <v>1131</v>
      </c>
      <c r="F109">
        <v>95.88</v>
      </c>
      <c r="G109">
        <v>70402</v>
      </c>
      <c r="H109">
        <v>10385</v>
      </c>
      <c r="I109">
        <v>6.18</v>
      </c>
      <c r="J109" t="s">
        <v>20</v>
      </c>
      <c r="K109" t="s">
        <v>1342</v>
      </c>
      <c r="L109" s="25">
        <v>9.5127314814814817E-2</v>
      </c>
      <c r="M109">
        <v>0.95879999999999999</v>
      </c>
      <c r="N109">
        <v>6.1799999999999994E-2</v>
      </c>
      <c r="O109">
        <v>11756</v>
      </c>
      <c r="P109">
        <v>1</v>
      </c>
      <c r="Q109" t="s">
        <v>1238</v>
      </c>
      <c r="R109" t="s">
        <v>1239</v>
      </c>
      <c r="S109" t="s">
        <v>1231</v>
      </c>
      <c r="T109">
        <v>3</v>
      </c>
    </row>
    <row r="110" spans="1:20" x14ac:dyDescent="0.3">
      <c r="A110" t="s">
        <v>122</v>
      </c>
      <c r="B110" t="s">
        <v>123</v>
      </c>
      <c r="C110">
        <v>9843</v>
      </c>
      <c r="D110">
        <v>3935</v>
      </c>
      <c r="E110">
        <v>1342</v>
      </c>
      <c r="F110">
        <v>28.37</v>
      </c>
      <c r="G110">
        <v>92288</v>
      </c>
      <c r="H110">
        <v>66228</v>
      </c>
      <c r="I110">
        <v>6.24</v>
      </c>
      <c r="J110" t="s">
        <v>20</v>
      </c>
      <c r="K110" t="s">
        <v>1343</v>
      </c>
      <c r="L110" s="25">
        <v>0.8664236111111111</v>
      </c>
      <c r="M110">
        <v>0.28370000000000001</v>
      </c>
      <c r="N110">
        <v>6.2400000000000004E-2</v>
      </c>
      <c r="O110">
        <v>15120</v>
      </c>
      <c r="P110">
        <v>0.22830222866461317</v>
      </c>
      <c r="Q110" t="s">
        <v>1238</v>
      </c>
      <c r="R110" t="s">
        <v>1239</v>
      </c>
      <c r="S110" t="s">
        <v>1232</v>
      </c>
      <c r="T110">
        <v>3</v>
      </c>
    </row>
    <row r="111" spans="1:20" x14ac:dyDescent="0.3">
      <c r="A111" t="s">
        <v>122</v>
      </c>
      <c r="B111" t="s">
        <v>123</v>
      </c>
      <c r="C111">
        <v>9843</v>
      </c>
      <c r="D111">
        <v>3935</v>
      </c>
      <c r="E111">
        <v>1342</v>
      </c>
      <c r="F111">
        <v>28.37</v>
      </c>
      <c r="G111">
        <v>92288</v>
      </c>
      <c r="H111">
        <v>66228</v>
      </c>
      <c r="I111">
        <v>6.24</v>
      </c>
      <c r="J111" t="s">
        <v>20</v>
      </c>
      <c r="K111" t="s">
        <v>1344</v>
      </c>
      <c r="L111" s="25">
        <v>0.8664236111111111</v>
      </c>
      <c r="M111">
        <v>0.28370000000000001</v>
      </c>
      <c r="N111">
        <v>6.2400000000000004E-2</v>
      </c>
      <c r="O111">
        <v>15120</v>
      </c>
      <c r="P111">
        <v>0.22830222866461317</v>
      </c>
      <c r="Q111" t="s">
        <v>1238</v>
      </c>
      <c r="R111" t="s">
        <v>1239</v>
      </c>
      <c r="S111" t="s">
        <v>1232</v>
      </c>
      <c r="T111">
        <v>3</v>
      </c>
    </row>
    <row r="112" spans="1:20" x14ac:dyDescent="0.3">
      <c r="A112" t="s">
        <v>122</v>
      </c>
      <c r="B112" t="s">
        <v>123</v>
      </c>
      <c r="C112">
        <v>9843</v>
      </c>
      <c r="D112">
        <v>3935</v>
      </c>
      <c r="E112">
        <v>1342</v>
      </c>
      <c r="F112">
        <v>28.37</v>
      </c>
      <c r="G112">
        <v>92288</v>
      </c>
      <c r="H112">
        <v>66228</v>
      </c>
      <c r="I112">
        <v>6.24</v>
      </c>
      <c r="J112" t="s">
        <v>20</v>
      </c>
      <c r="K112" t="s">
        <v>1345</v>
      </c>
      <c r="L112" s="25">
        <v>0.8664236111111111</v>
      </c>
      <c r="M112">
        <v>0.28370000000000001</v>
      </c>
      <c r="N112">
        <v>6.2400000000000004E-2</v>
      </c>
      <c r="O112">
        <v>15120</v>
      </c>
      <c r="P112">
        <v>0.22830222866461317</v>
      </c>
      <c r="Q112" t="s">
        <v>1238</v>
      </c>
      <c r="R112" t="s">
        <v>1239</v>
      </c>
      <c r="S112" t="s">
        <v>1232</v>
      </c>
      <c r="T112">
        <v>3</v>
      </c>
    </row>
    <row r="113" spans="1:20" x14ac:dyDescent="0.3">
      <c r="A113" t="s">
        <v>125</v>
      </c>
      <c r="B113" t="s">
        <v>126</v>
      </c>
      <c r="C113">
        <v>5827</v>
      </c>
      <c r="D113">
        <v>4352</v>
      </c>
      <c r="E113">
        <v>345</v>
      </c>
      <c r="F113">
        <v>87.86</v>
      </c>
      <c r="G113">
        <v>21855</v>
      </c>
      <c r="H113">
        <v>39668</v>
      </c>
      <c r="I113">
        <v>3.88</v>
      </c>
      <c r="J113" t="s">
        <v>16</v>
      </c>
      <c r="K113" t="s">
        <v>1346</v>
      </c>
      <c r="L113" s="25">
        <v>0.80530092592592595</v>
      </c>
      <c r="M113">
        <v>0.87860000000000005</v>
      </c>
      <c r="N113">
        <v>3.8800000000000001E-2</v>
      </c>
      <c r="O113">
        <v>10524</v>
      </c>
      <c r="P113">
        <v>0.26530200665523845</v>
      </c>
      <c r="Q113" t="s">
        <v>1238</v>
      </c>
      <c r="R113" t="s">
        <v>1239</v>
      </c>
      <c r="S113" t="s">
        <v>1232</v>
      </c>
      <c r="T113">
        <v>3</v>
      </c>
    </row>
    <row r="114" spans="1:20" x14ac:dyDescent="0.3">
      <c r="A114" t="s">
        <v>125</v>
      </c>
      <c r="B114" t="s">
        <v>126</v>
      </c>
      <c r="C114">
        <v>5827</v>
      </c>
      <c r="D114">
        <v>4352</v>
      </c>
      <c r="E114">
        <v>345</v>
      </c>
      <c r="F114">
        <v>87.86</v>
      </c>
      <c r="G114">
        <v>21855</v>
      </c>
      <c r="H114">
        <v>39668</v>
      </c>
      <c r="I114">
        <v>3.88</v>
      </c>
      <c r="J114" t="s">
        <v>16</v>
      </c>
      <c r="K114" t="s">
        <v>1347</v>
      </c>
      <c r="L114" s="25">
        <v>0.80530092592592595</v>
      </c>
      <c r="M114">
        <v>0.87860000000000005</v>
      </c>
      <c r="N114">
        <v>3.8800000000000001E-2</v>
      </c>
      <c r="O114">
        <v>10524</v>
      </c>
      <c r="P114">
        <v>0.26530200665523845</v>
      </c>
      <c r="Q114" t="s">
        <v>1238</v>
      </c>
      <c r="R114" t="s">
        <v>1239</v>
      </c>
      <c r="S114" t="s">
        <v>1232</v>
      </c>
      <c r="T114">
        <v>3</v>
      </c>
    </row>
    <row r="115" spans="1:20" x14ac:dyDescent="0.3">
      <c r="A115" t="s">
        <v>125</v>
      </c>
      <c r="B115" t="s">
        <v>126</v>
      </c>
      <c r="C115">
        <v>5827</v>
      </c>
      <c r="D115">
        <v>4352</v>
      </c>
      <c r="E115">
        <v>345</v>
      </c>
      <c r="F115">
        <v>87.86</v>
      </c>
      <c r="G115">
        <v>21855</v>
      </c>
      <c r="H115">
        <v>39668</v>
      </c>
      <c r="I115">
        <v>3.88</v>
      </c>
      <c r="J115" t="s">
        <v>16</v>
      </c>
      <c r="K115" t="s">
        <v>1348</v>
      </c>
      <c r="L115" s="25">
        <v>0.80530092592592595</v>
      </c>
      <c r="M115">
        <v>0.87860000000000005</v>
      </c>
      <c r="N115">
        <v>3.8800000000000001E-2</v>
      </c>
      <c r="O115">
        <v>10524</v>
      </c>
      <c r="P115">
        <v>0.26530200665523845</v>
      </c>
      <c r="Q115" t="s">
        <v>1238</v>
      </c>
      <c r="R115" t="s">
        <v>1239</v>
      </c>
      <c r="S115" t="s">
        <v>1232</v>
      </c>
      <c r="T115">
        <v>3</v>
      </c>
    </row>
    <row r="116" spans="1:20" x14ac:dyDescent="0.3">
      <c r="A116" t="s">
        <v>128</v>
      </c>
      <c r="B116" t="s">
        <v>129</v>
      </c>
      <c r="C116">
        <v>54</v>
      </c>
      <c r="D116">
        <v>3111</v>
      </c>
      <c r="E116">
        <v>1602</v>
      </c>
      <c r="F116">
        <v>3.13</v>
      </c>
      <c r="G116">
        <v>39331</v>
      </c>
      <c r="H116">
        <v>66793</v>
      </c>
      <c r="I116">
        <v>2.33</v>
      </c>
      <c r="J116" t="s">
        <v>20</v>
      </c>
      <c r="K116" t="s">
        <v>1349</v>
      </c>
      <c r="L116" s="25">
        <v>0.30149305555555556</v>
      </c>
      <c r="M116">
        <v>3.1300000000000001E-2</v>
      </c>
      <c r="N116">
        <v>2.3300000000000001E-2</v>
      </c>
      <c r="O116">
        <v>4767</v>
      </c>
      <c r="P116">
        <v>7.1369754315571993E-2</v>
      </c>
      <c r="Q116" t="s">
        <v>1238</v>
      </c>
      <c r="R116" t="s">
        <v>1239</v>
      </c>
      <c r="S116" t="s">
        <v>1231</v>
      </c>
      <c r="T116">
        <v>3</v>
      </c>
    </row>
    <row r="117" spans="1:20" x14ac:dyDescent="0.3">
      <c r="A117" t="s">
        <v>128</v>
      </c>
      <c r="B117" t="s">
        <v>129</v>
      </c>
      <c r="C117">
        <v>54</v>
      </c>
      <c r="D117">
        <v>3111</v>
      </c>
      <c r="E117">
        <v>1602</v>
      </c>
      <c r="F117">
        <v>3.13</v>
      </c>
      <c r="G117">
        <v>39331</v>
      </c>
      <c r="H117">
        <v>66793</v>
      </c>
      <c r="I117">
        <v>2.33</v>
      </c>
      <c r="J117" t="s">
        <v>20</v>
      </c>
      <c r="K117" t="s">
        <v>1350</v>
      </c>
      <c r="L117" s="25">
        <v>0.30149305555555556</v>
      </c>
      <c r="M117">
        <v>3.1300000000000001E-2</v>
      </c>
      <c r="N117">
        <v>2.3300000000000001E-2</v>
      </c>
      <c r="O117">
        <v>4767</v>
      </c>
      <c r="P117">
        <v>7.1369754315571993E-2</v>
      </c>
      <c r="Q117" t="s">
        <v>1238</v>
      </c>
      <c r="R117" t="s">
        <v>1239</v>
      </c>
      <c r="S117" t="s">
        <v>1231</v>
      </c>
      <c r="T117">
        <v>3</v>
      </c>
    </row>
    <row r="118" spans="1:20" x14ac:dyDescent="0.3">
      <c r="A118" t="s">
        <v>128</v>
      </c>
      <c r="B118" t="s">
        <v>129</v>
      </c>
      <c r="C118">
        <v>54</v>
      </c>
      <c r="D118">
        <v>3111</v>
      </c>
      <c r="E118">
        <v>1602</v>
      </c>
      <c r="F118">
        <v>3.13</v>
      </c>
      <c r="G118">
        <v>39331</v>
      </c>
      <c r="H118">
        <v>66793</v>
      </c>
      <c r="I118">
        <v>2.33</v>
      </c>
      <c r="J118" t="s">
        <v>20</v>
      </c>
      <c r="K118" t="s">
        <v>1351</v>
      </c>
      <c r="L118" s="25">
        <v>0.30149305555555556</v>
      </c>
      <c r="M118">
        <v>3.1300000000000001E-2</v>
      </c>
      <c r="N118">
        <v>2.3300000000000001E-2</v>
      </c>
      <c r="O118">
        <v>4767</v>
      </c>
      <c r="P118">
        <v>7.1369754315571993E-2</v>
      </c>
      <c r="Q118" t="s">
        <v>1238</v>
      </c>
      <c r="R118" t="s">
        <v>1239</v>
      </c>
      <c r="S118" t="s">
        <v>1231</v>
      </c>
      <c r="T118">
        <v>3</v>
      </c>
    </row>
    <row r="119" spans="1:20" x14ac:dyDescent="0.3">
      <c r="A119" t="s">
        <v>131</v>
      </c>
      <c r="B119" t="s">
        <v>132</v>
      </c>
      <c r="C119">
        <v>2699</v>
      </c>
      <c r="D119">
        <v>4042</v>
      </c>
      <c r="E119">
        <v>164</v>
      </c>
      <c r="F119">
        <v>86.59</v>
      </c>
      <c r="G119">
        <v>20685</v>
      </c>
      <c r="H119">
        <v>48356</v>
      </c>
      <c r="I119">
        <v>2.2999999999999998</v>
      </c>
      <c r="J119" t="s">
        <v>20</v>
      </c>
      <c r="K119" t="s">
        <v>1352</v>
      </c>
      <c r="L119" s="25">
        <v>0.1000462962962963</v>
      </c>
      <c r="M119">
        <v>0.8659</v>
      </c>
      <c r="N119">
        <v>2.3E-2</v>
      </c>
      <c r="O119">
        <v>6905</v>
      </c>
      <c r="P119">
        <v>0.14279510298618578</v>
      </c>
      <c r="Q119" t="s">
        <v>1238</v>
      </c>
      <c r="R119" t="s">
        <v>1239</v>
      </c>
      <c r="S119" t="s">
        <v>1231</v>
      </c>
      <c r="T119">
        <v>3</v>
      </c>
    </row>
    <row r="120" spans="1:20" x14ac:dyDescent="0.3">
      <c r="A120" t="s">
        <v>131</v>
      </c>
      <c r="B120" t="s">
        <v>132</v>
      </c>
      <c r="C120">
        <v>2699</v>
      </c>
      <c r="D120">
        <v>4042</v>
      </c>
      <c r="E120">
        <v>164</v>
      </c>
      <c r="F120">
        <v>86.59</v>
      </c>
      <c r="G120">
        <v>20685</v>
      </c>
      <c r="H120">
        <v>48356</v>
      </c>
      <c r="I120">
        <v>2.2999999999999998</v>
      </c>
      <c r="J120" t="s">
        <v>20</v>
      </c>
      <c r="K120" t="s">
        <v>1353</v>
      </c>
      <c r="L120" s="25">
        <v>0.1000462962962963</v>
      </c>
      <c r="M120">
        <v>0.8659</v>
      </c>
      <c r="N120">
        <v>2.3E-2</v>
      </c>
      <c r="O120">
        <v>6905</v>
      </c>
      <c r="P120">
        <v>0.14279510298618578</v>
      </c>
      <c r="Q120" t="s">
        <v>1238</v>
      </c>
      <c r="R120" t="s">
        <v>1239</v>
      </c>
      <c r="S120" t="s">
        <v>1231</v>
      </c>
      <c r="T120">
        <v>3</v>
      </c>
    </row>
    <row r="121" spans="1:20" x14ac:dyDescent="0.3">
      <c r="A121" t="s">
        <v>131</v>
      </c>
      <c r="B121" t="s">
        <v>132</v>
      </c>
      <c r="C121">
        <v>2699</v>
      </c>
      <c r="D121">
        <v>4042</v>
      </c>
      <c r="E121">
        <v>164</v>
      </c>
      <c r="F121">
        <v>86.59</v>
      </c>
      <c r="G121">
        <v>20685</v>
      </c>
      <c r="H121">
        <v>48356</v>
      </c>
      <c r="I121">
        <v>2.2999999999999998</v>
      </c>
      <c r="J121" t="s">
        <v>20</v>
      </c>
      <c r="K121" t="s">
        <v>1354</v>
      </c>
      <c r="L121" s="25">
        <v>0.1000462962962963</v>
      </c>
      <c r="M121">
        <v>0.8659</v>
      </c>
      <c r="N121">
        <v>2.3E-2</v>
      </c>
      <c r="O121">
        <v>6905</v>
      </c>
      <c r="P121">
        <v>0.14279510298618578</v>
      </c>
      <c r="Q121" t="s">
        <v>1238</v>
      </c>
      <c r="R121" t="s">
        <v>1239</v>
      </c>
      <c r="S121" t="s">
        <v>1231</v>
      </c>
      <c r="T121">
        <v>3</v>
      </c>
    </row>
    <row r="122" spans="1:20" x14ac:dyDescent="0.3">
      <c r="A122" t="s">
        <v>134</v>
      </c>
      <c r="B122" t="s">
        <v>135</v>
      </c>
      <c r="C122">
        <v>9681</v>
      </c>
      <c r="D122">
        <v>1024</v>
      </c>
      <c r="E122">
        <v>1263</v>
      </c>
      <c r="F122">
        <v>0.67</v>
      </c>
      <c r="G122">
        <v>34364</v>
      </c>
      <c r="H122">
        <v>89392</v>
      </c>
      <c r="I122">
        <v>4.46</v>
      </c>
      <c r="J122" t="s">
        <v>16</v>
      </c>
      <c r="K122" t="s">
        <v>1355</v>
      </c>
      <c r="L122" s="25">
        <v>0.5783449074074074</v>
      </c>
      <c r="M122">
        <v>6.7000000000000002E-3</v>
      </c>
      <c r="N122">
        <v>4.4600000000000001E-2</v>
      </c>
      <c r="O122">
        <v>11968</v>
      </c>
      <c r="P122">
        <v>0.13388222659745838</v>
      </c>
      <c r="Q122" t="s">
        <v>1238</v>
      </c>
      <c r="R122" t="s">
        <v>1239</v>
      </c>
      <c r="S122" t="s">
        <v>1230</v>
      </c>
      <c r="T122">
        <v>3</v>
      </c>
    </row>
    <row r="123" spans="1:20" x14ac:dyDescent="0.3">
      <c r="A123" t="s">
        <v>134</v>
      </c>
      <c r="B123" t="s">
        <v>135</v>
      </c>
      <c r="C123">
        <v>9681</v>
      </c>
      <c r="D123">
        <v>1024</v>
      </c>
      <c r="E123">
        <v>1263</v>
      </c>
      <c r="F123">
        <v>0.67</v>
      </c>
      <c r="G123">
        <v>34364</v>
      </c>
      <c r="H123">
        <v>89392</v>
      </c>
      <c r="I123">
        <v>4.46</v>
      </c>
      <c r="J123" t="s">
        <v>16</v>
      </c>
      <c r="K123" t="s">
        <v>1356</v>
      </c>
      <c r="L123" s="25">
        <v>0.5783449074074074</v>
      </c>
      <c r="M123">
        <v>6.7000000000000002E-3</v>
      </c>
      <c r="N123">
        <v>4.4600000000000001E-2</v>
      </c>
      <c r="O123">
        <v>11968</v>
      </c>
      <c r="P123">
        <v>0.13388222659745838</v>
      </c>
      <c r="Q123" t="s">
        <v>1238</v>
      </c>
      <c r="R123" t="s">
        <v>1239</v>
      </c>
      <c r="S123" t="s">
        <v>1230</v>
      </c>
      <c r="T123">
        <v>3</v>
      </c>
    </row>
    <row r="124" spans="1:20" x14ac:dyDescent="0.3">
      <c r="A124" t="s">
        <v>134</v>
      </c>
      <c r="B124" t="s">
        <v>135</v>
      </c>
      <c r="C124">
        <v>9681</v>
      </c>
      <c r="D124">
        <v>1024</v>
      </c>
      <c r="E124">
        <v>1263</v>
      </c>
      <c r="F124">
        <v>0.67</v>
      </c>
      <c r="G124">
        <v>34364</v>
      </c>
      <c r="H124">
        <v>89392</v>
      </c>
      <c r="I124">
        <v>4.46</v>
      </c>
      <c r="J124" t="s">
        <v>16</v>
      </c>
      <c r="K124" t="s">
        <v>1338</v>
      </c>
      <c r="L124" s="25">
        <v>0.5783449074074074</v>
      </c>
      <c r="M124">
        <v>6.7000000000000002E-3</v>
      </c>
      <c r="N124">
        <v>4.4600000000000001E-2</v>
      </c>
      <c r="O124">
        <v>11968</v>
      </c>
      <c r="P124">
        <v>0.13388222659745838</v>
      </c>
      <c r="Q124" t="s">
        <v>1238</v>
      </c>
      <c r="R124" t="s">
        <v>1239</v>
      </c>
      <c r="S124" t="s">
        <v>1230</v>
      </c>
      <c r="T124">
        <v>3</v>
      </c>
    </row>
    <row r="125" spans="1:20" x14ac:dyDescent="0.3">
      <c r="A125" t="s">
        <v>137</v>
      </c>
      <c r="B125" t="s">
        <v>138</v>
      </c>
      <c r="C125">
        <v>9202</v>
      </c>
      <c r="D125">
        <v>4008</v>
      </c>
      <c r="E125">
        <v>260</v>
      </c>
      <c r="F125">
        <v>15.64</v>
      </c>
      <c r="G125">
        <v>93696</v>
      </c>
      <c r="H125">
        <v>21761</v>
      </c>
      <c r="I125">
        <v>3.5</v>
      </c>
      <c r="J125" t="s">
        <v>42</v>
      </c>
      <c r="K125" t="s">
        <v>1357</v>
      </c>
      <c r="L125" s="25">
        <v>0.45601851851851855</v>
      </c>
      <c r="M125">
        <v>0.15640000000000001</v>
      </c>
      <c r="N125">
        <v>3.5000000000000003E-2</v>
      </c>
      <c r="O125">
        <v>13470</v>
      </c>
      <c r="P125">
        <v>0.61899728872754012</v>
      </c>
      <c r="Q125" t="s">
        <v>1238</v>
      </c>
      <c r="R125" t="s">
        <v>1239</v>
      </c>
      <c r="S125" t="s">
        <v>1231</v>
      </c>
      <c r="T125">
        <v>3</v>
      </c>
    </row>
    <row r="126" spans="1:20" x14ac:dyDescent="0.3">
      <c r="A126" t="s">
        <v>137</v>
      </c>
      <c r="B126" t="s">
        <v>138</v>
      </c>
      <c r="C126">
        <v>9202</v>
      </c>
      <c r="D126">
        <v>4008</v>
      </c>
      <c r="E126">
        <v>260</v>
      </c>
      <c r="F126">
        <v>15.64</v>
      </c>
      <c r="G126">
        <v>93696</v>
      </c>
      <c r="H126">
        <v>21761</v>
      </c>
      <c r="I126">
        <v>3.5</v>
      </c>
      <c r="J126" t="s">
        <v>42</v>
      </c>
      <c r="K126" t="s">
        <v>1358</v>
      </c>
      <c r="L126" s="25">
        <v>0.45601851851851855</v>
      </c>
      <c r="M126">
        <v>0.15640000000000001</v>
      </c>
      <c r="N126">
        <v>3.5000000000000003E-2</v>
      </c>
      <c r="O126">
        <v>13470</v>
      </c>
      <c r="P126">
        <v>0.61899728872754012</v>
      </c>
      <c r="Q126" t="s">
        <v>1238</v>
      </c>
      <c r="R126" t="s">
        <v>1239</v>
      </c>
      <c r="S126" t="s">
        <v>1231</v>
      </c>
      <c r="T126">
        <v>3</v>
      </c>
    </row>
    <row r="127" spans="1:20" x14ac:dyDescent="0.3">
      <c r="A127" t="s">
        <v>137</v>
      </c>
      <c r="B127" t="s">
        <v>138</v>
      </c>
      <c r="C127">
        <v>9202</v>
      </c>
      <c r="D127">
        <v>4008</v>
      </c>
      <c r="E127">
        <v>260</v>
      </c>
      <c r="F127">
        <v>15.64</v>
      </c>
      <c r="G127">
        <v>93696</v>
      </c>
      <c r="H127">
        <v>21761</v>
      </c>
      <c r="I127">
        <v>3.5</v>
      </c>
      <c r="J127" t="s">
        <v>42</v>
      </c>
      <c r="K127" t="s">
        <v>1359</v>
      </c>
      <c r="L127" s="25">
        <v>0.45601851851851855</v>
      </c>
      <c r="M127">
        <v>0.15640000000000001</v>
      </c>
      <c r="N127">
        <v>3.5000000000000003E-2</v>
      </c>
      <c r="O127">
        <v>13470</v>
      </c>
      <c r="P127">
        <v>0.61899728872754012</v>
      </c>
      <c r="Q127" t="s">
        <v>1238</v>
      </c>
      <c r="R127" t="s">
        <v>1239</v>
      </c>
      <c r="S127" t="s">
        <v>1231</v>
      </c>
      <c r="T127">
        <v>3</v>
      </c>
    </row>
    <row r="128" spans="1:20" x14ac:dyDescent="0.3">
      <c r="A128" t="s">
        <v>140</v>
      </c>
      <c r="B128" t="s">
        <v>141</v>
      </c>
      <c r="C128">
        <v>5043</v>
      </c>
      <c r="D128">
        <v>3879</v>
      </c>
      <c r="E128">
        <v>1895</v>
      </c>
      <c r="F128">
        <v>18.100000000000001</v>
      </c>
      <c r="G128">
        <v>51702</v>
      </c>
      <c r="H128">
        <v>80939</v>
      </c>
      <c r="I128">
        <v>7.53</v>
      </c>
      <c r="J128" t="s">
        <v>12</v>
      </c>
      <c r="K128" t="s">
        <v>1360</v>
      </c>
      <c r="L128" s="25">
        <v>0.59043981481481478</v>
      </c>
      <c r="M128">
        <v>0.18100000000000002</v>
      </c>
      <c r="N128">
        <v>7.5300000000000006E-2</v>
      </c>
      <c r="O128">
        <v>10817</v>
      </c>
      <c r="P128">
        <v>0.1336438552490147</v>
      </c>
      <c r="Q128" t="s">
        <v>1238</v>
      </c>
      <c r="R128" t="s">
        <v>1239</v>
      </c>
      <c r="S128" t="s">
        <v>1230</v>
      </c>
      <c r="T128">
        <v>3</v>
      </c>
    </row>
    <row r="129" spans="1:20" x14ac:dyDescent="0.3">
      <c r="A129" t="s">
        <v>140</v>
      </c>
      <c r="B129" t="s">
        <v>141</v>
      </c>
      <c r="C129">
        <v>5043</v>
      </c>
      <c r="D129">
        <v>3879</v>
      </c>
      <c r="E129">
        <v>1895</v>
      </c>
      <c r="F129">
        <v>18.100000000000001</v>
      </c>
      <c r="G129">
        <v>51702</v>
      </c>
      <c r="H129">
        <v>80939</v>
      </c>
      <c r="I129">
        <v>7.53</v>
      </c>
      <c r="J129" t="s">
        <v>12</v>
      </c>
      <c r="K129" t="s">
        <v>1361</v>
      </c>
      <c r="L129" s="25">
        <v>0.59043981481481478</v>
      </c>
      <c r="M129">
        <v>0.18100000000000002</v>
      </c>
      <c r="N129">
        <v>7.5300000000000006E-2</v>
      </c>
      <c r="O129">
        <v>10817</v>
      </c>
      <c r="P129">
        <v>0.1336438552490147</v>
      </c>
      <c r="Q129" t="s">
        <v>1238</v>
      </c>
      <c r="R129" t="s">
        <v>1239</v>
      </c>
      <c r="S129" t="s">
        <v>1230</v>
      </c>
      <c r="T129">
        <v>3</v>
      </c>
    </row>
    <row r="130" spans="1:20" x14ac:dyDescent="0.3">
      <c r="A130" t="s">
        <v>140</v>
      </c>
      <c r="B130" t="s">
        <v>141</v>
      </c>
      <c r="C130">
        <v>5043</v>
      </c>
      <c r="D130">
        <v>3879</v>
      </c>
      <c r="E130">
        <v>1895</v>
      </c>
      <c r="F130">
        <v>18.100000000000001</v>
      </c>
      <c r="G130">
        <v>51702</v>
      </c>
      <c r="H130">
        <v>80939</v>
      </c>
      <c r="I130">
        <v>7.53</v>
      </c>
      <c r="J130" t="s">
        <v>12</v>
      </c>
      <c r="K130" t="s">
        <v>1362</v>
      </c>
      <c r="L130" s="25">
        <v>0.59043981481481478</v>
      </c>
      <c r="M130">
        <v>0.18100000000000002</v>
      </c>
      <c r="N130">
        <v>7.5300000000000006E-2</v>
      </c>
      <c r="O130">
        <v>10817</v>
      </c>
      <c r="P130">
        <v>0.1336438552490147</v>
      </c>
      <c r="Q130" t="s">
        <v>1238</v>
      </c>
      <c r="R130" t="s">
        <v>1239</v>
      </c>
      <c r="S130" t="s">
        <v>1230</v>
      </c>
      <c r="T130">
        <v>3</v>
      </c>
    </row>
    <row r="131" spans="1:20" x14ac:dyDescent="0.3">
      <c r="A131" t="s">
        <v>143</v>
      </c>
      <c r="B131" t="s">
        <v>144</v>
      </c>
      <c r="C131">
        <v>6071</v>
      </c>
      <c r="D131">
        <v>2432</v>
      </c>
      <c r="E131">
        <v>796</v>
      </c>
      <c r="F131">
        <v>70.34</v>
      </c>
      <c r="G131">
        <v>18190</v>
      </c>
      <c r="H131">
        <v>26719</v>
      </c>
      <c r="I131">
        <v>4.8499999999999996</v>
      </c>
      <c r="J131" t="s">
        <v>20</v>
      </c>
      <c r="K131" t="s">
        <v>1363</v>
      </c>
      <c r="L131" s="25">
        <v>0.38673611111111111</v>
      </c>
      <c r="M131">
        <v>0.70340000000000003</v>
      </c>
      <c r="N131">
        <v>4.8499999999999995E-2</v>
      </c>
      <c r="O131">
        <v>9299</v>
      </c>
      <c r="P131">
        <v>0.34802949212171114</v>
      </c>
      <c r="Q131" t="s">
        <v>1238</v>
      </c>
      <c r="R131" t="s">
        <v>1239</v>
      </c>
      <c r="S131" t="s">
        <v>1231</v>
      </c>
      <c r="T131">
        <v>3</v>
      </c>
    </row>
    <row r="132" spans="1:20" x14ac:dyDescent="0.3">
      <c r="A132" t="s">
        <v>143</v>
      </c>
      <c r="B132" t="s">
        <v>144</v>
      </c>
      <c r="C132">
        <v>6071</v>
      </c>
      <c r="D132">
        <v>2432</v>
      </c>
      <c r="E132">
        <v>796</v>
      </c>
      <c r="F132">
        <v>70.34</v>
      </c>
      <c r="G132">
        <v>18190</v>
      </c>
      <c r="H132">
        <v>26719</v>
      </c>
      <c r="I132">
        <v>4.8499999999999996</v>
      </c>
      <c r="J132" t="s">
        <v>20</v>
      </c>
      <c r="K132" t="s">
        <v>1364</v>
      </c>
      <c r="L132" s="25">
        <v>0.38673611111111111</v>
      </c>
      <c r="M132">
        <v>0.70340000000000003</v>
      </c>
      <c r="N132">
        <v>4.8499999999999995E-2</v>
      </c>
      <c r="O132">
        <v>9299</v>
      </c>
      <c r="P132">
        <v>0.34802949212171114</v>
      </c>
      <c r="Q132" t="s">
        <v>1238</v>
      </c>
      <c r="R132" t="s">
        <v>1239</v>
      </c>
      <c r="S132" t="s">
        <v>1231</v>
      </c>
      <c r="T132">
        <v>3</v>
      </c>
    </row>
    <row r="133" spans="1:20" x14ac:dyDescent="0.3">
      <c r="A133" t="s">
        <v>143</v>
      </c>
      <c r="B133" t="s">
        <v>144</v>
      </c>
      <c r="C133">
        <v>6071</v>
      </c>
      <c r="D133">
        <v>2432</v>
      </c>
      <c r="E133">
        <v>796</v>
      </c>
      <c r="F133">
        <v>70.34</v>
      </c>
      <c r="G133">
        <v>18190</v>
      </c>
      <c r="H133">
        <v>26719</v>
      </c>
      <c r="I133">
        <v>4.8499999999999996</v>
      </c>
      <c r="J133" t="s">
        <v>20</v>
      </c>
      <c r="K133" t="s">
        <v>1365</v>
      </c>
      <c r="L133" s="25">
        <v>0.38673611111111111</v>
      </c>
      <c r="M133">
        <v>0.70340000000000003</v>
      </c>
      <c r="N133">
        <v>4.8499999999999995E-2</v>
      </c>
      <c r="O133">
        <v>9299</v>
      </c>
      <c r="P133">
        <v>0.34802949212171114</v>
      </c>
      <c r="Q133" t="s">
        <v>1238</v>
      </c>
      <c r="R133" t="s">
        <v>1239</v>
      </c>
      <c r="S133" t="s">
        <v>1231</v>
      </c>
      <c r="T133">
        <v>3</v>
      </c>
    </row>
    <row r="134" spans="1:20" x14ac:dyDescent="0.3">
      <c r="A134" t="s">
        <v>146</v>
      </c>
      <c r="B134" t="s">
        <v>147</v>
      </c>
      <c r="C134">
        <v>9182</v>
      </c>
      <c r="D134">
        <v>508</v>
      </c>
      <c r="E134">
        <v>1681</v>
      </c>
      <c r="F134">
        <v>19.579999999999998</v>
      </c>
      <c r="G134">
        <v>47232</v>
      </c>
      <c r="H134">
        <v>17005</v>
      </c>
      <c r="I134">
        <v>5.39</v>
      </c>
      <c r="J134" t="s">
        <v>42</v>
      </c>
      <c r="K134" t="s">
        <v>1366</v>
      </c>
      <c r="L134" s="25">
        <v>0.87974537037037037</v>
      </c>
      <c r="M134">
        <v>0.19579999999999997</v>
      </c>
      <c r="N134">
        <v>5.3899999999999997E-2</v>
      </c>
      <c r="O134">
        <v>11371</v>
      </c>
      <c r="P134">
        <v>0.66868568068215228</v>
      </c>
      <c r="Q134" t="s">
        <v>1238</v>
      </c>
      <c r="R134" t="s">
        <v>1239</v>
      </c>
      <c r="S134" t="s">
        <v>1233</v>
      </c>
      <c r="T134">
        <v>3</v>
      </c>
    </row>
    <row r="135" spans="1:20" x14ac:dyDescent="0.3">
      <c r="A135" t="s">
        <v>146</v>
      </c>
      <c r="B135" t="s">
        <v>147</v>
      </c>
      <c r="C135">
        <v>9182</v>
      </c>
      <c r="D135">
        <v>508</v>
      </c>
      <c r="E135">
        <v>1681</v>
      </c>
      <c r="F135">
        <v>19.579999999999998</v>
      </c>
      <c r="G135">
        <v>47232</v>
      </c>
      <c r="H135">
        <v>17005</v>
      </c>
      <c r="I135">
        <v>5.39</v>
      </c>
      <c r="J135" t="s">
        <v>42</v>
      </c>
      <c r="K135" t="s">
        <v>1367</v>
      </c>
      <c r="L135" s="25">
        <v>0.87974537037037037</v>
      </c>
      <c r="M135">
        <v>0.19579999999999997</v>
      </c>
      <c r="N135">
        <v>5.3899999999999997E-2</v>
      </c>
      <c r="O135">
        <v>11371</v>
      </c>
      <c r="P135">
        <v>0.66868568068215228</v>
      </c>
      <c r="Q135" t="s">
        <v>1238</v>
      </c>
      <c r="R135" t="s">
        <v>1239</v>
      </c>
      <c r="S135" t="s">
        <v>1233</v>
      </c>
      <c r="T135">
        <v>3</v>
      </c>
    </row>
    <row r="136" spans="1:20" x14ac:dyDescent="0.3">
      <c r="A136" t="s">
        <v>146</v>
      </c>
      <c r="B136" t="s">
        <v>147</v>
      </c>
      <c r="C136">
        <v>9182</v>
      </c>
      <c r="D136">
        <v>508</v>
      </c>
      <c r="E136">
        <v>1681</v>
      </c>
      <c r="F136">
        <v>19.579999999999998</v>
      </c>
      <c r="G136">
        <v>47232</v>
      </c>
      <c r="H136">
        <v>17005</v>
      </c>
      <c r="I136">
        <v>5.39</v>
      </c>
      <c r="J136" t="s">
        <v>42</v>
      </c>
      <c r="K136" t="s">
        <v>1368</v>
      </c>
      <c r="L136" s="25">
        <v>0.87974537037037037</v>
      </c>
      <c r="M136">
        <v>0.19579999999999997</v>
      </c>
      <c r="N136">
        <v>5.3899999999999997E-2</v>
      </c>
      <c r="O136">
        <v>11371</v>
      </c>
      <c r="P136">
        <v>0.66868568068215228</v>
      </c>
      <c r="Q136" t="s">
        <v>1238</v>
      </c>
      <c r="R136" t="s">
        <v>1239</v>
      </c>
      <c r="S136" t="s">
        <v>1233</v>
      </c>
      <c r="T136">
        <v>3</v>
      </c>
    </row>
    <row r="137" spans="1:20" x14ac:dyDescent="0.3">
      <c r="A137" t="s">
        <v>149</v>
      </c>
      <c r="B137" t="s">
        <v>150</v>
      </c>
      <c r="C137">
        <v>2272</v>
      </c>
      <c r="D137">
        <v>3862</v>
      </c>
      <c r="E137">
        <v>828</v>
      </c>
      <c r="F137">
        <v>79.010000000000005</v>
      </c>
      <c r="G137">
        <v>15374</v>
      </c>
      <c r="H137">
        <v>31058</v>
      </c>
      <c r="I137">
        <v>8.5500000000000007</v>
      </c>
      <c r="J137" t="s">
        <v>12</v>
      </c>
      <c r="K137" t="s">
        <v>1369</v>
      </c>
      <c r="L137" s="25">
        <v>0.6626157407407407</v>
      </c>
      <c r="M137">
        <v>0.79010000000000002</v>
      </c>
      <c r="N137">
        <v>8.5500000000000007E-2</v>
      </c>
      <c r="O137">
        <v>6962</v>
      </c>
      <c r="P137">
        <v>0.22416124669972309</v>
      </c>
      <c r="Q137" t="s">
        <v>1238</v>
      </c>
      <c r="R137" t="s">
        <v>1239</v>
      </c>
      <c r="S137" t="s">
        <v>1230</v>
      </c>
      <c r="T137">
        <v>3</v>
      </c>
    </row>
    <row r="138" spans="1:20" x14ac:dyDescent="0.3">
      <c r="A138" t="s">
        <v>149</v>
      </c>
      <c r="B138" t="s">
        <v>150</v>
      </c>
      <c r="C138">
        <v>2272</v>
      </c>
      <c r="D138">
        <v>3862</v>
      </c>
      <c r="E138">
        <v>828</v>
      </c>
      <c r="F138">
        <v>79.010000000000005</v>
      </c>
      <c r="G138">
        <v>15374</v>
      </c>
      <c r="H138">
        <v>31058</v>
      </c>
      <c r="I138">
        <v>8.5500000000000007</v>
      </c>
      <c r="J138" t="s">
        <v>12</v>
      </c>
      <c r="K138" t="s">
        <v>1370</v>
      </c>
      <c r="L138" s="25">
        <v>0.6626157407407407</v>
      </c>
      <c r="M138">
        <v>0.79010000000000002</v>
      </c>
      <c r="N138">
        <v>8.5500000000000007E-2</v>
      </c>
      <c r="O138">
        <v>6962</v>
      </c>
      <c r="P138">
        <v>0.22416124669972309</v>
      </c>
      <c r="Q138" t="s">
        <v>1238</v>
      </c>
      <c r="R138" t="s">
        <v>1239</v>
      </c>
      <c r="S138" t="s">
        <v>1230</v>
      </c>
      <c r="T138">
        <v>3</v>
      </c>
    </row>
    <row r="139" spans="1:20" x14ac:dyDescent="0.3">
      <c r="A139" t="s">
        <v>149</v>
      </c>
      <c r="B139" t="s">
        <v>150</v>
      </c>
      <c r="C139">
        <v>2272</v>
      </c>
      <c r="D139">
        <v>3862</v>
      </c>
      <c r="E139">
        <v>828</v>
      </c>
      <c r="F139">
        <v>79.010000000000005</v>
      </c>
      <c r="G139">
        <v>15374</v>
      </c>
      <c r="H139">
        <v>31058</v>
      </c>
      <c r="I139">
        <v>8.5500000000000007</v>
      </c>
      <c r="J139" t="s">
        <v>12</v>
      </c>
      <c r="K139" t="s">
        <v>1371</v>
      </c>
      <c r="L139" s="25">
        <v>0.6626157407407407</v>
      </c>
      <c r="M139">
        <v>0.79010000000000002</v>
      </c>
      <c r="N139">
        <v>8.5500000000000007E-2</v>
      </c>
      <c r="O139">
        <v>6962</v>
      </c>
      <c r="P139">
        <v>0.22416124669972309</v>
      </c>
      <c r="Q139" t="s">
        <v>1238</v>
      </c>
      <c r="R139" t="s">
        <v>1239</v>
      </c>
      <c r="S139" t="s">
        <v>1230</v>
      </c>
      <c r="T139">
        <v>3</v>
      </c>
    </row>
    <row r="140" spans="1:20" x14ac:dyDescent="0.3">
      <c r="A140" t="s">
        <v>152</v>
      </c>
      <c r="B140" t="s">
        <v>153</v>
      </c>
      <c r="C140">
        <v>4082</v>
      </c>
      <c r="D140">
        <v>4792</v>
      </c>
      <c r="E140">
        <v>1502</v>
      </c>
      <c r="F140">
        <v>81.569999999999993</v>
      </c>
      <c r="G140">
        <v>23524</v>
      </c>
      <c r="H140">
        <v>75191</v>
      </c>
      <c r="I140">
        <v>4.21</v>
      </c>
      <c r="J140" t="s">
        <v>16</v>
      </c>
      <c r="K140" t="s">
        <v>1372</v>
      </c>
      <c r="L140" s="25">
        <v>0.94268518518518518</v>
      </c>
      <c r="M140">
        <v>0.81569999999999998</v>
      </c>
      <c r="N140">
        <v>4.2099999999999999E-2</v>
      </c>
      <c r="O140">
        <v>10376</v>
      </c>
      <c r="P140">
        <v>0.1379952387918767</v>
      </c>
      <c r="Q140" t="s">
        <v>1238</v>
      </c>
      <c r="R140" t="s">
        <v>1239</v>
      </c>
      <c r="S140" t="s">
        <v>1233</v>
      </c>
      <c r="T140">
        <v>3</v>
      </c>
    </row>
    <row r="141" spans="1:20" x14ac:dyDescent="0.3">
      <c r="A141" t="s">
        <v>152</v>
      </c>
      <c r="B141" t="s">
        <v>153</v>
      </c>
      <c r="C141">
        <v>4082</v>
      </c>
      <c r="D141">
        <v>4792</v>
      </c>
      <c r="E141">
        <v>1502</v>
      </c>
      <c r="F141">
        <v>81.569999999999993</v>
      </c>
      <c r="G141">
        <v>23524</v>
      </c>
      <c r="H141">
        <v>75191</v>
      </c>
      <c r="I141">
        <v>4.21</v>
      </c>
      <c r="J141" t="s">
        <v>16</v>
      </c>
      <c r="K141" t="s">
        <v>1373</v>
      </c>
      <c r="L141" s="25">
        <v>0.94268518518518518</v>
      </c>
      <c r="M141">
        <v>0.81569999999999998</v>
      </c>
      <c r="N141">
        <v>4.2099999999999999E-2</v>
      </c>
      <c r="O141">
        <v>10376</v>
      </c>
      <c r="P141">
        <v>0.1379952387918767</v>
      </c>
      <c r="Q141" t="s">
        <v>1238</v>
      </c>
      <c r="R141" t="s">
        <v>1239</v>
      </c>
      <c r="S141" t="s">
        <v>1233</v>
      </c>
      <c r="T141">
        <v>3</v>
      </c>
    </row>
    <row r="142" spans="1:20" x14ac:dyDescent="0.3">
      <c r="A142" t="s">
        <v>152</v>
      </c>
      <c r="B142" t="s">
        <v>153</v>
      </c>
      <c r="C142">
        <v>4082</v>
      </c>
      <c r="D142">
        <v>4792</v>
      </c>
      <c r="E142">
        <v>1502</v>
      </c>
      <c r="F142">
        <v>81.569999999999993</v>
      </c>
      <c r="G142">
        <v>23524</v>
      </c>
      <c r="H142">
        <v>75191</v>
      </c>
      <c r="I142">
        <v>4.21</v>
      </c>
      <c r="J142" t="s">
        <v>16</v>
      </c>
      <c r="K142" t="s">
        <v>1374</v>
      </c>
      <c r="L142" s="25">
        <v>0.94268518518518518</v>
      </c>
      <c r="M142">
        <v>0.81569999999999998</v>
      </c>
      <c r="N142">
        <v>4.2099999999999999E-2</v>
      </c>
      <c r="O142">
        <v>10376</v>
      </c>
      <c r="P142">
        <v>0.1379952387918767</v>
      </c>
      <c r="Q142" t="s">
        <v>1238</v>
      </c>
      <c r="R142" t="s">
        <v>1239</v>
      </c>
      <c r="S142" t="s">
        <v>1233</v>
      </c>
      <c r="T142">
        <v>3</v>
      </c>
    </row>
    <row r="143" spans="1:20" x14ac:dyDescent="0.3">
      <c r="A143" t="s">
        <v>155</v>
      </c>
      <c r="B143" t="s">
        <v>156</v>
      </c>
      <c r="C143">
        <v>8817</v>
      </c>
      <c r="D143">
        <v>4149</v>
      </c>
      <c r="E143">
        <v>1717</v>
      </c>
      <c r="F143">
        <v>58.01</v>
      </c>
      <c r="G143">
        <v>8463</v>
      </c>
      <c r="H143">
        <v>74991</v>
      </c>
      <c r="I143">
        <v>5.77</v>
      </c>
      <c r="J143" t="s">
        <v>42</v>
      </c>
      <c r="K143" t="s">
        <v>1375</v>
      </c>
      <c r="L143" s="25">
        <v>0.24124999999999999</v>
      </c>
      <c r="M143">
        <v>0.58009999999999995</v>
      </c>
      <c r="N143">
        <v>5.7699999999999994E-2</v>
      </c>
      <c r="O143">
        <v>14683</v>
      </c>
      <c r="P143">
        <v>0.19579682895280767</v>
      </c>
      <c r="Q143" t="s">
        <v>1238</v>
      </c>
      <c r="R143" t="s">
        <v>1239</v>
      </c>
      <c r="S143" t="s">
        <v>1231</v>
      </c>
      <c r="T143">
        <v>3</v>
      </c>
    </row>
    <row r="144" spans="1:20" x14ac:dyDescent="0.3">
      <c r="A144" t="s">
        <v>155</v>
      </c>
      <c r="B144" t="s">
        <v>156</v>
      </c>
      <c r="C144">
        <v>8817</v>
      </c>
      <c r="D144">
        <v>4149</v>
      </c>
      <c r="E144">
        <v>1717</v>
      </c>
      <c r="F144">
        <v>58.01</v>
      </c>
      <c r="G144">
        <v>8463</v>
      </c>
      <c r="H144">
        <v>74991</v>
      </c>
      <c r="I144">
        <v>5.77</v>
      </c>
      <c r="J144" t="s">
        <v>42</v>
      </c>
      <c r="K144" t="s">
        <v>1376</v>
      </c>
      <c r="L144" s="25">
        <v>0.24124999999999999</v>
      </c>
      <c r="M144">
        <v>0.58009999999999995</v>
      </c>
      <c r="N144">
        <v>5.7699999999999994E-2</v>
      </c>
      <c r="O144">
        <v>14683</v>
      </c>
      <c r="P144">
        <v>0.19579682895280767</v>
      </c>
      <c r="Q144" t="s">
        <v>1238</v>
      </c>
      <c r="R144" t="s">
        <v>1239</v>
      </c>
      <c r="S144" t="s">
        <v>1231</v>
      </c>
      <c r="T144">
        <v>3</v>
      </c>
    </row>
    <row r="145" spans="1:20" x14ac:dyDescent="0.3">
      <c r="A145" t="s">
        <v>155</v>
      </c>
      <c r="B145" t="s">
        <v>156</v>
      </c>
      <c r="C145">
        <v>8817</v>
      </c>
      <c r="D145">
        <v>4149</v>
      </c>
      <c r="E145">
        <v>1717</v>
      </c>
      <c r="F145">
        <v>58.01</v>
      </c>
      <c r="G145">
        <v>8463</v>
      </c>
      <c r="H145">
        <v>74991</v>
      </c>
      <c r="I145">
        <v>5.77</v>
      </c>
      <c r="J145" t="s">
        <v>42</v>
      </c>
      <c r="K145" t="s">
        <v>1377</v>
      </c>
      <c r="L145" s="25">
        <v>0.24124999999999999</v>
      </c>
      <c r="M145">
        <v>0.58009999999999995</v>
      </c>
      <c r="N145">
        <v>5.7699999999999994E-2</v>
      </c>
      <c r="O145">
        <v>14683</v>
      </c>
      <c r="P145">
        <v>0.19579682895280767</v>
      </c>
      <c r="Q145" t="s">
        <v>1238</v>
      </c>
      <c r="R145" t="s">
        <v>1239</v>
      </c>
      <c r="S145" t="s">
        <v>1231</v>
      </c>
      <c r="T145">
        <v>3</v>
      </c>
    </row>
    <row r="146" spans="1:20" x14ac:dyDescent="0.3">
      <c r="A146" t="s">
        <v>158</v>
      </c>
      <c r="B146" t="s">
        <v>159</v>
      </c>
      <c r="C146">
        <v>8155</v>
      </c>
      <c r="D146">
        <v>3475</v>
      </c>
      <c r="E146">
        <v>976</v>
      </c>
      <c r="F146">
        <v>28.24</v>
      </c>
      <c r="G146">
        <v>92686</v>
      </c>
      <c r="H146">
        <v>46354</v>
      </c>
      <c r="I146">
        <v>0.04</v>
      </c>
      <c r="J146" t="s">
        <v>12</v>
      </c>
      <c r="K146" t="s">
        <v>1378</v>
      </c>
      <c r="L146" s="25">
        <v>0.20380787037037038</v>
      </c>
      <c r="M146">
        <v>0.28239999999999998</v>
      </c>
      <c r="N146">
        <v>4.0000000000000002E-4</v>
      </c>
      <c r="O146">
        <v>12606</v>
      </c>
      <c r="P146">
        <v>0.27195064072140485</v>
      </c>
      <c r="Q146" t="s">
        <v>1379</v>
      </c>
      <c r="R146" t="s">
        <v>1239</v>
      </c>
      <c r="S146" t="s">
        <v>1231</v>
      </c>
      <c r="T146">
        <v>3</v>
      </c>
    </row>
    <row r="147" spans="1:20" x14ac:dyDescent="0.3">
      <c r="A147" t="s">
        <v>158</v>
      </c>
      <c r="B147" t="s">
        <v>159</v>
      </c>
      <c r="C147">
        <v>8155</v>
      </c>
      <c r="D147">
        <v>3475</v>
      </c>
      <c r="E147">
        <v>976</v>
      </c>
      <c r="F147">
        <v>28.24</v>
      </c>
      <c r="G147">
        <v>92686</v>
      </c>
      <c r="H147">
        <v>46354</v>
      </c>
      <c r="I147">
        <v>0.04</v>
      </c>
      <c r="J147" t="s">
        <v>12</v>
      </c>
      <c r="K147" t="s">
        <v>1380</v>
      </c>
      <c r="L147" s="25">
        <v>0.20380787037037038</v>
      </c>
      <c r="M147">
        <v>0.28239999999999998</v>
      </c>
      <c r="N147">
        <v>4.0000000000000002E-4</v>
      </c>
      <c r="O147">
        <v>12606</v>
      </c>
      <c r="P147">
        <v>0.27195064072140485</v>
      </c>
      <c r="Q147" t="s">
        <v>1379</v>
      </c>
      <c r="R147" t="s">
        <v>1239</v>
      </c>
      <c r="S147" t="s">
        <v>1231</v>
      </c>
      <c r="T147">
        <v>3</v>
      </c>
    </row>
    <row r="148" spans="1:20" x14ac:dyDescent="0.3">
      <c r="A148" t="s">
        <v>158</v>
      </c>
      <c r="B148" t="s">
        <v>159</v>
      </c>
      <c r="C148">
        <v>8155</v>
      </c>
      <c r="D148">
        <v>3475</v>
      </c>
      <c r="E148">
        <v>976</v>
      </c>
      <c r="F148">
        <v>28.24</v>
      </c>
      <c r="G148">
        <v>92686</v>
      </c>
      <c r="H148">
        <v>46354</v>
      </c>
      <c r="I148">
        <v>0.04</v>
      </c>
      <c r="J148" t="s">
        <v>12</v>
      </c>
      <c r="K148" t="s">
        <v>1381</v>
      </c>
      <c r="L148" s="25">
        <v>0.20380787037037038</v>
      </c>
      <c r="M148">
        <v>0.28239999999999998</v>
      </c>
      <c r="N148">
        <v>4.0000000000000002E-4</v>
      </c>
      <c r="O148">
        <v>12606</v>
      </c>
      <c r="P148">
        <v>0.27195064072140485</v>
      </c>
      <c r="Q148" t="s">
        <v>1379</v>
      </c>
      <c r="R148" t="s">
        <v>1239</v>
      </c>
      <c r="S148" t="s">
        <v>1231</v>
      </c>
      <c r="T148">
        <v>3</v>
      </c>
    </row>
    <row r="149" spans="1:20" x14ac:dyDescent="0.3">
      <c r="A149" t="s">
        <v>161</v>
      </c>
      <c r="B149" t="s">
        <v>162</v>
      </c>
      <c r="C149">
        <v>442</v>
      </c>
      <c r="D149">
        <v>4595</v>
      </c>
      <c r="E149">
        <v>438</v>
      </c>
      <c r="F149">
        <v>45.99</v>
      </c>
      <c r="G149">
        <v>92672</v>
      </c>
      <c r="H149">
        <v>41708</v>
      </c>
      <c r="I149">
        <v>1.47</v>
      </c>
      <c r="J149" t="s">
        <v>42</v>
      </c>
      <c r="K149" t="s">
        <v>1246</v>
      </c>
      <c r="L149" s="25">
        <v>0.20655092592592592</v>
      </c>
      <c r="M149">
        <v>0.45990000000000003</v>
      </c>
      <c r="N149">
        <v>1.47E-2</v>
      </c>
      <c r="O149">
        <v>5475</v>
      </c>
      <c r="P149">
        <v>0.13126978037786516</v>
      </c>
      <c r="Q149" t="s">
        <v>1238</v>
      </c>
      <c r="R149" t="s">
        <v>1239</v>
      </c>
      <c r="S149" t="s">
        <v>1231</v>
      </c>
      <c r="T149">
        <v>3</v>
      </c>
    </row>
    <row r="150" spans="1:20" x14ac:dyDescent="0.3">
      <c r="A150" t="s">
        <v>161</v>
      </c>
      <c r="B150" t="s">
        <v>162</v>
      </c>
      <c r="C150">
        <v>442</v>
      </c>
      <c r="D150">
        <v>4595</v>
      </c>
      <c r="E150">
        <v>438</v>
      </c>
      <c r="F150">
        <v>45.99</v>
      </c>
      <c r="G150">
        <v>92672</v>
      </c>
      <c r="H150">
        <v>41708</v>
      </c>
      <c r="I150">
        <v>1.47</v>
      </c>
      <c r="J150" t="s">
        <v>42</v>
      </c>
      <c r="K150" t="s">
        <v>1382</v>
      </c>
      <c r="L150" s="25">
        <v>0.20655092592592592</v>
      </c>
      <c r="M150">
        <v>0.45990000000000003</v>
      </c>
      <c r="N150">
        <v>1.47E-2</v>
      </c>
      <c r="O150">
        <v>5475</v>
      </c>
      <c r="P150">
        <v>0.13126978037786516</v>
      </c>
      <c r="Q150" t="s">
        <v>1238</v>
      </c>
      <c r="R150" t="s">
        <v>1239</v>
      </c>
      <c r="S150" t="s">
        <v>1231</v>
      </c>
      <c r="T150">
        <v>3</v>
      </c>
    </row>
    <row r="151" spans="1:20" x14ac:dyDescent="0.3">
      <c r="A151" t="s">
        <v>161</v>
      </c>
      <c r="B151" t="s">
        <v>162</v>
      </c>
      <c r="C151">
        <v>442</v>
      </c>
      <c r="D151">
        <v>4595</v>
      </c>
      <c r="E151">
        <v>438</v>
      </c>
      <c r="F151">
        <v>45.99</v>
      </c>
      <c r="G151">
        <v>92672</v>
      </c>
      <c r="H151">
        <v>41708</v>
      </c>
      <c r="I151">
        <v>1.47</v>
      </c>
      <c r="J151" t="s">
        <v>42</v>
      </c>
      <c r="K151" t="s">
        <v>1383</v>
      </c>
      <c r="L151" s="25">
        <v>0.20655092592592592</v>
      </c>
      <c r="M151">
        <v>0.45990000000000003</v>
      </c>
      <c r="N151">
        <v>1.47E-2</v>
      </c>
      <c r="O151">
        <v>5475</v>
      </c>
      <c r="P151">
        <v>0.13126978037786516</v>
      </c>
      <c r="Q151" t="s">
        <v>1238</v>
      </c>
      <c r="R151" t="s">
        <v>1239</v>
      </c>
      <c r="S151" t="s">
        <v>1231</v>
      </c>
      <c r="T151">
        <v>3</v>
      </c>
    </row>
    <row r="152" spans="1:20" x14ac:dyDescent="0.3">
      <c r="A152" t="s">
        <v>164</v>
      </c>
      <c r="B152" t="s">
        <v>165</v>
      </c>
      <c r="C152">
        <v>4686</v>
      </c>
      <c r="D152">
        <v>3253</v>
      </c>
      <c r="E152">
        <v>1210</v>
      </c>
      <c r="F152">
        <v>86.55</v>
      </c>
      <c r="G152">
        <v>8706</v>
      </c>
      <c r="H152">
        <v>82522</v>
      </c>
      <c r="I152">
        <v>3.31</v>
      </c>
      <c r="J152" t="s">
        <v>16</v>
      </c>
      <c r="K152" t="s">
        <v>1384</v>
      </c>
      <c r="L152" s="25">
        <v>0.19699074074074074</v>
      </c>
      <c r="M152">
        <v>0.86549999999999994</v>
      </c>
      <c r="N152">
        <v>3.3099999999999997E-2</v>
      </c>
      <c r="O152">
        <v>9149</v>
      </c>
      <c r="P152">
        <v>0.11086740505562154</v>
      </c>
      <c r="Q152" t="s">
        <v>1238</v>
      </c>
      <c r="R152" t="s">
        <v>1239</v>
      </c>
      <c r="S152" t="s">
        <v>1231</v>
      </c>
      <c r="T152">
        <v>3</v>
      </c>
    </row>
    <row r="153" spans="1:20" x14ac:dyDescent="0.3">
      <c r="A153" t="s">
        <v>164</v>
      </c>
      <c r="B153" t="s">
        <v>165</v>
      </c>
      <c r="C153">
        <v>4686</v>
      </c>
      <c r="D153">
        <v>3253</v>
      </c>
      <c r="E153">
        <v>1210</v>
      </c>
      <c r="F153">
        <v>86.55</v>
      </c>
      <c r="G153">
        <v>8706</v>
      </c>
      <c r="H153">
        <v>82522</v>
      </c>
      <c r="I153">
        <v>3.31</v>
      </c>
      <c r="J153" t="s">
        <v>16</v>
      </c>
      <c r="K153" t="s">
        <v>1385</v>
      </c>
      <c r="L153" s="25">
        <v>0.19699074074074074</v>
      </c>
      <c r="M153">
        <v>0.86549999999999994</v>
      </c>
      <c r="N153">
        <v>3.3099999999999997E-2</v>
      </c>
      <c r="O153">
        <v>9149</v>
      </c>
      <c r="P153">
        <v>0.11086740505562154</v>
      </c>
      <c r="Q153" t="s">
        <v>1238</v>
      </c>
      <c r="R153" t="s">
        <v>1239</v>
      </c>
      <c r="S153" t="s">
        <v>1231</v>
      </c>
      <c r="T153">
        <v>3</v>
      </c>
    </row>
    <row r="154" spans="1:20" x14ac:dyDescent="0.3">
      <c r="A154" t="s">
        <v>164</v>
      </c>
      <c r="B154" t="s">
        <v>165</v>
      </c>
      <c r="C154">
        <v>4686</v>
      </c>
      <c r="D154">
        <v>3253</v>
      </c>
      <c r="E154">
        <v>1210</v>
      </c>
      <c r="F154">
        <v>86.55</v>
      </c>
      <c r="G154">
        <v>8706</v>
      </c>
      <c r="H154">
        <v>82522</v>
      </c>
      <c r="I154">
        <v>3.31</v>
      </c>
      <c r="J154" t="s">
        <v>16</v>
      </c>
      <c r="K154" t="s">
        <v>1386</v>
      </c>
      <c r="L154" s="25">
        <v>0.19699074074074074</v>
      </c>
      <c r="M154">
        <v>0.86549999999999994</v>
      </c>
      <c r="N154">
        <v>3.3099999999999997E-2</v>
      </c>
      <c r="O154">
        <v>9149</v>
      </c>
      <c r="P154">
        <v>0.11086740505562154</v>
      </c>
      <c r="Q154" t="s">
        <v>1238</v>
      </c>
      <c r="R154" t="s">
        <v>1239</v>
      </c>
      <c r="S154" t="s">
        <v>1231</v>
      </c>
      <c r="T154">
        <v>3</v>
      </c>
    </row>
    <row r="155" spans="1:20" x14ac:dyDescent="0.3">
      <c r="A155" t="s">
        <v>167</v>
      </c>
      <c r="B155" t="s">
        <v>168</v>
      </c>
      <c r="C155">
        <v>3940</v>
      </c>
      <c r="D155">
        <v>1710</v>
      </c>
      <c r="E155">
        <v>1805</v>
      </c>
      <c r="F155">
        <v>85.12</v>
      </c>
      <c r="G155">
        <v>34681</v>
      </c>
      <c r="H155">
        <v>43696</v>
      </c>
      <c r="I155">
        <v>2.65</v>
      </c>
      <c r="J155" t="s">
        <v>20</v>
      </c>
      <c r="K155" t="s">
        <v>1387</v>
      </c>
      <c r="L155" s="25">
        <v>0.48495370370370372</v>
      </c>
      <c r="M155">
        <v>0.85120000000000007</v>
      </c>
      <c r="N155">
        <v>2.6499999999999999E-2</v>
      </c>
      <c r="O155">
        <v>7455</v>
      </c>
      <c r="P155">
        <v>0.17061058220432077</v>
      </c>
      <c r="Q155" t="s">
        <v>1238</v>
      </c>
      <c r="R155" t="s">
        <v>1239</v>
      </c>
      <c r="S155" t="s">
        <v>1231</v>
      </c>
      <c r="T155">
        <v>3</v>
      </c>
    </row>
    <row r="156" spans="1:20" x14ac:dyDescent="0.3">
      <c r="A156" t="s">
        <v>167</v>
      </c>
      <c r="B156" t="s">
        <v>168</v>
      </c>
      <c r="C156">
        <v>3940</v>
      </c>
      <c r="D156">
        <v>1710</v>
      </c>
      <c r="E156">
        <v>1805</v>
      </c>
      <c r="F156">
        <v>85.12</v>
      </c>
      <c r="G156">
        <v>34681</v>
      </c>
      <c r="H156">
        <v>43696</v>
      </c>
      <c r="I156">
        <v>2.65</v>
      </c>
      <c r="J156" t="s">
        <v>20</v>
      </c>
      <c r="K156" t="s">
        <v>1307</v>
      </c>
      <c r="L156" s="25">
        <v>0.48495370370370372</v>
      </c>
      <c r="M156">
        <v>0.85120000000000007</v>
      </c>
      <c r="N156">
        <v>2.6499999999999999E-2</v>
      </c>
      <c r="O156">
        <v>7455</v>
      </c>
      <c r="P156">
        <v>0.17061058220432077</v>
      </c>
      <c r="Q156" t="s">
        <v>1238</v>
      </c>
      <c r="R156" t="s">
        <v>1239</v>
      </c>
      <c r="S156" t="s">
        <v>1231</v>
      </c>
      <c r="T156">
        <v>3</v>
      </c>
    </row>
    <row r="157" spans="1:20" x14ac:dyDescent="0.3">
      <c r="A157" t="s">
        <v>167</v>
      </c>
      <c r="B157" t="s">
        <v>168</v>
      </c>
      <c r="C157">
        <v>3940</v>
      </c>
      <c r="D157">
        <v>1710</v>
      </c>
      <c r="E157">
        <v>1805</v>
      </c>
      <c r="F157">
        <v>85.12</v>
      </c>
      <c r="G157">
        <v>34681</v>
      </c>
      <c r="H157">
        <v>43696</v>
      </c>
      <c r="I157">
        <v>2.65</v>
      </c>
      <c r="J157" t="s">
        <v>20</v>
      </c>
      <c r="K157" t="s">
        <v>1388</v>
      </c>
      <c r="L157" s="25">
        <v>0.48495370370370372</v>
      </c>
      <c r="M157">
        <v>0.85120000000000007</v>
      </c>
      <c r="N157">
        <v>2.6499999999999999E-2</v>
      </c>
      <c r="O157">
        <v>7455</v>
      </c>
      <c r="P157">
        <v>0.17061058220432077</v>
      </c>
      <c r="Q157" t="s">
        <v>1238</v>
      </c>
      <c r="R157" t="s">
        <v>1239</v>
      </c>
      <c r="S157" t="s">
        <v>1231</v>
      </c>
      <c r="T157">
        <v>3</v>
      </c>
    </row>
    <row r="158" spans="1:20" x14ac:dyDescent="0.3">
      <c r="A158" t="s">
        <v>170</v>
      </c>
      <c r="B158" t="s">
        <v>171</v>
      </c>
      <c r="C158">
        <v>8032</v>
      </c>
      <c r="D158">
        <v>3244</v>
      </c>
      <c r="E158">
        <v>931</v>
      </c>
      <c r="F158">
        <v>93.34</v>
      </c>
      <c r="G158">
        <v>72236</v>
      </c>
      <c r="H158">
        <v>45739</v>
      </c>
      <c r="I158">
        <v>6.94</v>
      </c>
      <c r="J158" t="s">
        <v>20</v>
      </c>
      <c r="K158" t="s">
        <v>1389</v>
      </c>
      <c r="L158" s="25">
        <v>0.71916666666666662</v>
      </c>
      <c r="M158">
        <v>0.93340000000000001</v>
      </c>
      <c r="N158">
        <v>6.9400000000000003E-2</v>
      </c>
      <c r="O158">
        <v>12207</v>
      </c>
      <c r="P158">
        <v>0.26688384092350076</v>
      </c>
      <c r="Q158" t="s">
        <v>1238</v>
      </c>
      <c r="R158" t="s">
        <v>1239</v>
      </c>
      <c r="S158" t="s">
        <v>1232</v>
      </c>
      <c r="T158">
        <v>3</v>
      </c>
    </row>
    <row r="159" spans="1:20" x14ac:dyDescent="0.3">
      <c r="A159" t="s">
        <v>170</v>
      </c>
      <c r="B159" t="s">
        <v>171</v>
      </c>
      <c r="C159">
        <v>8032</v>
      </c>
      <c r="D159">
        <v>3244</v>
      </c>
      <c r="E159">
        <v>931</v>
      </c>
      <c r="F159">
        <v>93.34</v>
      </c>
      <c r="G159">
        <v>72236</v>
      </c>
      <c r="H159">
        <v>45739</v>
      </c>
      <c r="I159">
        <v>6.94</v>
      </c>
      <c r="J159" t="s">
        <v>20</v>
      </c>
      <c r="K159" t="s">
        <v>1390</v>
      </c>
      <c r="L159" s="25">
        <v>0.71916666666666662</v>
      </c>
      <c r="M159">
        <v>0.93340000000000001</v>
      </c>
      <c r="N159">
        <v>6.9400000000000003E-2</v>
      </c>
      <c r="O159">
        <v>12207</v>
      </c>
      <c r="P159">
        <v>0.26688384092350076</v>
      </c>
      <c r="Q159" t="s">
        <v>1238</v>
      </c>
      <c r="R159" t="s">
        <v>1239</v>
      </c>
      <c r="S159" t="s">
        <v>1232</v>
      </c>
      <c r="T159">
        <v>3</v>
      </c>
    </row>
    <row r="160" spans="1:20" x14ac:dyDescent="0.3">
      <c r="A160" t="s">
        <v>170</v>
      </c>
      <c r="B160" t="s">
        <v>171</v>
      </c>
      <c r="C160">
        <v>8032</v>
      </c>
      <c r="D160">
        <v>3244</v>
      </c>
      <c r="E160">
        <v>931</v>
      </c>
      <c r="F160">
        <v>93.34</v>
      </c>
      <c r="G160">
        <v>72236</v>
      </c>
      <c r="H160">
        <v>45739</v>
      </c>
      <c r="I160">
        <v>6.94</v>
      </c>
      <c r="J160" t="s">
        <v>20</v>
      </c>
      <c r="K160" t="s">
        <v>1391</v>
      </c>
      <c r="L160" s="25">
        <v>0.71916666666666662</v>
      </c>
      <c r="M160">
        <v>0.93340000000000001</v>
      </c>
      <c r="N160">
        <v>6.9400000000000003E-2</v>
      </c>
      <c r="O160">
        <v>12207</v>
      </c>
      <c r="P160">
        <v>0.26688384092350076</v>
      </c>
      <c r="Q160" t="s">
        <v>1238</v>
      </c>
      <c r="R160" t="s">
        <v>1239</v>
      </c>
      <c r="S160" t="s">
        <v>1232</v>
      </c>
      <c r="T160">
        <v>3</v>
      </c>
    </row>
    <row r="161" spans="1:20" x14ac:dyDescent="0.3">
      <c r="A161" t="s">
        <v>173</v>
      </c>
      <c r="B161" t="s">
        <v>174</v>
      </c>
      <c r="C161">
        <v>6864</v>
      </c>
      <c r="D161">
        <v>3244</v>
      </c>
      <c r="E161">
        <v>273</v>
      </c>
      <c r="F161">
        <v>43.37</v>
      </c>
      <c r="G161">
        <v>60915</v>
      </c>
      <c r="H161">
        <v>8474</v>
      </c>
      <c r="I161">
        <v>2.69</v>
      </c>
      <c r="J161" t="s">
        <v>12</v>
      </c>
      <c r="K161" t="s">
        <v>1392</v>
      </c>
      <c r="L161" s="25">
        <v>0.93858796296296299</v>
      </c>
      <c r="M161">
        <v>0.43369999999999997</v>
      </c>
      <c r="N161">
        <v>2.69E-2</v>
      </c>
      <c r="O161">
        <v>10381</v>
      </c>
      <c r="P161">
        <v>1</v>
      </c>
      <c r="Q161" t="s">
        <v>1238</v>
      </c>
      <c r="R161" t="s">
        <v>1239</v>
      </c>
      <c r="S161" t="s">
        <v>1233</v>
      </c>
      <c r="T161">
        <v>3</v>
      </c>
    </row>
    <row r="162" spans="1:20" x14ac:dyDescent="0.3">
      <c r="A162" t="s">
        <v>173</v>
      </c>
      <c r="B162" t="s">
        <v>174</v>
      </c>
      <c r="C162">
        <v>6864</v>
      </c>
      <c r="D162">
        <v>3244</v>
      </c>
      <c r="E162">
        <v>273</v>
      </c>
      <c r="F162">
        <v>43.37</v>
      </c>
      <c r="G162">
        <v>60915</v>
      </c>
      <c r="H162">
        <v>8474</v>
      </c>
      <c r="I162">
        <v>2.69</v>
      </c>
      <c r="J162" t="s">
        <v>12</v>
      </c>
      <c r="K162" t="s">
        <v>1393</v>
      </c>
      <c r="L162" s="25">
        <v>0.93858796296296299</v>
      </c>
      <c r="M162">
        <v>0.43369999999999997</v>
      </c>
      <c r="N162">
        <v>2.69E-2</v>
      </c>
      <c r="O162">
        <v>10381</v>
      </c>
      <c r="P162">
        <v>1</v>
      </c>
      <c r="Q162" t="s">
        <v>1238</v>
      </c>
      <c r="R162" t="s">
        <v>1239</v>
      </c>
      <c r="S162" t="s">
        <v>1233</v>
      </c>
      <c r="T162">
        <v>3</v>
      </c>
    </row>
    <row r="163" spans="1:20" x14ac:dyDescent="0.3">
      <c r="A163" t="s">
        <v>173</v>
      </c>
      <c r="B163" t="s">
        <v>174</v>
      </c>
      <c r="C163">
        <v>6864</v>
      </c>
      <c r="D163">
        <v>3244</v>
      </c>
      <c r="E163">
        <v>273</v>
      </c>
      <c r="F163">
        <v>43.37</v>
      </c>
      <c r="G163">
        <v>60915</v>
      </c>
      <c r="H163">
        <v>8474</v>
      </c>
      <c r="I163">
        <v>2.69</v>
      </c>
      <c r="J163" t="s">
        <v>12</v>
      </c>
      <c r="K163" t="s">
        <v>1394</v>
      </c>
      <c r="L163" s="25">
        <v>0.93858796296296299</v>
      </c>
      <c r="M163">
        <v>0.43369999999999997</v>
      </c>
      <c r="N163">
        <v>2.69E-2</v>
      </c>
      <c r="O163">
        <v>10381</v>
      </c>
      <c r="P163">
        <v>1</v>
      </c>
      <c r="Q163" t="s">
        <v>1238</v>
      </c>
      <c r="R163" t="s">
        <v>1239</v>
      </c>
      <c r="S163" t="s">
        <v>1233</v>
      </c>
      <c r="T163">
        <v>3</v>
      </c>
    </row>
    <row r="164" spans="1:20" x14ac:dyDescent="0.3">
      <c r="A164" t="s">
        <v>176</v>
      </c>
      <c r="B164" t="s">
        <v>177</v>
      </c>
      <c r="C164">
        <v>6910</v>
      </c>
      <c r="D164">
        <v>1183</v>
      </c>
      <c r="E164">
        <v>412</v>
      </c>
      <c r="F164">
        <v>76.010000000000005</v>
      </c>
      <c r="G164">
        <v>39520</v>
      </c>
      <c r="H164">
        <v>10185</v>
      </c>
      <c r="I164">
        <v>7.92</v>
      </c>
      <c r="J164" t="s">
        <v>20</v>
      </c>
      <c r="K164" t="s">
        <v>1395</v>
      </c>
      <c r="L164" s="25">
        <v>0.50472222222222218</v>
      </c>
      <c r="M164">
        <v>0.7601</v>
      </c>
      <c r="N164">
        <v>7.9199999999999993E-2</v>
      </c>
      <c r="O164">
        <v>8505</v>
      </c>
      <c r="P164">
        <v>0.83505154639175261</v>
      </c>
      <c r="Q164" t="s">
        <v>1238</v>
      </c>
      <c r="R164" t="s">
        <v>1239</v>
      </c>
      <c r="S164" t="s">
        <v>1230</v>
      </c>
      <c r="T164">
        <v>3</v>
      </c>
    </row>
    <row r="165" spans="1:20" x14ac:dyDescent="0.3">
      <c r="A165" t="s">
        <v>176</v>
      </c>
      <c r="B165" t="s">
        <v>177</v>
      </c>
      <c r="C165">
        <v>6910</v>
      </c>
      <c r="D165">
        <v>1183</v>
      </c>
      <c r="E165">
        <v>412</v>
      </c>
      <c r="F165">
        <v>76.010000000000005</v>
      </c>
      <c r="G165">
        <v>39520</v>
      </c>
      <c r="H165">
        <v>10185</v>
      </c>
      <c r="I165">
        <v>7.92</v>
      </c>
      <c r="J165" t="s">
        <v>20</v>
      </c>
      <c r="K165" t="s">
        <v>1396</v>
      </c>
      <c r="L165" s="25">
        <v>0.50472222222222218</v>
      </c>
      <c r="M165">
        <v>0.7601</v>
      </c>
      <c r="N165">
        <v>7.9199999999999993E-2</v>
      </c>
      <c r="O165">
        <v>8505</v>
      </c>
      <c r="P165">
        <v>0.83505154639175261</v>
      </c>
      <c r="Q165" t="s">
        <v>1238</v>
      </c>
      <c r="R165" t="s">
        <v>1239</v>
      </c>
      <c r="S165" t="s">
        <v>1230</v>
      </c>
      <c r="T165">
        <v>3</v>
      </c>
    </row>
    <row r="166" spans="1:20" x14ac:dyDescent="0.3">
      <c r="A166" t="s">
        <v>176</v>
      </c>
      <c r="B166" t="s">
        <v>177</v>
      </c>
      <c r="C166">
        <v>6910</v>
      </c>
      <c r="D166">
        <v>1183</v>
      </c>
      <c r="E166">
        <v>412</v>
      </c>
      <c r="F166">
        <v>76.010000000000005</v>
      </c>
      <c r="G166">
        <v>39520</v>
      </c>
      <c r="H166">
        <v>10185</v>
      </c>
      <c r="I166">
        <v>7.92</v>
      </c>
      <c r="J166" t="s">
        <v>20</v>
      </c>
      <c r="K166" t="s">
        <v>1384</v>
      </c>
      <c r="L166" s="25">
        <v>0.50472222222222218</v>
      </c>
      <c r="M166">
        <v>0.7601</v>
      </c>
      <c r="N166">
        <v>7.9199999999999993E-2</v>
      </c>
      <c r="O166">
        <v>8505</v>
      </c>
      <c r="P166">
        <v>0.83505154639175261</v>
      </c>
      <c r="Q166" t="s">
        <v>1238</v>
      </c>
      <c r="R166" t="s">
        <v>1239</v>
      </c>
      <c r="S166" t="s">
        <v>1230</v>
      </c>
      <c r="T166">
        <v>3</v>
      </c>
    </row>
    <row r="167" spans="1:20" x14ac:dyDescent="0.3">
      <c r="A167" t="s">
        <v>179</v>
      </c>
      <c r="B167" t="s">
        <v>180</v>
      </c>
      <c r="C167">
        <v>2467</v>
      </c>
      <c r="D167">
        <v>3431</v>
      </c>
      <c r="E167">
        <v>543</v>
      </c>
      <c r="F167">
        <v>65.56</v>
      </c>
      <c r="G167">
        <v>23172</v>
      </c>
      <c r="H167">
        <v>60291</v>
      </c>
      <c r="I167">
        <v>3.28</v>
      </c>
      <c r="J167" t="s">
        <v>42</v>
      </c>
      <c r="K167" t="s">
        <v>1397</v>
      </c>
      <c r="L167" s="25">
        <v>0.21903935185185186</v>
      </c>
      <c r="M167">
        <v>0.65560000000000007</v>
      </c>
      <c r="N167">
        <v>3.2799999999999996E-2</v>
      </c>
      <c r="O167">
        <v>6441</v>
      </c>
      <c r="P167">
        <v>0.1068318654525551</v>
      </c>
      <c r="Q167" t="s">
        <v>1238</v>
      </c>
      <c r="R167" t="s">
        <v>1239</v>
      </c>
      <c r="S167" t="s">
        <v>1231</v>
      </c>
      <c r="T167">
        <v>3</v>
      </c>
    </row>
    <row r="168" spans="1:20" x14ac:dyDescent="0.3">
      <c r="A168" t="s">
        <v>179</v>
      </c>
      <c r="B168" t="s">
        <v>180</v>
      </c>
      <c r="C168">
        <v>2467</v>
      </c>
      <c r="D168">
        <v>3431</v>
      </c>
      <c r="E168">
        <v>543</v>
      </c>
      <c r="F168">
        <v>65.56</v>
      </c>
      <c r="G168">
        <v>23172</v>
      </c>
      <c r="H168">
        <v>60291</v>
      </c>
      <c r="I168">
        <v>3.28</v>
      </c>
      <c r="J168" t="s">
        <v>42</v>
      </c>
      <c r="K168" t="s">
        <v>1398</v>
      </c>
      <c r="L168" s="25">
        <v>0.21903935185185186</v>
      </c>
      <c r="M168">
        <v>0.65560000000000007</v>
      </c>
      <c r="N168">
        <v>3.2799999999999996E-2</v>
      </c>
      <c r="O168">
        <v>6441</v>
      </c>
      <c r="P168">
        <v>0.1068318654525551</v>
      </c>
      <c r="Q168" t="s">
        <v>1238</v>
      </c>
      <c r="R168" t="s">
        <v>1239</v>
      </c>
      <c r="S168" t="s">
        <v>1231</v>
      </c>
      <c r="T168">
        <v>3</v>
      </c>
    </row>
    <row r="169" spans="1:20" x14ac:dyDescent="0.3">
      <c r="A169" t="s">
        <v>179</v>
      </c>
      <c r="B169" t="s">
        <v>180</v>
      </c>
      <c r="C169">
        <v>2467</v>
      </c>
      <c r="D169">
        <v>3431</v>
      </c>
      <c r="E169">
        <v>543</v>
      </c>
      <c r="F169">
        <v>65.56</v>
      </c>
      <c r="G169">
        <v>23172</v>
      </c>
      <c r="H169">
        <v>60291</v>
      </c>
      <c r="I169">
        <v>3.28</v>
      </c>
      <c r="J169" t="s">
        <v>42</v>
      </c>
      <c r="K169" t="s">
        <v>1399</v>
      </c>
      <c r="L169" s="25">
        <v>0.21903935185185186</v>
      </c>
      <c r="M169">
        <v>0.65560000000000007</v>
      </c>
      <c r="N169">
        <v>3.2799999999999996E-2</v>
      </c>
      <c r="O169">
        <v>6441</v>
      </c>
      <c r="P169">
        <v>0.1068318654525551</v>
      </c>
      <c r="Q169" t="s">
        <v>1238</v>
      </c>
      <c r="R169" t="s">
        <v>1239</v>
      </c>
      <c r="S169" t="s">
        <v>1231</v>
      </c>
      <c r="T169">
        <v>3</v>
      </c>
    </row>
    <row r="170" spans="1:20" x14ac:dyDescent="0.3">
      <c r="A170" t="s">
        <v>182</v>
      </c>
      <c r="B170" t="s">
        <v>183</v>
      </c>
      <c r="C170">
        <v>7340</v>
      </c>
      <c r="D170">
        <v>3833</v>
      </c>
      <c r="E170">
        <v>1540</v>
      </c>
      <c r="F170">
        <v>57.3</v>
      </c>
      <c r="G170">
        <v>89664</v>
      </c>
      <c r="H170">
        <v>4521</v>
      </c>
      <c r="I170">
        <v>3.01</v>
      </c>
      <c r="J170" t="s">
        <v>16</v>
      </c>
      <c r="K170" t="s">
        <v>1400</v>
      </c>
      <c r="L170" s="25">
        <v>0.93811342592592595</v>
      </c>
      <c r="M170">
        <v>0.57299999999999995</v>
      </c>
      <c r="N170">
        <v>3.0099999999999998E-2</v>
      </c>
      <c r="O170">
        <v>12713</v>
      </c>
      <c r="P170">
        <v>1</v>
      </c>
      <c r="Q170" t="s">
        <v>1238</v>
      </c>
      <c r="R170" t="s">
        <v>1239</v>
      </c>
      <c r="S170" t="s">
        <v>1233</v>
      </c>
      <c r="T170">
        <v>3</v>
      </c>
    </row>
    <row r="171" spans="1:20" x14ac:dyDescent="0.3">
      <c r="A171" t="s">
        <v>182</v>
      </c>
      <c r="B171" t="s">
        <v>183</v>
      </c>
      <c r="C171">
        <v>7340</v>
      </c>
      <c r="D171">
        <v>3833</v>
      </c>
      <c r="E171">
        <v>1540</v>
      </c>
      <c r="F171">
        <v>57.3</v>
      </c>
      <c r="G171">
        <v>89664</v>
      </c>
      <c r="H171">
        <v>4521</v>
      </c>
      <c r="I171">
        <v>3.01</v>
      </c>
      <c r="J171" t="s">
        <v>16</v>
      </c>
      <c r="K171" t="s">
        <v>1401</v>
      </c>
      <c r="L171" s="25">
        <v>0.93811342592592595</v>
      </c>
      <c r="M171">
        <v>0.57299999999999995</v>
      </c>
      <c r="N171">
        <v>3.0099999999999998E-2</v>
      </c>
      <c r="O171">
        <v>12713</v>
      </c>
      <c r="P171">
        <v>1</v>
      </c>
      <c r="Q171" t="s">
        <v>1238</v>
      </c>
      <c r="R171" t="s">
        <v>1239</v>
      </c>
      <c r="S171" t="s">
        <v>1233</v>
      </c>
      <c r="T171">
        <v>3</v>
      </c>
    </row>
    <row r="172" spans="1:20" x14ac:dyDescent="0.3">
      <c r="A172" t="s">
        <v>182</v>
      </c>
      <c r="B172" t="s">
        <v>183</v>
      </c>
      <c r="C172">
        <v>7340</v>
      </c>
      <c r="D172">
        <v>3833</v>
      </c>
      <c r="E172">
        <v>1540</v>
      </c>
      <c r="F172">
        <v>57.3</v>
      </c>
      <c r="G172">
        <v>89664</v>
      </c>
      <c r="H172">
        <v>4521</v>
      </c>
      <c r="I172">
        <v>3.01</v>
      </c>
      <c r="J172" t="s">
        <v>16</v>
      </c>
      <c r="K172" t="s">
        <v>1402</v>
      </c>
      <c r="L172" s="25">
        <v>0.93811342592592595</v>
      </c>
      <c r="M172">
        <v>0.57299999999999995</v>
      </c>
      <c r="N172">
        <v>3.0099999999999998E-2</v>
      </c>
      <c r="O172">
        <v>12713</v>
      </c>
      <c r="P172">
        <v>1</v>
      </c>
      <c r="Q172" t="s">
        <v>1238</v>
      </c>
      <c r="R172" t="s">
        <v>1239</v>
      </c>
      <c r="S172" t="s">
        <v>1233</v>
      </c>
      <c r="T172">
        <v>3</v>
      </c>
    </row>
    <row r="173" spans="1:20" x14ac:dyDescent="0.3">
      <c r="A173" t="s">
        <v>185</v>
      </c>
      <c r="B173" t="s">
        <v>186</v>
      </c>
      <c r="C173">
        <v>4233</v>
      </c>
      <c r="D173">
        <v>4710</v>
      </c>
      <c r="E173">
        <v>1712</v>
      </c>
      <c r="F173">
        <v>69.64</v>
      </c>
      <c r="G173">
        <v>72129</v>
      </c>
      <c r="H173">
        <v>32810</v>
      </c>
      <c r="I173">
        <v>1.59</v>
      </c>
      <c r="J173" t="s">
        <v>16</v>
      </c>
      <c r="K173" t="s">
        <v>1304</v>
      </c>
      <c r="L173" s="25">
        <v>0.34185185185185185</v>
      </c>
      <c r="M173">
        <v>0.69640000000000002</v>
      </c>
      <c r="N173">
        <v>1.5900000000000001E-2</v>
      </c>
      <c r="O173">
        <v>10655</v>
      </c>
      <c r="P173">
        <v>0.32474855227064919</v>
      </c>
      <c r="Q173" t="s">
        <v>1238</v>
      </c>
      <c r="R173" t="s">
        <v>1239</v>
      </c>
      <c r="S173" t="s">
        <v>1231</v>
      </c>
      <c r="T173">
        <v>3</v>
      </c>
    </row>
    <row r="174" spans="1:20" x14ac:dyDescent="0.3">
      <c r="A174" t="s">
        <v>185</v>
      </c>
      <c r="B174" t="s">
        <v>186</v>
      </c>
      <c r="C174">
        <v>4233</v>
      </c>
      <c r="D174">
        <v>4710</v>
      </c>
      <c r="E174">
        <v>1712</v>
      </c>
      <c r="F174">
        <v>69.64</v>
      </c>
      <c r="G174">
        <v>72129</v>
      </c>
      <c r="H174">
        <v>32810</v>
      </c>
      <c r="I174">
        <v>1.59</v>
      </c>
      <c r="J174" t="s">
        <v>16</v>
      </c>
      <c r="K174" t="s">
        <v>1403</v>
      </c>
      <c r="L174" s="25">
        <v>0.34185185185185185</v>
      </c>
      <c r="M174">
        <v>0.69640000000000002</v>
      </c>
      <c r="N174">
        <v>1.5900000000000001E-2</v>
      </c>
      <c r="O174">
        <v>10655</v>
      </c>
      <c r="P174">
        <v>0.32474855227064919</v>
      </c>
      <c r="Q174" t="s">
        <v>1238</v>
      </c>
      <c r="R174" t="s">
        <v>1239</v>
      </c>
      <c r="S174" t="s">
        <v>1231</v>
      </c>
      <c r="T174">
        <v>3</v>
      </c>
    </row>
    <row r="175" spans="1:20" x14ac:dyDescent="0.3">
      <c r="A175" t="s">
        <v>185</v>
      </c>
      <c r="B175" t="s">
        <v>186</v>
      </c>
      <c r="C175">
        <v>4233</v>
      </c>
      <c r="D175">
        <v>4710</v>
      </c>
      <c r="E175">
        <v>1712</v>
      </c>
      <c r="F175">
        <v>69.64</v>
      </c>
      <c r="G175">
        <v>72129</v>
      </c>
      <c r="H175">
        <v>32810</v>
      </c>
      <c r="I175">
        <v>1.59</v>
      </c>
      <c r="J175" t="s">
        <v>16</v>
      </c>
      <c r="K175" t="s">
        <v>1404</v>
      </c>
      <c r="L175" s="25">
        <v>0.34185185185185185</v>
      </c>
      <c r="M175">
        <v>0.69640000000000002</v>
      </c>
      <c r="N175">
        <v>1.5900000000000001E-2</v>
      </c>
      <c r="O175">
        <v>10655</v>
      </c>
      <c r="P175">
        <v>0.32474855227064919</v>
      </c>
      <c r="Q175" t="s">
        <v>1238</v>
      </c>
      <c r="R175" t="s">
        <v>1239</v>
      </c>
      <c r="S175" t="s">
        <v>1231</v>
      </c>
      <c r="T175">
        <v>3</v>
      </c>
    </row>
    <row r="176" spans="1:20" x14ac:dyDescent="0.3">
      <c r="A176" t="s">
        <v>188</v>
      </c>
      <c r="B176" t="s">
        <v>189</v>
      </c>
      <c r="C176">
        <v>634</v>
      </c>
      <c r="D176">
        <v>4731</v>
      </c>
      <c r="E176">
        <v>594</v>
      </c>
      <c r="F176">
        <v>91.68</v>
      </c>
      <c r="G176">
        <v>32937</v>
      </c>
      <c r="H176">
        <v>36252</v>
      </c>
      <c r="I176">
        <v>3.93</v>
      </c>
      <c r="J176" t="s">
        <v>42</v>
      </c>
      <c r="K176" t="s">
        <v>1405</v>
      </c>
      <c r="L176" s="25">
        <v>0.1987962962962963</v>
      </c>
      <c r="M176">
        <v>0.91680000000000006</v>
      </c>
      <c r="N176">
        <v>3.9300000000000002E-2</v>
      </c>
      <c r="O176">
        <v>5959</v>
      </c>
      <c r="P176">
        <v>0.16437713781308619</v>
      </c>
      <c r="Q176" t="s">
        <v>1238</v>
      </c>
      <c r="R176" t="s">
        <v>1239</v>
      </c>
      <c r="S176" t="s">
        <v>1231</v>
      </c>
      <c r="T176">
        <v>3</v>
      </c>
    </row>
    <row r="177" spans="1:20" x14ac:dyDescent="0.3">
      <c r="A177" t="s">
        <v>188</v>
      </c>
      <c r="B177" t="s">
        <v>189</v>
      </c>
      <c r="C177">
        <v>634</v>
      </c>
      <c r="D177">
        <v>4731</v>
      </c>
      <c r="E177">
        <v>594</v>
      </c>
      <c r="F177">
        <v>91.68</v>
      </c>
      <c r="G177">
        <v>32937</v>
      </c>
      <c r="H177">
        <v>36252</v>
      </c>
      <c r="I177">
        <v>3.93</v>
      </c>
      <c r="J177" t="s">
        <v>42</v>
      </c>
      <c r="K177" t="s">
        <v>1406</v>
      </c>
      <c r="L177" s="25">
        <v>0.1987962962962963</v>
      </c>
      <c r="M177">
        <v>0.91680000000000006</v>
      </c>
      <c r="N177">
        <v>3.9300000000000002E-2</v>
      </c>
      <c r="O177">
        <v>5959</v>
      </c>
      <c r="P177">
        <v>0.16437713781308619</v>
      </c>
      <c r="Q177" t="s">
        <v>1238</v>
      </c>
      <c r="R177" t="s">
        <v>1239</v>
      </c>
      <c r="S177" t="s">
        <v>1231</v>
      </c>
      <c r="T177">
        <v>3</v>
      </c>
    </row>
    <row r="178" spans="1:20" x14ac:dyDescent="0.3">
      <c r="A178" t="s">
        <v>188</v>
      </c>
      <c r="B178" t="s">
        <v>189</v>
      </c>
      <c r="C178">
        <v>634</v>
      </c>
      <c r="D178">
        <v>4731</v>
      </c>
      <c r="E178">
        <v>594</v>
      </c>
      <c r="F178">
        <v>91.68</v>
      </c>
      <c r="G178">
        <v>32937</v>
      </c>
      <c r="H178">
        <v>36252</v>
      </c>
      <c r="I178">
        <v>3.93</v>
      </c>
      <c r="J178" t="s">
        <v>42</v>
      </c>
      <c r="K178" t="s">
        <v>1407</v>
      </c>
      <c r="L178" s="25">
        <v>0.1987962962962963</v>
      </c>
      <c r="M178">
        <v>0.91680000000000006</v>
      </c>
      <c r="N178">
        <v>3.9300000000000002E-2</v>
      </c>
      <c r="O178">
        <v>5959</v>
      </c>
      <c r="P178">
        <v>0.16437713781308619</v>
      </c>
      <c r="Q178" t="s">
        <v>1238</v>
      </c>
      <c r="R178" t="s">
        <v>1239</v>
      </c>
      <c r="S178" t="s">
        <v>1231</v>
      </c>
      <c r="T178">
        <v>3</v>
      </c>
    </row>
    <row r="179" spans="1:20" x14ac:dyDescent="0.3">
      <c r="A179" t="s">
        <v>191</v>
      </c>
      <c r="B179" t="s">
        <v>192</v>
      </c>
      <c r="C179">
        <v>9147</v>
      </c>
      <c r="D179">
        <v>2487</v>
      </c>
      <c r="E179">
        <v>682</v>
      </c>
      <c r="F179">
        <v>8.3800000000000008</v>
      </c>
      <c r="G179">
        <v>81440</v>
      </c>
      <c r="H179">
        <v>38733</v>
      </c>
      <c r="I179">
        <v>5.0599999999999996</v>
      </c>
      <c r="J179" t="s">
        <v>12</v>
      </c>
      <c r="K179" t="s">
        <v>1408</v>
      </c>
      <c r="L179" s="25">
        <v>0.47685185185185186</v>
      </c>
      <c r="M179">
        <v>8.3800000000000013E-2</v>
      </c>
      <c r="N179">
        <v>5.0599999999999999E-2</v>
      </c>
      <c r="O179">
        <v>12316</v>
      </c>
      <c r="P179">
        <v>0.31797175535073452</v>
      </c>
      <c r="Q179" t="s">
        <v>1238</v>
      </c>
      <c r="R179" t="s">
        <v>1239</v>
      </c>
      <c r="S179" t="s">
        <v>1231</v>
      </c>
      <c r="T179">
        <v>3</v>
      </c>
    </row>
    <row r="180" spans="1:20" x14ac:dyDescent="0.3">
      <c r="A180" t="s">
        <v>191</v>
      </c>
      <c r="B180" t="s">
        <v>192</v>
      </c>
      <c r="C180">
        <v>9147</v>
      </c>
      <c r="D180">
        <v>2487</v>
      </c>
      <c r="E180">
        <v>682</v>
      </c>
      <c r="F180">
        <v>8.3800000000000008</v>
      </c>
      <c r="G180">
        <v>81440</v>
      </c>
      <c r="H180">
        <v>38733</v>
      </c>
      <c r="I180">
        <v>5.0599999999999996</v>
      </c>
      <c r="J180" t="s">
        <v>12</v>
      </c>
      <c r="K180" t="s">
        <v>1409</v>
      </c>
      <c r="L180" s="25">
        <v>0.47685185185185186</v>
      </c>
      <c r="M180">
        <v>8.3800000000000013E-2</v>
      </c>
      <c r="N180">
        <v>5.0599999999999999E-2</v>
      </c>
      <c r="O180">
        <v>12316</v>
      </c>
      <c r="P180">
        <v>0.31797175535073452</v>
      </c>
      <c r="Q180" t="s">
        <v>1238</v>
      </c>
      <c r="R180" t="s">
        <v>1239</v>
      </c>
      <c r="S180" t="s">
        <v>1231</v>
      </c>
      <c r="T180">
        <v>3</v>
      </c>
    </row>
    <row r="181" spans="1:20" x14ac:dyDescent="0.3">
      <c r="A181" t="s">
        <v>191</v>
      </c>
      <c r="B181" t="s">
        <v>192</v>
      </c>
      <c r="C181">
        <v>9147</v>
      </c>
      <c r="D181">
        <v>2487</v>
      </c>
      <c r="E181">
        <v>682</v>
      </c>
      <c r="F181">
        <v>8.3800000000000008</v>
      </c>
      <c r="G181">
        <v>81440</v>
      </c>
      <c r="H181">
        <v>38733</v>
      </c>
      <c r="I181">
        <v>5.0599999999999996</v>
      </c>
      <c r="J181" t="s">
        <v>12</v>
      </c>
      <c r="K181" t="s">
        <v>1280</v>
      </c>
      <c r="L181" s="25">
        <v>0.47685185185185186</v>
      </c>
      <c r="M181">
        <v>8.3800000000000013E-2</v>
      </c>
      <c r="N181">
        <v>5.0599999999999999E-2</v>
      </c>
      <c r="O181">
        <v>12316</v>
      </c>
      <c r="P181">
        <v>0.31797175535073452</v>
      </c>
      <c r="Q181" t="s">
        <v>1238</v>
      </c>
      <c r="R181" t="s">
        <v>1239</v>
      </c>
      <c r="S181" t="s">
        <v>1231</v>
      </c>
      <c r="T181">
        <v>3</v>
      </c>
    </row>
    <row r="182" spans="1:20" x14ac:dyDescent="0.3">
      <c r="A182" t="s">
        <v>194</v>
      </c>
      <c r="B182" t="s">
        <v>195</v>
      </c>
      <c r="C182">
        <v>1539</v>
      </c>
      <c r="D182">
        <v>1142</v>
      </c>
      <c r="E182">
        <v>1348</v>
      </c>
      <c r="F182">
        <v>56.35</v>
      </c>
      <c r="G182">
        <v>71384</v>
      </c>
      <c r="H182">
        <v>70613</v>
      </c>
      <c r="I182">
        <v>2.82</v>
      </c>
      <c r="J182" t="s">
        <v>16</v>
      </c>
      <c r="K182" t="s">
        <v>1410</v>
      </c>
      <c r="L182" s="25">
        <v>0.53954861111111108</v>
      </c>
      <c r="M182">
        <v>0.5635</v>
      </c>
      <c r="N182">
        <v>2.8199999999999999E-2</v>
      </c>
      <c r="O182">
        <v>4029</v>
      </c>
      <c r="P182">
        <v>5.7057482333281409E-2</v>
      </c>
      <c r="Q182" t="s">
        <v>1238</v>
      </c>
      <c r="R182" t="s">
        <v>1239</v>
      </c>
      <c r="S182" t="s">
        <v>1230</v>
      </c>
      <c r="T182">
        <v>3</v>
      </c>
    </row>
    <row r="183" spans="1:20" x14ac:dyDescent="0.3">
      <c r="A183" t="s">
        <v>194</v>
      </c>
      <c r="B183" t="s">
        <v>195</v>
      </c>
      <c r="C183">
        <v>1539</v>
      </c>
      <c r="D183">
        <v>1142</v>
      </c>
      <c r="E183">
        <v>1348</v>
      </c>
      <c r="F183">
        <v>56.35</v>
      </c>
      <c r="G183">
        <v>71384</v>
      </c>
      <c r="H183">
        <v>70613</v>
      </c>
      <c r="I183">
        <v>2.82</v>
      </c>
      <c r="J183" t="s">
        <v>16</v>
      </c>
      <c r="K183" t="s">
        <v>1411</v>
      </c>
      <c r="L183" s="25">
        <v>0.53954861111111108</v>
      </c>
      <c r="M183">
        <v>0.5635</v>
      </c>
      <c r="N183">
        <v>2.8199999999999999E-2</v>
      </c>
      <c r="O183">
        <v>4029</v>
      </c>
      <c r="P183">
        <v>5.7057482333281409E-2</v>
      </c>
      <c r="Q183" t="s">
        <v>1238</v>
      </c>
      <c r="R183" t="s">
        <v>1239</v>
      </c>
      <c r="S183" t="s">
        <v>1230</v>
      </c>
      <c r="T183">
        <v>3</v>
      </c>
    </row>
    <row r="184" spans="1:20" x14ac:dyDescent="0.3">
      <c r="A184" t="s">
        <v>194</v>
      </c>
      <c r="B184" t="s">
        <v>195</v>
      </c>
      <c r="C184">
        <v>1539</v>
      </c>
      <c r="D184">
        <v>1142</v>
      </c>
      <c r="E184">
        <v>1348</v>
      </c>
      <c r="F184">
        <v>56.35</v>
      </c>
      <c r="G184">
        <v>71384</v>
      </c>
      <c r="H184">
        <v>70613</v>
      </c>
      <c r="I184">
        <v>2.82</v>
      </c>
      <c r="J184" t="s">
        <v>16</v>
      </c>
      <c r="K184" t="s">
        <v>1412</v>
      </c>
      <c r="L184" s="25">
        <v>0.53954861111111108</v>
      </c>
      <c r="M184">
        <v>0.5635</v>
      </c>
      <c r="N184">
        <v>2.8199999999999999E-2</v>
      </c>
      <c r="O184">
        <v>4029</v>
      </c>
      <c r="P184">
        <v>5.7057482333281409E-2</v>
      </c>
      <c r="Q184" t="s">
        <v>1238</v>
      </c>
      <c r="R184" t="s">
        <v>1239</v>
      </c>
      <c r="S184" t="s">
        <v>1230</v>
      </c>
      <c r="T184">
        <v>3</v>
      </c>
    </row>
    <row r="185" spans="1:20" x14ac:dyDescent="0.3">
      <c r="A185" t="s">
        <v>197</v>
      </c>
      <c r="B185" t="s">
        <v>198</v>
      </c>
      <c r="C185">
        <v>6402</v>
      </c>
      <c r="D185">
        <v>3168</v>
      </c>
      <c r="E185">
        <v>390</v>
      </c>
      <c r="F185">
        <v>38.01</v>
      </c>
      <c r="G185">
        <v>40172</v>
      </c>
      <c r="H185">
        <v>81320</v>
      </c>
      <c r="I185">
        <v>8.4600000000000009</v>
      </c>
      <c r="J185" t="s">
        <v>12</v>
      </c>
      <c r="K185" t="s">
        <v>1382</v>
      </c>
      <c r="L185" s="25">
        <v>0.20943287037037037</v>
      </c>
      <c r="M185">
        <v>0.38009999999999999</v>
      </c>
      <c r="N185">
        <v>8.4600000000000009E-2</v>
      </c>
      <c r="O185">
        <v>9960</v>
      </c>
      <c r="P185">
        <v>0.12247909493359567</v>
      </c>
      <c r="Q185" t="s">
        <v>1238</v>
      </c>
      <c r="R185" t="s">
        <v>1239</v>
      </c>
      <c r="S185" t="s">
        <v>1231</v>
      </c>
      <c r="T185">
        <v>3</v>
      </c>
    </row>
    <row r="186" spans="1:20" x14ac:dyDescent="0.3">
      <c r="A186" t="s">
        <v>197</v>
      </c>
      <c r="B186" t="s">
        <v>198</v>
      </c>
      <c r="C186">
        <v>6402</v>
      </c>
      <c r="D186">
        <v>3168</v>
      </c>
      <c r="E186">
        <v>390</v>
      </c>
      <c r="F186">
        <v>38.01</v>
      </c>
      <c r="G186">
        <v>40172</v>
      </c>
      <c r="H186">
        <v>81320</v>
      </c>
      <c r="I186">
        <v>8.4600000000000009</v>
      </c>
      <c r="J186" t="s">
        <v>12</v>
      </c>
      <c r="K186" t="s">
        <v>1413</v>
      </c>
      <c r="L186" s="25">
        <v>0.20943287037037037</v>
      </c>
      <c r="M186">
        <v>0.38009999999999999</v>
      </c>
      <c r="N186">
        <v>8.4600000000000009E-2</v>
      </c>
      <c r="O186">
        <v>9960</v>
      </c>
      <c r="P186">
        <v>0.12247909493359567</v>
      </c>
      <c r="Q186" t="s">
        <v>1238</v>
      </c>
      <c r="R186" t="s">
        <v>1239</v>
      </c>
      <c r="S186" t="s">
        <v>1231</v>
      </c>
      <c r="T186">
        <v>3</v>
      </c>
    </row>
    <row r="187" spans="1:20" x14ac:dyDescent="0.3">
      <c r="A187" t="s">
        <v>197</v>
      </c>
      <c r="B187" t="s">
        <v>198</v>
      </c>
      <c r="C187">
        <v>6402</v>
      </c>
      <c r="D187">
        <v>3168</v>
      </c>
      <c r="E187">
        <v>390</v>
      </c>
      <c r="F187">
        <v>38.01</v>
      </c>
      <c r="G187">
        <v>40172</v>
      </c>
      <c r="H187">
        <v>81320</v>
      </c>
      <c r="I187">
        <v>8.4600000000000009</v>
      </c>
      <c r="J187" t="s">
        <v>12</v>
      </c>
      <c r="K187" t="s">
        <v>1414</v>
      </c>
      <c r="L187" s="25">
        <v>0.20943287037037037</v>
      </c>
      <c r="M187">
        <v>0.38009999999999999</v>
      </c>
      <c r="N187">
        <v>8.4600000000000009E-2</v>
      </c>
      <c r="O187">
        <v>9960</v>
      </c>
      <c r="P187">
        <v>0.12247909493359567</v>
      </c>
      <c r="Q187" t="s">
        <v>1238</v>
      </c>
      <c r="R187" t="s">
        <v>1239</v>
      </c>
      <c r="S187" t="s">
        <v>1231</v>
      </c>
      <c r="T187">
        <v>3</v>
      </c>
    </row>
    <row r="188" spans="1:20" x14ac:dyDescent="0.3">
      <c r="A188" t="s">
        <v>200</v>
      </c>
      <c r="B188" t="s">
        <v>201</v>
      </c>
      <c r="C188">
        <v>1177</v>
      </c>
      <c r="D188">
        <v>2086</v>
      </c>
      <c r="E188">
        <v>1174</v>
      </c>
      <c r="F188">
        <v>28.82</v>
      </c>
      <c r="G188">
        <v>79052</v>
      </c>
      <c r="H188">
        <v>53208</v>
      </c>
      <c r="I188">
        <v>8.11</v>
      </c>
      <c r="J188" t="s">
        <v>20</v>
      </c>
      <c r="K188" t="s">
        <v>1415</v>
      </c>
      <c r="L188" s="25">
        <v>0.75523148148148145</v>
      </c>
      <c r="M188">
        <v>0.28820000000000001</v>
      </c>
      <c r="N188">
        <v>8.1099999999999992E-2</v>
      </c>
      <c r="O188">
        <v>4437</v>
      </c>
      <c r="P188">
        <v>8.3389715832205683E-2</v>
      </c>
      <c r="Q188" t="s">
        <v>1238</v>
      </c>
      <c r="R188" t="s">
        <v>1239</v>
      </c>
      <c r="S188" t="s">
        <v>1232</v>
      </c>
      <c r="T188">
        <v>3</v>
      </c>
    </row>
    <row r="189" spans="1:20" x14ac:dyDescent="0.3">
      <c r="A189" t="s">
        <v>200</v>
      </c>
      <c r="B189" t="s">
        <v>201</v>
      </c>
      <c r="C189">
        <v>1177</v>
      </c>
      <c r="D189">
        <v>2086</v>
      </c>
      <c r="E189">
        <v>1174</v>
      </c>
      <c r="F189">
        <v>28.82</v>
      </c>
      <c r="G189">
        <v>79052</v>
      </c>
      <c r="H189">
        <v>53208</v>
      </c>
      <c r="I189">
        <v>8.11</v>
      </c>
      <c r="J189" t="s">
        <v>20</v>
      </c>
      <c r="K189" t="s">
        <v>1416</v>
      </c>
      <c r="L189" s="25">
        <v>0.75523148148148145</v>
      </c>
      <c r="M189">
        <v>0.28820000000000001</v>
      </c>
      <c r="N189">
        <v>8.1099999999999992E-2</v>
      </c>
      <c r="O189">
        <v>4437</v>
      </c>
      <c r="P189">
        <v>8.3389715832205683E-2</v>
      </c>
      <c r="Q189" t="s">
        <v>1238</v>
      </c>
      <c r="R189" t="s">
        <v>1239</v>
      </c>
      <c r="S189" t="s">
        <v>1232</v>
      </c>
      <c r="T189">
        <v>3</v>
      </c>
    </row>
    <row r="190" spans="1:20" x14ac:dyDescent="0.3">
      <c r="A190" t="s">
        <v>200</v>
      </c>
      <c r="B190" t="s">
        <v>201</v>
      </c>
      <c r="C190">
        <v>1177</v>
      </c>
      <c r="D190">
        <v>2086</v>
      </c>
      <c r="E190">
        <v>1174</v>
      </c>
      <c r="F190">
        <v>28.82</v>
      </c>
      <c r="G190">
        <v>79052</v>
      </c>
      <c r="H190">
        <v>53208</v>
      </c>
      <c r="I190">
        <v>8.11</v>
      </c>
      <c r="J190" t="s">
        <v>20</v>
      </c>
      <c r="K190" t="s">
        <v>1417</v>
      </c>
      <c r="L190" s="25">
        <v>0.75523148148148145</v>
      </c>
      <c r="M190">
        <v>0.28820000000000001</v>
      </c>
      <c r="N190">
        <v>8.1099999999999992E-2</v>
      </c>
      <c r="O190">
        <v>4437</v>
      </c>
      <c r="P190">
        <v>8.3389715832205683E-2</v>
      </c>
      <c r="Q190" t="s">
        <v>1238</v>
      </c>
      <c r="R190" t="s">
        <v>1239</v>
      </c>
      <c r="S190" t="s">
        <v>1232</v>
      </c>
      <c r="T190">
        <v>3</v>
      </c>
    </row>
    <row r="191" spans="1:20" x14ac:dyDescent="0.3">
      <c r="A191" t="s">
        <v>203</v>
      </c>
      <c r="B191" t="s">
        <v>204</v>
      </c>
      <c r="C191">
        <v>4125</v>
      </c>
      <c r="D191">
        <v>1929</v>
      </c>
      <c r="E191">
        <v>1163</v>
      </c>
      <c r="F191">
        <v>39.28</v>
      </c>
      <c r="G191">
        <v>25416</v>
      </c>
      <c r="H191">
        <v>93965</v>
      </c>
      <c r="I191">
        <v>4.57</v>
      </c>
      <c r="J191" t="s">
        <v>20</v>
      </c>
      <c r="K191" t="s">
        <v>1418</v>
      </c>
      <c r="L191" s="25">
        <v>7.121527777777778E-2</v>
      </c>
      <c r="M191">
        <v>0.39280000000000004</v>
      </c>
      <c r="N191">
        <v>4.5700000000000005E-2</v>
      </c>
      <c r="O191">
        <v>7217</v>
      </c>
      <c r="P191">
        <v>7.6805193423083062E-2</v>
      </c>
      <c r="Q191" t="s">
        <v>1238</v>
      </c>
      <c r="R191" t="s">
        <v>1239</v>
      </c>
      <c r="S191" t="s">
        <v>1231</v>
      </c>
      <c r="T191">
        <v>3</v>
      </c>
    </row>
    <row r="192" spans="1:20" x14ac:dyDescent="0.3">
      <c r="A192" t="s">
        <v>203</v>
      </c>
      <c r="B192" t="s">
        <v>204</v>
      </c>
      <c r="C192">
        <v>4125</v>
      </c>
      <c r="D192">
        <v>1929</v>
      </c>
      <c r="E192">
        <v>1163</v>
      </c>
      <c r="F192">
        <v>39.28</v>
      </c>
      <c r="G192">
        <v>25416</v>
      </c>
      <c r="H192">
        <v>93965</v>
      </c>
      <c r="I192">
        <v>4.57</v>
      </c>
      <c r="J192" t="s">
        <v>20</v>
      </c>
      <c r="K192" t="s">
        <v>1419</v>
      </c>
      <c r="L192" s="25">
        <v>7.121527777777778E-2</v>
      </c>
      <c r="M192">
        <v>0.39280000000000004</v>
      </c>
      <c r="N192">
        <v>4.5700000000000005E-2</v>
      </c>
      <c r="O192">
        <v>7217</v>
      </c>
      <c r="P192">
        <v>7.6805193423083062E-2</v>
      </c>
      <c r="Q192" t="s">
        <v>1238</v>
      </c>
      <c r="R192" t="s">
        <v>1239</v>
      </c>
      <c r="S192" t="s">
        <v>1231</v>
      </c>
      <c r="T192">
        <v>3</v>
      </c>
    </row>
    <row r="193" spans="1:20" x14ac:dyDescent="0.3">
      <c r="A193" t="s">
        <v>203</v>
      </c>
      <c r="B193" t="s">
        <v>204</v>
      </c>
      <c r="C193">
        <v>4125</v>
      </c>
      <c r="D193">
        <v>1929</v>
      </c>
      <c r="E193">
        <v>1163</v>
      </c>
      <c r="F193">
        <v>39.28</v>
      </c>
      <c r="G193">
        <v>25416</v>
      </c>
      <c r="H193">
        <v>93965</v>
      </c>
      <c r="I193">
        <v>4.57</v>
      </c>
      <c r="J193" t="s">
        <v>20</v>
      </c>
      <c r="K193" t="s">
        <v>1420</v>
      </c>
      <c r="L193" s="25">
        <v>7.121527777777778E-2</v>
      </c>
      <c r="M193">
        <v>0.39280000000000004</v>
      </c>
      <c r="N193">
        <v>4.5700000000000005E-2</v>
      </c>
      <c r="O193">
        <v>7217</v>
      </c>
      <c r="P193">
        <v>7.6805193423083062E-2</v>
      </c>
      <c r="Q193" t="s">
        <v>1238</v>
      </c>
      <c r="R193" t="s">
        <v>1239</v>
      </c>
      <c r="S193" t="s">
        <v>1231</v>
      </c>
      <c r="T193">
        <v>3</v>
      </c>
    </row>
    <row r="194" spans="1:20" x14ac:dyDescent="0.3">
      <c r="A194" t="s">
        <v>206</v>
      </c>
      <c r="B194" t="s">
        <v>207</v>
      </c>
      <c r="C194">
        <v>5820</v>
      </c>
      <c r="D194">
        <v>4013</v>
      </c>
      <c r="E194">
        <v>538</v>
      </c>
      <c r="F194">
        <v>83.64</v>
      </c>
      <c r="G194">
        <v>66201</v>
      </c>
      <c r="H194">
        <v>86547</v>
      </c>
      <c r="I194">
        <v>5.41</v>
      </c>
      <c r="J194" t="s">
        <v>12</v>
      </c>
      <c r="K194" t="s">
        <v>1323</v>
      </c>
      <c r="L194" s="25">
        <v>0.69065972222222227</v>
      </c>
      <c r="M194">
        <v>0.83640000000000003</v>
      </c>
      <c r="N194">
        <v>5.4100000000000002E-2</v>
      </c>
      <c r="O194">
        <v>10371</v>
      </c>
      <c r="P194">
        <v>0.1198308433567888</v>
      </c>
      <c r="Q194" t="s">
        <v>1238</v>
      </c>
      <c r="R194" t="s">
        <v>1239</v>
      </c>
      <c r="S194" t="s">
        <v>1230</v>
      </c>
      <c r="T194">
        <v>3</v>
      </c>
    </row>
    <row r="195" spans="1:20" x14ac:dyDescent="0.3">
      <c r="A195" t="s">
        <v>206</v>
      </c>
      <c r="B195" t="s">
        <v>207</v>
      </c>
      <c r="C195">
        <v>5820</v>
      </c>
      <c r="D195">
        <v>4013</v>
      </c>
      <c r="E195">
        <v>538</v>
      </c>
      <c r="F195">
        <v>83.64</v>
      </c>
      <c r="G195">
        <v>66201</v>
      </c>
      <c r="H195">
        <v>86547</v>
      </c>
      <c r="I195">
        <v>5.41</v>
      </c>
      <c r="J195" t="s">
        <v>12</v>
      </c>
      <c r="K195" t="s">
        <v>1421</v>
      </c>
      <c r="L195" s="25">
        <v>0.69065972222222227</v>
      </c>
      <c r="M195">
        <v>0.83640000000000003</v>
      </c>
      <c r="N195">
        <v>5.4100000000000002E-2</v>
      </c>
      <c r="O195">
        <v>10371</v>
      </c>
      <c r="P195">
        <v>0.1198308433567888</v>
      </c>
      <c r="Q195" t="s">
        <v>1238</v>
      </c>
      <c r="R195" t="s">
        <v>1239</v>
      </c>
      <c r="S195" t="s">
        <v>1230</v>
      </c>
      <c r="T195">
        <v>3</v>
      </c>
    </row>
    <row r="196" spans="1:20" x14ac:dyDescent="0.3">
      <c r="A196" t="s">
        <v>206</v>
      </c>
      <c r="B196" t="s">
        <v>207</v>
      </c>
      <c r="C196">
        <v>5820</v>
      </c>
      <c r="D196">
        <v>4013</v>
      </c>
      <c r="E196">
        <v>538</v>
      </c>
      <c r="F196">
        <v>83.64</v>
      </c>
      <c r="G196">
        <v>66201</v>
      </c>
      <c r="H196">
        <v>86547</v>
      </c>
      <c r="I196">
        <v>5.41</v>
      </c>
      <c r="J196" t="s">
        <v>12</v>
      </c>
      <c r="K196" t="s">
        <v>1408</v>
      </c>
      <c r="L196" s="25">
        <v>0.69065972222222227</v>
      </c>
      <c r="M196">
        <v>0.83640000000000003</v>
      </c>
      <c r="N196">
        <v>5.4100000000000002E-2</v>
      </c>
      <c r="O196">
        <v>10371</v>
      </c>
      <c r="P196">
        <v>0.1198308433567888</v>
      </c>
      <c r="Q196" t="s">
        <v>1238</v>
      </c>
      <c r="R196" t="s">
        <v>1239</v>
      </c>
      <c r="S196" t="s">
        <v>1230</v>
      </c>
      <c r="T196">
        <v>3</v>
      </c>
    </row>
    <row r="197" spans="1:20" x14ac:dyDescent="0.3">
      <c r="A197" t="s">
        <v>209</v>
      </c>
      <c r="B197" t="s">
        <v>210</v>
      </c>
      <c r="C197">
        <v>9329</v>
      </c>
      <c r="D197">
        <v>2816</v>
      </c>
      <c r="E197">
        <v>829</v>
      </c>
      <c r="F197">
        <v>33.369999999999997</v>
      </c>
      <c r="G197">
        <v>39740</v>
      </c>
      <c r="H197">
        <v>76850</v>
      </c>
      <c r="I197">
        <v>4.66</v>
      </c>
      <c r="J197" t="s">
        <v>12</v>
      </c>
      <c r="K197" t="s">
        <v>1422</v>
      </c>
      <c r="L197" s="25">
        <v>0.68317129629629625</v>
      </c>
      <c r="M197">
        <v>0.3337</v>
      </c>
      <c r="N197">
        <v>4.6600000000000003E-2</v>
      </c>
      <c r="O197">
        <v>12974</v>
      </c>
      <c r="P197">
        <v>0.16882238126219909</v>
      </c>
      <c r="Q197" t="s">
        <v>1238</v>
      </c>
      <c r="R197" t="s">
        <v>1239</v>
      </c>
      <c r="S197" t="s">
        <v>1230</v>
      </c>
      <c r="T197">
        <v>3</v>
      </c>
    </row>
    <row r="198" spans="1:20" x14ac:dyDescent="0.3">
      <c r="A198" t="s">
        <v>209</v>
      </c>
      <c r="B198" t="s">
        <v>210</v>
      </c>
      <c r="C198">
        <v>9329</v>
      </c>
      <c r="D198">
        <v>2816</v>
      </c>
      <c r="E198">
        <v>829</v>
      </c>
      <c r="F198">
        <v>33.369999999999997</v>
      </c>
      <c r="G198">
        <v>39740</v>
      </c>
      <c r="H198">
        <v>76850</v>
      </c>
      <c r="I198">
        <v>4.66</v>
      </c>
      <c r="J198" t="s">
        <v>12</v>
      </c>
      <c r="K198" t="s">
        <v>1423</v>
      </c>
      <c r="L198" s="25">
        <v>0.68317129629629625</v>
      </c>
      <c r="M198">
        <v>0.3337</v>
      </c>
      <c r="N198">
        <v>4.6600000000000003E-2</v>
      </c>
      <c r="O198">
        <v>12974</v>
      </c>
      <c r="P198">
        <v>0.16882238126219909</v>
      </c>
      <c r="Q198" t="s">
        <v>1238</v>
      </c>
      <c r="R198" t="s">
        <v>1239</v>
      </c>
      <c r="S198" t="s">
        <v>1230</v>
      </c>
      <c r="T198">
        <v>3</v>
      </c>
    </row>
    <row r="199" spans="1:20" x14ac:dyDescent="0.3">
      <c r="A199" t="s">
        <v>209</v>
      </c>
      <c r="B199" t="s">
        <v>210</v>
      </c>
      <c r="C199">
        <v>9329</v>
      </c>
      <c r="D199">
        <v>2816</v>
      </c>
      <c r="E199">
        <v>829</v>
      </c>
      <c r="F199">
        <v>33.369999999999997</v>
      </c>
      <c r="G199">
        <v>39740</v>
      </c>
      <c r="H199">
        <v>76850</v>
      </c>
      <c r="I199">
        <v>4.66</v>
      </c>
      <c r="J199" t="s">
        <v>12</v>
      </c>
      <c r="K199" t="s">
        <v>1424</v>
      </c>
      <c r="L199" s="25">
        <v>0.68317129629629625</v>
      </c>
      <c r="M199">
        <v>0.3337</v>
      </c>
      <c r="N199">
        <v>4.6600000000000003E-2</v>
      </c>
      <c r="O199">
        <v>12974</v>
      </c>
      <c r="P199">
        <v>0.16882238126219909</v>
      </c>
      <c r="Q199" t="s">
        <v>1238</v>
      </c>
      <c r="R199" t="s">
        <v>1239</v>
      </c>
      <c r="S199" t="s">
        <v>1230</v>
      </c>
      <c r="T199">
        <v>3</v>
      </c>
    </row>
    <row r="200" spans="1:20" x14ac:dyDescent="0.3">
      <c r="A200" t="s">
        <v>212</v>
      </c>
      <c r="B200" t="s">
        <v>213</v>
      </c>
      <c r="C200">
        <v>5237</v>
      </c>
      <c r="D200">
        <v>1959</v>
      </c>
      <c r="E200">
        <v>1002</v>
      </c>
      <c r="F200">
        <v>84.09</v>
      </c>
      <c r="G200">
        <v>30521</v>
      </c>
      <c r="H200">
        <v>79392</v>
      </c>
      <c r="I200">
        <v>1.18</v>
      </c>
      <c r="J200" t="s">
        <v>12</v>
      </c>
      <c r="K200" t="s">
        <v>1425</v>
      </c>
      <c r="L200" s="25">
        <v>0.11416666666666667</v>
      </c>
      <c r="M200">
        <v>0.84089999999999998</v>
      </c>
      <c r="N200">
        <v>1.18E-2</v>
      </c>
      <c r="O200">
        <v>8198</v>
      </c>
      <c r="P200">
        <v>0.10325977428456268</v>
      </c>
      <c r="Q200" t="s">
        <v>1238</v>
      </c>
      <c r="R200" t="s">
        <v>1239</v>
      </c>
      <c r="S200" t="s">
        <v>1231</v>
      </c>
      <c r="T200">
        <v>3</v>
      </c>
    </row>
    <row r="201" spans="1:20" x14ac:dyDescent="0.3">
      <c r="A201" t="s">
        <v>212</v>
      </c>
      <c r="B201" t="s">
        <v>213</v>
      </c>
      <c r="C201">
        <v>5237</v>
      </c>
      <c r="D201">
        <v>1959</v>
      </c>
      <c r="E201">
        <v>1002</v>
      </c>
      <c r="F201">
        <v>84.09</v>
      </c>
      <c r="G201">
        <v>30521</v>
      </c>
      <c r="H201">
        <v>79392</v>
      </c>
      <c r="I201">
        <v>1.18</v>
      </c>
      <c r="J201" t="s">
        <v>12</v>
      </c>
      <c r="K201" t="s">
        <v>1426</v>
      </c>
      <c r="L201" s="25">
        <v>0.11416666666666667</v>
      </c>
      <c r="M201">
        <v>0.84089999999999998</v>
      </c>
      <c r="N201">
        <v>1.18E-2</v>
      </c>
      <c r="O201">
        <v>8198</v>
      </c>
      <c r="P201">
        <v>0.10325977428456268</v>
      </c>
      <c r="Q201" t="s">
        <v>1238</v>
      </c>
      <c r="R201" t="s">
        <v>1239</v>
      </c>
      <c r="S201" t="s">
        <v>1231</v>
      </c>
      <c r="T201">
        <v>3</v>
      </c>
    </row>
    <row r="202" spans="1:20" x14ac:dyDescent="0.3">
      <c r="A202" t="s">
        <v>212</v>
      </c>
      <c r="B202" t="s">
        <v>213</v>
      </c>
      <c r="C202">
        <v>5237</v>
      </c>
      <c r="D202">
        <v>1959</v>
      </c>
      <c r="E202">
        <v>1002</v>
      </c>
      <c r="F202">
        <v>84.09</v>
      </c>
      <c r="G202">
        <v>30521</v>
      </c>
      <c r="H202">
        <v>79392</v>
      </c>
      <c r="I202">
        <v>1.18</v>
      </c>
      <c r="J202" t="s">
        <v>12</v>
      </c>
      <c r="K202" t="s">
        <v>1427</v>
      </c>
      <c r="L202" s="25">
        <v>0.11416666666666667</v>
      </c>
      <c r="M202">
        <v>0.84089999999999998</v>
      </c>
      <c r="N202">
        <v>1.18E-2</v>
      </c>
      <c r="O202">
        <v>8198</v>
      </c>
      <c r="P202">
        <v>0.10325977428456268</v>
      </c>
      <c r="Q202" t="s">
        <v>1238</v>
      </c>
      <c r="R202" t="s">
        <v>1239</v>
      </c>
      <c r="S202" t="s">
        <v>1231</v>
      </c>
      <c r="T202">
        <v>3</v>
      </c>
    </row>
    <row r="203" spans="1:20" x14ac:dyDescent="0.3">
      <c r="A203" t="s">
        <v>215</v>
      </c>
      <c r="B203" t="s">
        <v>216</v>
      </c>
      <c r="C203">
        <v>8547</v>
      </c>
      <c r="D203">
        <v>1210</v>
      </c>
      <c r="E203">
        <v>1608</v>
      </c>
      <c r="F203">
        <v>98.82</v>
      </c>
      <c r="G203">
        <v>22409</v>
      </c>
      <c r="H203">
        <v>38463</v>
      </c>
      <c r="I203">
        <v>5.0199999999999996</v>
      </c>
      <c r="J203" t="s">
        <v>42</v>
      </c>
      <c r="K203" t="s">
        <v>1428</v>
      </c>
      <c r="L203" s="25">
        <v>0.90810185185185188</v>
      </c>
      <c r="M203">
        <v>0.98819999999999997</v>
      </c>
      <c r="N203">
        <v>5.0199999999999995E-2</v>
      </c>
      <c r="O203">
        <v>11365</v>
      </c>
      <c r="P203">
        <v>0.29547877180667137</v>
      </c>
      <c r="Q203" t="s">
        <v>1238</v>
      </c>
      <c r="R203" t="s">
        <v>1239</v>
      </c>
      <c r="S203" t="s">
        <v>1233</v>
      </c>
      <c r="T203">
        <v>3</v>
      </c>
    </row>
    <row r="204" spans="1:20" x14ac:dyDescent="0.3">
      <c r="A204" t="s">
        <v>215</v>
      </c>
      <c r="B204" t="s">
        <v>216</v>
      </c>
      <c r="C204">
        <v>8547</v>
      </c>
      <c r="D204">
        <v>1210</v>
      </c>
      <c r="E204">
        <v>1608</v>
      </c>
      <c r="F204">
        <v>98.82</v>
      </c>
      <c r="G204">
        <v>22409</v>
      </c>
      <c r="H204">
        <v>38463</v>
      </c>
      <c r="I204">
        <v>5.0199999999999996</v>
      </c>
      <c r="J204" t="s">
        <v>42</v>
      </c>
      <c r="K204" t="s">
        <v>1429</v>
      </c>
      <c r="L204" s="25">
        <v>0.90810185185185188</v>
      </c>
      <c r="M204">
        <v>0.98819999999999997</v>
      </c>
      <c r="N204">
        <v>5.0199999999999995E-2</v>
      </c>
      <c r="O204">
        <v>11365</v>
      </c>
      <c r="P204">
        <v>0.29547877180667137</v>
      </c>
      <c r="Q204" t="s">
        <v>1238</v>
      </c>
      <c r="R204" t="s">
        <v>1239</v>
      </c>
      <c r="S204" t="s">
        <v>1233</v>
      </c>
      <c r="T204">
        <v>3</v>
      </c>
    </row>
    <row r="205" spans="1:20" x14ac:dyDescent="0.3">
      <c r="A205" t="s">
        <v>215</v>
      </c>
      <c r="B205" t="s">
        <v>216</v>
      </c>
      <c r="C205">
        <v>8547</v>
      </c>
      <c r="D205">
        <v>1210</v>
      </c>
      <c r="E205">
        <v>1608</v>
      </c>
      <c r="F205">
        <v>98.82</v>
      </c>
      <c r="G205">
        <v>22409</v>
      </c>
      <c r="H205">
        <v>38463</v>
      </c>
      <c r="I205">
        <v>5.0199999999999996</v>
      </c>
      <c r="J205" t="s">
        <v>42</v>
      </c>
      <c r="K205" t="s">
        <v>1430</v>
      </c>
      <c r="L205" s="25">
        <v>0.90810185185185188</v>
      </c>
      <c r="M205">
        <v>0.98819999999999997</v>
      </c>
      <c r="N205">
        <v>5.0199999999999995E-2</v>
      </c>
      <c r="O205">
        <v>11365</v>
      </c>
      <c r="P205">
        <v>0.29547877180667137</v>
      </c>
      <c r="Q205" t="s">
        <v>1238</v>
      </c>
      <c r="R205" t="s">
        <v>1239</v>
      </c>
      <c r="S205" t="s">
        <v>1233</v>
      </c>
      <c r="T205">
        <v>3</v>
      </c>
    </row>
    <row r="206" spans="1:20" x14ac:dyDescent="0.3">
      <c r="A206" t="s">
        <v>218</v>
      </c>
      <c r="B206" t="s">
        <v>219</v>
      </c>
      <c r="C206">
        <v>1558</v>
      </c>
      <c r="D206">
        <v>1770</v>
      </c>
      <c r="E206">
        <v>257</v>
      </c>
      <c r="F206">
        <v>46.78</v>
      </c>
      <c r="G206">
        <v>99233</v>
      </c>
      <c r="H206">
        <v>68892</v>
      </c>
      <c r="I206">
        <v>9.34</v>
      </c>
      <c r="J206" t="s">
        <v>20</v>
      </c>
      <c r="K206" t="s">
        <v>1431</v>
      </c>
      <c r="L206" s="25">
        <v>0.18724537037037037</v>
      </c>
      <c r="M206">
        <v>0.46779999999999999</v>
      </c>
      <c r="N206">
        <v>9.3399999999999997E-2</v>
      </c>
      <c r="O206">
        <v>3585</v>
      </c>
      <c r="P206">
        <v>5.2037972478662251E-2</v>
      </c>
      <c r="Q206" t="s">
        <v>1238</v>
      </c>
      <c r="R206" t="s">
        <v>1239</v>
      </c>
      <c r="S206" t="s">
        <v>1231</v>
      </c>
      <c r="T206">
        <v>3</v>
      </c>
    </row>
    <row r="207" spans="1:20" x14ac:dyDescent="0.3">
      <c r="A207" t="s">
        <v>218</v>
      </c>
      <c r="B207" t="s">
        <v>219</v>
      </c>
      <c r="C207">
        <v>1558</v>
      </c>
      <c r="D207">
        <v>1770</v>
      </c>
      <c r="E207">
        <v>257</v>
      </c>
      <c r="F207">
        <v>46.78</v>
      </c>
      <c r="G207">
        <v>99233</v>
      </c>
      <c r="H207">
        <v>68892</v>
      </c>
      <c r="I207">
        <v>9.34</v>
      </c>
      <c r="J207" t="s">
        <v>20</v>
      </c>
      <c r="K207" t="s">
        <v>1432</v>
      </c>
      <c r="L207" s="25">
        <v>0.18724537037037037</v>
      </c>
      <c r="M207">
        <v>0.46779999999999999</v>
      </c>
      <c r="N207">
        <v>9.3399999999999997E-2</v>
      </c>
      <c r="O207">
        <v>3585</v>
      </c>
      <c r="P207">
        <v>5.2037972478662251E-2</v>
      </c>
      <c r="Q207" t="s">
        <v>1238</v>
      </c>
      <c r="R207" t="s">
        <v>1239</v>
      </c>
      <c r="S207" t="s">
        <v>1231</v>
      </c>
      <c r="T207">
        <v>3</v>
      </c>
    </row>
    <row r="208" spans="1:20" x14ac:dyDescent="0.3">
      <c r="A208" t="s">
        <v>218</v>
      </c>
      <c r="B208" t="s">
        <v>219</v>
      </c>
      <c r="C208">
        <v>1558</v>
      </c>
      <c r="D208">
        <v>1770</v>
      </c>
      <c r="E208">
        <v>257</v>
      </c>
      <c r="F208">
        <v>46.78</v>
      </c>
      <c r="G208">
        <v>99233</v>
      </c>
      <c r="H208">
        <v>68892</v>
      </c>
      <c r="I208">
        <v>9.34</v>
      </c>
      <c r="J208" t="s">
        <v>20</v>
      </c>
      <c r="K208" t="s">
        <v>1433</v>
      </c>
      <c r="L208" s="25">
        <v>0.18724537037037037</v>
      </c>
      <c r="M208">
        <v>0.46779999999999999</v>
      </c>
      <c r="N208">
        <v>9.3399999999999997E-2</v>
      </c>
      <c r="O208">
        <v>3585</v>
      </c>
      <c r="P208">
        <v>5.2037972478662251E-2</v>
      </c>
      <c r="Q208" t="s">
        <v>1238</v>
      </c>
      <c r="R208" t="s">
        <v>1239</v>
      </c>
      <c r="S208" t="s">
        <v>1231</v>
      </c>
      <c r="T208">
        <v>3</v>
      </c>
    </row>
    <row r="209" spans="1:20" x14ac:dyDescent="0.3">
      <c r="A209" t="s">
        <v>221</v>
      </c>
      <c r="B209" t="s">
        <v>222</v>
      </c>
      <c r="C209">
        <v>7107</v>
      </c>
      <c r="D209">
        <v>1726</v>
      </c>
      <c r="E209">
        <v>617</v>
      </c>
      <c r="F209">
        <v>34.4</v>
      </c>
      <c r="G209">
        <v>82278</v>
      </c>
      <c r="H209">
        <v>99906</v>
      </c>
      <c r="I209">
        <v>3.45</v>
      </c>
      <c r="J209" t="s">
        <v>12</v>
      </c>
      <c r="K209" t="s">
        <v>1256</v>
      </c>
      <c r="L209" s="25">
        <v>0.67761574074074071</v>
      </c>
      <c r="M209">
        <v>0.34399999999999997</v>
      </c>
      <c r="N209">
        <v>3.4500000000000003E-2</v>
      </c>
      <c r="O209">
        <v>9450</v>
      </c>
      <c r="P209">
        <v>9.4588913578764033E-2</v>
      </c>
      <c r="Q209" t="s">
        <v>1238</v>
      </c>
      <c r="R209" t="s">
        <v>1239</v>
      </c>
      <c r="S209" t="s">
        <v>1230</v>
      </c>
      <c r="T209">
        <v>3</v>
      </c>
    </row>
    <row r="210" spans="1:20" x14ac:dyDescent="0.3">
      <c r="A210" t="s">
        <v>221</v>
      </c>
      <c r="B210" t="s">
        <v>222</v>
      </c>
      <c r="C210">
        <v>7107</v>
      </c>
      <c r="D210">
        <v>1726</v>
      </c>
      <c r="E210">
        <v>617</v>
      </c>
      <c r="F210">
        <v>34.4</v>
      </c>
      <c r="G210">
        <v>82278</v>
      </c>
      <c r="H210">
        <v>99906</v>
      </c>
      <c r="I210">
        <v>3.45</v>
      </c>
      <c r="J210" t="s">
        <v>12</v>
      </c>
      <c r="K210" t="s">
        <v>1434</v>
      </c>
      <c r="L210" s="25">
        <v>0.67761574074074071</v>
      </c>
      <c r="M210">
        <v>0.34399999999999997</v>
      </c>
      <c r="N210">
        <v>3.4500000000000003E-2</v>
      </c>
      <c r="O210">
        <v>9450</v>
      </c>
      <c r="P210">
        <v>9.4588913578764033E-2</v>
      </c>
      <c r="Q210" t="s">
        <v>1238</v>
      </c>
      <c r="R210" t="s">
        <v>1239</v>
      </c>
      <c r="S210" t="s">
        <v>1230</v>
      </c>
      <c r="T210">
        <v>3</v>
      </c>
    </row>
    <row r="211" spans="1:20" x14ac:dyDescent="0.3">
      <c r="A211" t="s">
        <v>221</v>
      </c>
      <c r="B211" t="s">
        <v>222</v>
      </c>
      <c r="C211">
        <v>7107</v>
      </c>
      <c r="D211">
        <v>1726</v>
      </c>
      <c r="E211">
        <v>617</v>
      </c>
      <c r="F211">
        <v>34.4</v>
      </c>
      <c r="G211">
        <v>82278</v>
      </c>
      <c r="H211">
        <v>99906</v>
      </c>
      <c r="I211">
        <v>3.45</v>
      </c>
      <c r="J211" t="s">
        <v>12</v>
      </c>
      <c r="K211" t="s">
        <v>1435</v>
      </c>
      <c r="L211" s="25">
        <v>0.67761574074074071</v>
      </c>
      <c r="M211">
        <v>0.34399999999999997</v>
      </c>
      <c r="N211">
        <v>3.4500000000000003E-2</v>
      </c>
      <c r="O211">
        <v>9450</v>
      </c>
      <c r="P211">
        <v>9.4588913578764033E-2</v>
      </c>
      <c r="Q211" t="s">
        <v>1238</v>
      </c>
      <c r="R211" t="s">
        <v>1239</v>
      </c>
      <c r="S211" t="s">
        <v>1230</v>
      </c>
      <c r="T211">
        <v>3</v>
      </c>
    </row>
    <row r="212" spans="1:20" x14ac:dyDescent="0.3">
      <c r="A212" t="s">
        <v>224</v>
      </c>
      <c r="B212" t="s">
        <v>225</v>
      </c>
      <c r="C212">
        <v>7076</v>
      </c>
      <c r="D212">
        <v>3721</v>
      </c>
      <c r="E212">
        <v>775</v>
      </c>
      <c r="F212">
        <v>26.12</v>
      </c>
      <c r="G212">
        <v>3316</v>
      </c>
      <c r="H212">
        <v>79256</v>
      </c>
      <c r="I212">
        <v>9.11</v>
      </c>
      <c r="J212" t="s">
        <v>16</v>
      </c>
      <c r="K212" t="s">
        <v>1428</v>
      </c>
      <c r="L212" s="25">
        <v>0.23553240740740741</v>
      </c>
      <c r="M212">
        <v>0.26119999999999999</v>
      </c>
      <c r="N212">
        <v>9.11E-2</v>
      </c>
      <c r="O212">
        <v>11572</v>
      </c>
      <c r="P212">
        <v>0.14600787322095488</v>
      </c>
      <c r="Q212" t="s">
        <v>1238</v>
      </c>
      <c r="R212" t="s">
        <v>1239</v>
      </c>
      <c r="S212" t="s">
        <v>1231</v>
      </c>
      <c r="T212">
        <v>3</v>
      </c>
    </row>
    <row r="213" spans="1:20" x14ac:dyDescent="0.3">
      <c r="A213" t="s">
        <v>224</v>
      </c>
      <c r="B213" t="s">
        <v>225</v>
      </c>
      <c r="C213">
        <v>7076</v>
      </c>
      <c r="D213">
        <v>3721</v>
      </c>
      <c r="E213">
        <v>775</v>
      </c>
      <c r="F213">
        <v>26.12</v>
      </c>
      <c r="G213">
        <v>3316</v>
      </c>
      <c r="H213">
        <v>79256</v>
      </c>
      <c r="I213">
        <v>9.11</v>
      </c>
      <c r="J213" t="s">
        <v>16</v>
      </c>
      <c r="K213" t="s">
        <v>1436</v>
      </c>
      <c r="L213" s="25">
        <v>0.23553240740740741</v>
      </c>
      <c r="M213">
        <v>0.26119999999999999</v>
      </c>
      <c r="N213">
        <v>9.11E-2</v>
      </c>
      <c r="O213">
        <v>11572</v>
      </c>
      <c r="P213">
        <v>0.14600787322095488</v>
      </c>
      <c r="Q213" t="s">
        <v>1238</v>
      </c>
      <c r="R213" t="s">
        <v>1239</v>
      </c>
      <c r="S213" t="s">
        <v>1231</v>
      </c>
      <c r="T213">
        <v>3</v>
      </c>
    </row>
    <row r="214" spans="1:20" x14ac:dyDescent="0.3">
      <c r="A214" t="s">
        <v>224</v>
      </c>
      <c r="B214" t="s">
        <v>225</v>
      </c>
      <c r="C214">
        <v>7076</v>
      </c>
      <c r="D214">
        <v>3721</v>
      </c>
      <c r="E214">
        <v>775</v>
      </c>
      <c r="F214">
        <v>26.12</v>
      </c>
      <c r="G214">
        <v>3316</v>
      </c>
      <c r="H214">
        <v>79256</v>
      </c>
      <c r="I214">
        <v>9.11</v>
      </c>
      <c r="J214" t="s">
        <v>16</v>
      </c>
      <c r="K214" t="s">
        <v>1257</v>
      </c>
      <c r="L214" s="25">
        <v>0.23553240740740741</v>
      </c>
      <c r="M214">
        <v>0.26119999999999999</v>
      </c>
      <c r="N214">
        <v>9.11E-2</v>
      </c>
      <c r="O214">
        <v>11572</v>
      </c>
      <c r="P214">
        <v>0.14600787322095488</v>
      </c>
      <c r="Q214" t="s">
        <v>1238</v>
      </c>
      <c r="R214" t="s">
        <v>1239</v>
      </c>
      <c r="S214" t="s">
        <v>1231</v>
      </c>
      <c r="T214">
        <v>3</v>
      </c>
    </row>
    <row r="215" spans="1:20" x14ac:dyDescent="0.3">
      <c r="A215" t="s">
        <v>227</v>
      </c>
      <c r="B215" t="s">
        <v>228</v>
      </c>
      <c r="C215">
        <v>8667</v>
      </c>
      <c r="D215">
        <v>4659</v>
      </c>
      <c r="E215">
        <v>222</v>
      </c>
      <c r="F215">
        <v>29.22</v>
      </c>
      <c r="G215">
        <v>73362</v>
      </c>
      <c r="H215">
        <v>87835</v>
      </c>
      <c r="I215">
        <v>7.53</v>
      </c>
      <c r="J215" t="s">
        <v>42</v>
      </c>
      <c r="K215" t="s">
        <v>1437</v>
      </c>
      <c r="L215" s="25">
        <v>0.63700231481481484</v>
      </c>
      <c r="M215">
        <v>0.29220000000000002</v>
      </c>
      <c r="N215">
        <v>7.5300000000000006E-2</v>
      </c>
      <c r="O215">
        <v>13548</v>
      </c>
      <c r="P215">
        <v>0.15424375249046507</v>
      </c>
      <c r="Q215" t="s">
        <v>1238</v>
      </c>
      <c r="R215" t="s">
        <v>1239</v>
      </c>
      <c r="S215" t="s">
        <v>1230</v>
      </c>
      <c r="T215">
        <v>3</v>
      </c>
    </row>
    <row r="216" spans="1:20" x14ac:dyDescent="0.3">
      <c r="A216" t="s">
        <v>227</v>
      </c>
      <c r="B216" t="s">
        <v>228</v>
      </c>
      <c r="C216">
        <v>8667</v>
      </c>
      <c r="D216">
        <v>4659</v>
      </c>
      <c r="E216">
        <v>222</v>
      </c>
      <c r="F216">
        <v>29.22</v>
      </c>
      <c r="G216">
        <v>73362</v>
      </c>
      <c r="H216">
        <v>87835</v>
      </c>
      <c r="I216">
        <v>7.53</v>
      </c>
      <c r="J216" t="s">
        <v>42</v>
      </c>
      <c r="K216" t="s">
        <v>1293</v>
      </c>
      <c r="L216" s="25">
        <v>0.63700231481481484</v>
      </c>
      <c r="M216">
        <v>0.29220000000000002</v>
      </c>
      <c r="N216">
        <v>7.5300000000000006E-2</v>
      </c>
      <c r="O216">
        <v>13548</v>
      </c>
      <c r="P216">
        <v>0.15424375249046507</v>
      </c>
      <c r="Q216" t="s">
        <v>1238</v>
      </c>
      <c r="R216" t="s">
        <v>1239</v>
      </c>
      <c r="S216" t="s">
        <v>1230</v>
      </c>
      <c r="T216">
        <v>3</v>
      </c>
    </row>
    <row r="217" spans="1:20" x14ac:dyDescent="0.3">
      <c r="A217" t="s">
        <v>227</v>
      </c>
      <c r="B217" t="s">
        <v>228</v>
      </c>
      <c r="C217">
        <v>8667</v>
      </c>
      <c r="D217">
        <v>4659</v>
      </c>
      <c r="E217">
        <v>222</v>
      </c>
      <c r="F217">
        <v>29.22</v>
      </c>
      <c r="G217">
        <v>73362</v>
      </c>
      <c r="H217">
        <v>87835</v>
      </c>
      <c r="I217">
        <v>7.53</v>
      </c>
      <c r="J217" t="s">
        <v>42</v>
      </c>
      <c r="K217" t="s">
        <v>1438</v>
      </c>
      <c r="L217" s="25">
        <v>0.63700231481481484</v>
      </c>
      <c r="M217">
        <v>0.29220000000000002</v>
      </c>
      <c r="N217">
        <v>7.5300000000000006E-2</v>
      </c>
      <c r="O217">
        <v>13548</v>
      </c>
      <c r="P217">
        <v>0.15424375249046507</v>
      </c>
      <c r="Q217" t="s">
        <v>1238</v>
      </c>
      <c r="R217" t="s">
        <v>1239</v>
      </c>
      <c r="S217" t="s">
        <v>1230</v>
      </c>
      <c r="T217">
        <v>3</v>
      </c>
    </row>
    <row r="218" spans="1:20" x14ac:dyDescent="0.3">
      <c r="A218" t="s">
        <v>230</v>
      </c>
      <c r="B218" t="s">
        <v>231</v>
      </c>
      <c r="C218">
        <v>5517</v>
      </c>
      <c r="D218">
        <v>3317</v>
      </c>
      <c r="E218">
        <v>1629</v>
      </c>
      <c r="F218">
        <v>81.040000000000006</v>
      </c>
      <c r="G218">
        <v>35082</v>
      </c>
      <c r="H218">
        <v>71686</v>
      </c>
      <c r="I218">
        <v>6.3</v>
      </c>
      <c r="J218" t="s">
        <v>16</v>
      </c>
      <c r="K218" t="s">
        <v>1439</v>
      </c>
      <c r="L218" s="25">
        <v>0.32256944444444446</v>
      </c>
      <c r="M218">
        <v>0.81040000000000001</v>
      </c>
      <c r="N218">
        <v>6.3E-2</v>
      </c>
      <c r="O218">
        <v>10463</v>
      </c>
      <c r="P218">
        <v>0.14595597466729907</v>
      </c>
      <c r="Q218" t="s">
        <v>1238</v>
      </c>
      <c r="R218" t="s">
        <v>1239</v>
      </c>
      <c r="S218" t="s">
        <v>1231</v>
      </c>
      <c r="T218">
        <v>3</v>
      </c>
    </row>
    <row r="219" spans="1:20" x14ac:dyDescent="0.3">
      <c r="A219" t="s">
        <v>230</v>
      </c>
      <c r="B219" t="s">
        <v>231</v>
      </c>
      <c r="C219">
        <v>5517</v>
      </c>
      <c r="D219">
        <v>3317</v>
      </c>
      <c r="E219">
        <v>1629</v>
      </c>
      <c r="F219">
        <v>81.040000000000006</v>
      </c>
      <c r="G219">
        <v>35082</v>
      </c>
      <c r="H219">
        <v>71686</v>
      </c>
      <c r="I219">
        <v>6.3</v>
      </c>
      <c r="J219" t="s">
        <v>16</v>
      </c>
      <c r="K219" t="s">
        <v>1440</v>
      </c>
      <c r="L219" s="25">
        <v>0.32256944444444446</v>
      </c>
      <c r="M219">
        <v>0.81040000000000001</v>
      </c>
      <c r="N219">
        <v>6.3E-2</v>
      </c>
      <c r="O219">
        <v>10463</v>
      </c>
      <c r="P219">
        <v>0.14595597466729907</v>
      </c>
      <c r="Q219" t="s">
        <v>1238</v>
      </c>
      <c r="R219" t="s">
        <v>1239</v>
      </c>
      <c r="S219" t="s">
        <v>1231</v>
      </c>
      <c r="T219">
        <v>3</v>
      </c>
    </row>
    <row r="220" spans="1:20" x14ac:dyDescent="0.3">
      <c r="A220" t="s">
        <v>230</v>
      </c>
      <c r="B220" t="s">
        <v>231</v>
      </c>
      <c r="C220">
        <v>5517</v>
      </c>
      <c r="D220">
        <v>3317</v>
      </c>
      <c r="E220">
        <v>1629</v>
      </c>
      <c r="F220">
        <v>81.040000000000006</v>
      </c>
      <c r="G220">
        <v>35082</v>
      </c>
      <c r="H220">
        <v>71686</v>
      </c>
      <c r="I220">
        <v>6.3</v>
      </c>
      <c r="J220" t="s">
        <v>16</v>
      </c>
      <c r="K220" t="s">
        <v>1441</v>
      </c>
      <c r="L220" s="25">
        <v>0.32256944444444446</v>
      </c>
      <c r="M220">
        <v>0.81040000000000001</v>
      </c>
      <c r="N220">
        <v>6.3E-2</v>
      </c>
      <c r="O220">
        <v>10463</v>
      </c>
      <c r="P220">
        <v>0.14595597466729907</v>
      </c>
      <c r="Q220" t="s">
        <v>1238</v>
      </c>
      <c r="R220" t="s">
        <v>1239</v>
      </c>
      <c r="S220" t="s">
        <v>1231</v>
      </c>
      <c r="T220">
        <v>3</v>
      </c>
    </row>
    <row r="221" spans="1:20" x14ac:dyDescent="0.3">
      <c r="A221" t="s">
        <v>233</v>
      </c>
      <c r="B221" t="s">
        <v>234</v>
      </c>
      <c r="C221">
        <v>602</v>
      </c>
      <c r="D221">
        <v>3325</v>
      </c>
      <c r="E221">
        <v>1378</v>
      </c>
      <c r="F221">
        <v>97.5</v>
      </c>
      <c r="G221">
        <v>2480</v>
      </c>
      <c r="H221">
        <v>36321</v>
      </c>
      <c r="I221">
        <v>8.34</v>
      </c>
      <c r="J221" t="s">
        <v>12</v>
      </c>
      <c r="K221" t="s">
        <v>1442</v>
      </c>
      <c r="L221" s="25">
        <v>0.75402777777777774</v>
      </c>
      <c r="M221">
        <v>0.97499999999999998</v>
      </c>
      <c r="N221">
        <v>8.3400000000000002E-2</v>
      </c>
      <c r="O221">
        <v>5305</v>
      </c>
      <c r="P221">
        <v>0.14605875388893477</v>
      </c>
      <c r="Q221" t="s">
        <v>1238</v>
      </c>
      <c r="R221" t="s">
        <v>1239</v>
      </c>
      <c r="S221" t="s">
        <v>1232</v>
      </c>
      <c r="T221">
        <v>3</v>
      </c>
    </row>
    <row r="222" spans="1:20" x14ac:dyDescent="0.3">
      <c r="A222" t="s">
        <v>233</v>
      </c>
      <c r="B222" t="s">
        <v>234</v>
      </c>
      <c r="C222">
        <v>602</v>
      </c>
      <c r="D222">
        <v>3325</v>
      </c>
      <c r="E222">
        <v>1378</v>
      </c>
      <c r="F222">
        <v>97.5</v>
      </c>
      <c r="G222">
        <v>2480</v>
      </c>
      <c r="H222">
        <v>36321</v>
      </c>
      <c r="I222">
        <v>8.34</v>
      </c>
      <c r="J222" t="s">
        <v>12</v>
      </c>
      <c r="K222" t="s">
        <v>1274</v>
      </c>
      <c r="L222" s="25">
        <v>0.75402777777777774</v>
      </c>
      <c r="M222">
        <v>0.97499999999999998</v>
      </c>
      <c r="N222">
        <v>8.3400000000000002E-2</v>
      </c>
      <c r="O222">
        <v>5305</v>
      </c>
      <c r="P222">
        <v>0.14605875388893477</v>
      </c>
      <c r="Q222" t="s">
        <v>1238</v>
      </c>
      <c r="R222" t="s">
        <v>1239</v>
      </c>
      <c r="S222" t="s">
        <v>1232</v>
      </c>
      <c r="T222">
        <v>3</v>
      </c>
    </row>
    <row r="223" spans="1:20" x14ac:dyDescent="0.3">
      <c r="A223" t="s">
        <v>233</v>
      </c>
      <c r="B223" t="s">
        <v>234</v>
      </c>
      <c r="C223">
        <v>602</v>
      </c>
      <c r="D223">
        <v>3325</v>
      </c>
      <c r="E223">
        <v>1378</v>
      </c>
      <c r="F223">
        <v>97.5</v>
      </c>
      <c r="G223">
        <v>2480</v>
      </c>
      <c r="H223">
        <v>36321</v>
      </c>
      <c r="I223">
        <v>8.34</v>
      </c>
      <c r="J223" t="s">
        <v>12</v>
      </c>
      <c r="K223" t="s">
        <v>1443</v>
      </c>
      <c r="L223" s="25">
        <v>0.75402777777777774</v>
      </c>
      <c r="M223">
        <v>0.97499999999999998</v>
      </c>
      <c r="N223">
        <v>8.3400000000000002E-2</v>
      </c>
      <c r="O223">
        <v>5305</v>
      </c>
      <c r="P223">
        <v>0.14605875388893477</v>
      </c>
      <c r="Q223" t="s">
        <v>1238</v>
      </c>
      <c r="R223" t="s">
        <v>1239</v>
      </c>
      <c r="S223" t="s">
        <v>1232</v>
      </c>
      <c r="T223">
        <v>3</v>
      </c>
    </row>
    <row r="224" spans="1:20" x14ac:dyDescent="0.3">
      <c r="A224" t="s">
        <v>236</v>
      </c>
      <c r="B224" t="s">
        <v>237</v>
      </c>
      <c r="C224">
        <v>9150</v>
      </c>
      <c r="D224">
        <v>923</v>
      </c>
      <c r="E224">
        <v>1938</v>
      </c>
      <c r="F224">
        <v>15.72</v>
      </c>
      <c r="G224">
        <v>8652</v>
      </c>
      <c r="H224">
        <v>49195</v>
      </c>
      <c r="I224">
        <v>3.78</v>
      </c>
      <c r="J224" t="s">
        <v>20</v>
      </c>
      <c r="K224" t="s">
        <v>1444</v>
      </c>
      <c r="L224" s="25">
        <v>0.85269675925925925</v>
      </c>
      <c r="M224">
        <v>0.15720000000000001</v>
      </c>
      <c r="N224">
        <v>3.78E-2</v>
      </c>
      <c r="O224">
        <v>12011</v>
      </c>
      <c r="P224">
        <v>0.24415082833621302</v>
      </c>
      <c r="Q224" t="s">
        <v>1238</v>
      </c>
      <c r="R224" t="s">
        <v>1239</v>
      </c>
      <c r="S224" t="s">
        <v>1232</v>
      </c>
      <c r="T224">
        <v>3</v>
      </c>
    </row>
    <row r="225" spans="1:20" x14ac:dyDescent="0.3">
      <c r="A225" t="s">
        <v>236</v>
      </c>
      <c r="B225" t="s">
        <v>237</v>
      </c>
      <c r="C225">
        <v>9150</v>
      </c>
      <c r="D225">
        <v>923</v>
      </c>
      <c r="E225">
        <v>1938</v>
      </c>
      <c r="F225">
        <v>15.72</v>
      </c>
      <c r="G225">
        <v>8652</v>
      </c>
      <c r="H225">
        <v>49195</v>
      </c>
      <c r="I225">
        <v>3.78</v>
      </c>
      <c r="J225" t="s">
        <v>20</v>
      </c>
      <c r="K225" t="s">
        <v>1445</v>
      </c>
      <c r="L225" s="25">
        <v>0.85269675925925925</v>
      </c>
      <c r="M225">
        <v>0.15720000000000001</v>
      </c>
      <c r="N225">
        <v>3.78E-2</v>
      </c>
      <c r="O225">
        <v>12011</v>
      </c>
      <c r="P225">
        <v>0.24415082833621302</v>
      </c>
      <c r="Q225" t="s">
        <v>1238</v>
      </c>
      <c r="R225" t="s">
        <v>1239</v>
      </c>
      <c r="S225" t="s">
        <v>1232</v>
      </c>
      <c r="T225">
        <v>3</v>
      </c>
    </row>
    <row r="226" spans="1:20" x14ac:dyDescent="0.3">
      <c r="A226" t="s">
        <v>236</v>
      </c>
      <c r="B226" t="s">
        <v>237</v>
      </c>
      <c r="C226">
        <v>9150</v>
      </c>
      <c r="D226">
        <v>923</v>
      </c>
      <c r="E226">
        <v>1938</v>
      </c>
      <c r="F226">
        <v>15.72</v>
      </c>
      <c r="G226">
        <v>8652</v>
      </c>
      <c r="H226">
        <v>49195</v>
      </c>
      <c r="I226">
        <v>3.78</v>
      </c>
      <c r="J226" t="s">
        <v>20</v>
      </c>
      <c r="K226" t="s">
        <v>1293</v>
      </c>
      <c r="L226" s="25">
        <v>0.85269675925925925</v>
      </c>
      <c r="M226">
        <v>0.15720000000000001</v>
      </c>
      <c r="N226">
        <v>3.78E-2</v>
      </c>
      <c r="O226">
        <v>12011</v>
      </c>
      <c r="P226">
        <v>0.24415082833621302</v>
      </c>
      <c r="Q226" t="s">
        <v>1238</v>
      </c>
      <c r="R226" t="s">
        <v>1239</v>
      </c>
      <c r="S226" t="s">
        <v>1232</v>
      </c>
      <c r="T226">
        <v>3</v>
      </c>
    </row>
    <row r="227" spans="1:20" x14ac:dyDescent="0.3">
      <c r="A227" t="s">
        <v>239</v>
      </c>
      <c r="B227" t="s">
        <v>240</v>
      </c>
      <c r="C227">
        <v>3461</v>
      </c>
      <c r="D227">
        <v>2000</v>
      </c>
      <c r="E227">
        <v>1629</v>
      </c>
      <c r="F227">
        <v>40.06</v>
      </c>
      <c r="G227">
        <v>92139</v>
      </c>
      <c r="H227">
        <v>49340</v>
      </c>
      <c r="I227">
        <v>8.91</v>
      </c>
      <c r="J227" t="s">
        <v>20</v>
      </c>
      <c r="K227" t="s">
        <v>1446</v>
      </c>
      <c r="L227" s="25">
        <v>0.76606481481481481</v>
      </c>
      <c r="M227">
        <v>0.40060000000000001</v>
      </c>
      <c r="N227">
        <v>8.9099999999999999E-2</v>
      </c>
      <c r="O227">
        <v>7090</v>
      </c>
      <c r="P227">
        <v>0.14369679773003649</v>
      </c>
      <c r="Q227" t="s">
        <v>1238</v>
      </c>
      <c r="R227" t="s">
        <v>1239</v>
      </c>
      <c r="S227" t="s">
        <v>1232</v>
      </c>
      <c r="T227">
        <v>3</v>
      </c>
    </row>
    <row r="228" spans="1:20" x14ac:dyDescent="0.3">
      <c r="A228" t="s">
        <v>239</v>
      </c>
      <c r="B228" t="s">
        <v>240</v>
      </c>
      <c r="C228">
        <v>3461</v>
      </c>
      <c r="D228">
        <v>2000</v>
      </c>
      <c r="E228">
        <v>1629</v>
      </c>
      <c r="F228">
        <v>40.06</v>
      </c>
      <c r="G228">
        <v>92139</v>
      </c>
      <c r="H228">
        <v>49340</v>
      </c>
      <c r="I228">
        <v>8.91</v>
      </c>
      <c r="J228" t="s">
        <v>20</v>
      </c>
      <c r="K228" t="s">
        <v>1447</v>
      </c>
      <c r="L228" s="25">
        <v>0.76606481481481481</v>
      </c>
      <c r="M228">
        <v>0.40060000000000001</v>
      </c>
      <c r="N228">
        <v>8.9099999999999999E-2</v>
      </c>
      <c r="O228">
        <v>7090</v>
      </c>
      <c r="P228">
        <v>0.14369679773003649</v>
      </c>
      <c r="Q228" t="s">
        <v>1238</v>
      </c>
      <c r="R228" t="s">
        <v>1239</v>
      </c>
      <c r="S228" t="s">
        <v>1232</v>
      </c>
      <c r="T228">
        <v>3</v>
      </c>
    </row>
    <row r="229" spans="1:20" x14ac:dyDescent="0.3">
      <c r="A229" t="s">
        <v>239</v>
      </c>
      <c r="B229" t="s">
        <v>240</v>
      </c>
      <c r="C229">
        <v>3461</v>
      </c>
      <c r="D229">
        <v>2000</v>
      </c>
      <c r="E229">
        <v>1629</v>
      </c>
      <c r="F229">
        <v>40.06</v>
      </c>
      <c r="G229">
        <v>92139</v>
      </c>
      <c r="H229">
        <v>49340</v>
      </c>
      <c r="I229">
        <v>8.91</v>
      </c>
      <c r="J229" t="s">
        <v>20</v>
      </c>
      <c r="K229" t="s">
        <v>1448</v>
      </c>
      <c r="L229" s="25">
        <v>0.76606481481481481</v>
      </c>
      <c r="M229">
        <v>0.40060000000000001</v>
      </c>
      <c r="N229">
        <v>8.9099999999999999E-2</v>
      </c>
      <c r="O229">
        <v>7090</v>
      </c>
      <c r="P229">
        <v>0.14369679773003649</v>
      </c>
      <c r="Q229" t="s">
        <v>1238</v>
      </c>
      <c r="R229" t="s">
        <v>1239</v>
      </c>
      <c r="S229" t="s">
        <v>1232</v>
      </c>
      <c r="T229">
        <v>3</v>
      </c>
    </row>
    <row r="230" spans="1:20" x14ac:dyDescent="0.3">
      <c r="A230" t="s">
        <v>242</v>
      </c>
      <c r="B230" t="s">
        <v>243</v>
      </c>
      <c r="C230">
        <v>5268</v>
      </c>
      <c r="D230">
        <v>3213</v>
      </c>
      <c r="E230">
        <v>82</v>
      </c>
      <c r="F230">
        <v>68.69</v>
      </c>
      <c r="G230">
        <v>47249</v>
      </c>
      <c r="H230">
        <v>83097</v>
      </c>
      <c r="I230">
        <v>5.13</v>
      </c>
      <c r="J230" t="s">
        <v>16</v>
      </c>
      <c r="K230" t="s">
        <v>1449</v>
      </c>
      <c r="L230" s="25">
        <v>0.54265046296296293</v>
      </c>
      <c r="M230">
        <v>0.68689999999999996</v>
      </c>
      <c r="N230">
        <v>5.1299999999999998E-2</v>
      </c>
      <c r="O230">
        <v>8563</v>
      </c>
      <c r="P230">
        <v>0.10304824482231609</v>
      </c>
      <c r="Q230" t="s">
        <v>1238</v>
      </c>
      <c r="R230" t="s">
        <v>1239</v>
      </c>
      <c r="S230" t="s">
        <v>1230</v>
      </c>
      <c r="T230">
        <v>3</v>
      </c>
    </row>
    <row r="231" spans="1:20" x14ac:dyDescent="0.3">
      <c r="A231" t="s">
        <v>242</v>
      </c>
      <c r="B231" t="s">
        <v>243</v>
      </c>
      <c r="C231">
        <v>5268</v>
      </c>
      <c r="D231">
        <v>3213</v>
      </c>
      <c r="E231">
        <v>82</v>
      </c>
      <c r="F231">
        <v>68.69</v>
      </c>
      <c r="G231">
        <v>47249</v>
      </c>
      <c r="H231">
        <v>83097</v>
      </c>
      <c r="I231">
        <v>5.13</v>
      </c>
      <c r="J231" t="s">
        <v>16</v>
      </c>
      <c r="K231" t="s">
        <v>1450</v>
      </c>
      <c r="L231" s="25">
        <v>0.54265046296296293</v>
      </c>
      <c r="M231">
        <v>0.68689999999999996</v>
      </c>
      <c r="N231">
        <v>5.1299999999999998E-2</v>
      </c>
      <c r="O231">
        <v>8563</v>
      </c>
      <c r="P231">
        <v>0.10304824482231609</v>
      </c>
      <c r="Q231" t="s">
        <v>1238</v>
      </c>
      <c r="R231" t="s">
        <v>1239</v>
      </c>
      <c r="S231" t="s">
        <v>1230</v>
      </c>
      <c r="T231">
        <v>3</v>
      </c>
    </row>
    <row r="232" spans="1:20" x14ac:dyDescent="0.3">
      <c r="A232" t="s">
        <v>242</v>
      </c>
      <c r="B232" t="s">
        <v>243</v>
      </c>
      <c r="C232">
        <v>5268</v>
      </c>
      <c r="D232">
        <v>3213</v>
      </c>
      <c r="E232">
        <v>82</v>
      </c>
      <c r="F232">
        <v>68.69</v>
      </c>
      <c r="G232">
        <v>47249</v>
      </c>
      <c r="H232">
        <v>83097</v>
      </c>
      <c r="I232">
        <v>5.13</v>
      </c>
      <c r="J232" t="s">
        <v>16</v>
      </c>
      <c r="K232" t="s">
        <v>1451</v>
      </c>
      <c r="L232" s="25">
        <v>0.54265046296296293</v>
      </c>
      <c r="M232">
        <v>0.68689999999999996</v>
      </c>
      <c r="N232">
        <v>5.1299999999999998E-2</v>
      </c>
      <c r="O232">
        <v>8563</v>
      </c>
      <c r="P232">
        <v>0.10304824482231609</v>
      </c>
      <c r="Q232" t="s">
        <v>1238</v>
      </c>
      <c r="R232" t="s">
        <v>1239</v>
      </c>
      <c r="S232" t="s">
        <v>1230</v>
      </c>
      <c r="T232">
        <v>3</v>
      </c>
    </row>
    <row r="233" spans="1:20" x14ac:dyDescent="0.3">
      <c r="A233" t="s">
        <v>245</v>
      </c>
      <c r="B233" t="s">
        <v>246</v>
      </c>
      <c r="C233">
        <v>7568</v>
      </c>
      <c r="D233">
        <v>702</v>
      </c>
      <c r="E233">
        <v>1902</v>
      </c>
      <c r="F233">
        <v>39.590000000000003</v>
      </c>
      <c r="G233">
        <v>49045</v>
      </c>
      <c r="H233">
        <v>43783</v>
      </c>
      <c r="I233">
        <v>6.7</v>
      </c>
      <c r="J233" t="s">
        <v>12</v>
      </c>
      <c r="K233" t="s">
        <v>1452</v>
      </c>
      <c r="L233" s="25">
        <v>0.46254629629629629</v>
      </c>
      <c r="M233">
        <v>0.39590000000000003</v>
      </c>
      <c r="N233">
        <v>6.7000000000000004E-2</v>
      </c>
      <c r="O233">
        <v>10172</v>
      </c>
      <c r="P233">
        <v>0.23232761574126945</v>
      </c>
      <c r="Q233" t="s">
        <v>1238</v>
      </c>
      <c r="R233" t="s">
        <v>1239</v>
      </c>
      <c r="S233" t="s">
        <v>1231</v>
      </c>
      <c r="T233">
        <v>3</v>
      </c>
    </row>
    <row r="234" spans="1:20" x14ac:dyDescent="0.3">
      <c r="A234" t="s">
        <v>245</v>
      </c>
      <c r="B234" t="s">
        <v>246</v>
      </c>
      <c r="C234">
        <v>7568</v>
      </c>
      <c r="D234">
        <v>702</v>
      </c>
      <c r="E234">
        <v>1902</v>
      </c>
      <c r="F234">
        <v>39.590000000000003</v>
      </c>
      <c r="G234">
        <v>49045</v>
      </c>
      <c r="H234">
        <v>43783</v>
      </c>
      <c r="I234">
        <v>6.7</v>
      </c>
      <c r="J234" t="s">
        <v>12</v>
      </c>
      <c r="K234" t="s">
        <v>1415</v>
      </c>
      <c r="L234" s="25">
        <v>0.46254629629629629</v>
      </c>
      <c r="M234">
        <v>0.39590000000000003</v>
      </c>
      <c r="N234">
        <v>6.7000000000000004E-2</v>
      </c>
      <c r="O234">
        <v>10172</v>
      </c>
      <c r="P234">
        <v>0.23232761574126945</v>
      </c>
      <c r="Q234" t="s">
        <v>1238</v>
      </c>
      <c r="R234" t="s">
        <v>1239</v>
      </c>
      <c r="S234" t="s">
        <v>1231</v>
      </c>
      <c r="T234">
        <v>3</v>
      </c>
    </row>
    <row r="235" spans="1:20" x14ac:dyDescent="0.3">
      <c r="A235" t="s">
        <v>245</v>
      </c>
      <c r="B235" t="s">
        <v>246</v>
      </c>
      <c r="C235">
        <v>7568</v>
      </c>
      <c r="D235">
        <v>702</v>
      </c>
      <c r="E235">
        <v>1902</v>
      </c>
      <c r="F235">
        <v>39.590000000000003</v>
      </c>
      <c r="G235">
        <v>49045</v>
      </c>
      <c r="H235">
        <v>43783</v>
      </c>
      <c r="I235">
        <v>6.7</v>
      </c>
      <c r="J235" t="s">
        <v>12</v>
      </c>
      <c r="K235" t="s">
        <v>1453</v>
      </c>
      <c r="L235" s="25">
        <v>0.46254629629629629</v>
      </c>
      <c r="M235">
        <v>0.39590000000000003</v>
      </c>
      <c r="N235">
        <v>6.7000000000000004E-2</v>
      </c>
      <c r="O235">
        <v>10172</v>
      </c>
      <c r="P235">
        <v>0.23232761574126945</v>
      </c>
      <c r="Q235" t="s">
        <v>1238</v>
      </c>
      <c r="R235" t="s">
        <v>1239</v>
      </c>
      <c r="S235" t="s">
        <v>1231</v>
      </c>
      <c r="T235">
        <v>3</v>
      </c>
    </row>
    <row r="236" spans="1:20" x14ac:dyDescent="0.3">
      <c r="A236" t="s">
        <v>248</v>
      </c>
      <c r="B236" t="s">
        <v>249</v>
      </c>
      <c r="C236">
        <v>9439</v>
      </c>
      <c r="D236">
        <v>70</v>
      </c>
      <c r="E236">
        <v>1991</v>
      </c>
      <c r="F236">
        <v>26</v>
      </c>
      <c r="G236">
        <v>62277</v>
      </c>
      <c r="H236">
        <v>82850</v>
      </c>
      <c r="I236">
        <v>1.34</v>
      </c>
      <c r="J236" t="s">
        <v>20</v>
      </c>
      <c r="K236" t="s">
        <v>1454</v>
      </c>
      <c r="L236" s="25">
        <v>0.39254629629629628</v>
      </c>
      <c r="M236">
        <v>0.26</v>
      </c>
      <c r="N236">
        <v>1.34E-2</v>
      </c>
      <c r="O236">
        <v>11500</v>
      </c>
      <c r="P236">
        <v>0.1388050694025347</v>
      </c>
      <c r="Q236" t="s">
        <v>1238</v>
      </c>
      <c r="R236" t="s">
        <v>1239</v>
      </c>
      <c r="S236" t="s">
        <v>1231</v>
      </c>
      <c r="T236">
        <v>3</v>
      </c>
    </row>
    <row r="237" spans="1:20" x14ac:dyDescent="0.3">
      <c r="A237" t="s">
        <v>248</v>
      </c>
      <c r="B237" t="s">
        <v>249</v>
      </c>
      <c r="C237">
        <v>9439</v>
      </c>
      <c r="D237">
        <v>70</v>
      </c>
      <c r="E237">
        <v>1991</v>
      </c>
      <c r="F237">
        <v>26</v>
      </c>
      <c r="G237">
        <v>62277</v>
      </c>
      <c r="H237">
        <v>82850</v>
      </c>
      <c r="I237">
        <v>1.34</v>
      </c>
      <c r="J237" t="s">
        <v>20</v>
      </c>
      <c r="K237" t="s">
        <v>1455</v>
      </c>
      <c r="L237" s="25">
        <v>0.39254629629629628</v>
      </c>
      <c r="M237">
        <v>0.26</v>
      </c>
      <c r="N237">
        <v>1.34E-2</v>
      </c>
      <c r="O237">
        <v>11500</v>
      </c>
      <c r="P237">
        <v>0.1388050694025347</v>
      </c>
      <c r="Q237" t="s">
        <v>1238</v>
      </c>
      <c r="R237" t="s">
        <v>1239</v>
      </c>
      <c r="S237" t="s">
        <v>1231</v>
      </c>
      <c r="T237">
        <v>3</v>
      </c>
    </row>
    <row r="238" spans="1:20" x14ac:dyDescent="0.3">
      <c r="A238" t="s">
        <v>248</v>
      </c>
      <c r="B238" t="s">
        <v>249</v>
      </c>
      <c r="C238">
        <v>9439</v>
      </c>
      <c r="D238">
        <v>70</v>
      </c>
      <c r="E238">
        <v>1991</v>
      </c>
      <c r="F238">
        <v>26</v>
      </c>
      <c r="G238">
        <v>62277</v>
      </c>
      <c r="H238">
        <v>82850</v>
      </c>
      <c r="I238">
        <v>1.34</v>
      </c>
      <c r="J238" t="s">
        <v>20</v>
      </c>
      <c r="K238" t="s">
        <v>1432</v>
      </c>
      <c r="L238" s="25">
        <v>0.39254629629629628</v>
      </c>
      <c r="M238">
        <v>0.26</v>
      </c>
      <c r="N238">
        <v>1.34E-2</v>
      </c>
      <c r="O238">
        <v>11500</v>
      </c>
      <c r="P238">
        <v>0.1388050694025347</v>
      </c>
      <c r="Q238" t="s">
        <v>1238</v>
      </c>
      <c r="R238" t="s">
        <v>1239</v>
      </c>
      <c r="S238" t="s">
        <v>1231</v>
      </c>
      <c r="T238">
        <v>3</v>
      </c>
    </row>
    <row r="239" spans="1:20" x14ac:dyDescent="0.3">
      <c r="A239" t="s">
        <v>251</v>
      </c>
      <c r="B239" t="s">
        <v>252</v>
      </c>
      <c r="C239">
        <v>3583</v>
      </c>
      <c r="D239">
        <v>2614</v>
      </c>
      <c r="E239">
        <v>204</v>
      </c>
      <c r="F239">
        <v>94.59</v>
      </c>
      <c r="G239">
        <v>90859</v>
      </c>
      <c r="H239">
        <v>67298</v>
      </c>
      <c r="I239">
        <v>8.7100000000000009</v>
      </c>
      <c r="J239" t="s">
        <v>20</v>
      </c>
      <c r="K239" t="s">
        <v>1456</v>
      </c>
      <c r="L239" s="25">
        <v>0.50506944444444446</v>
      </c>
      <c r="M239">
        <v>0.94590000000000007</v>
      </c>
      <c r="N239">
        <v>8.7100000000000011E-2</v>
      </c>
      <c r="O239">
        <v>6401</v>
      </c>
      <c r="P239">
        <v>9.51142678831466E-2</v>
      </c>
      <c r="Q239" t="s">
        <v>1238</v>
      </c>
      <c r="R239" t="s">
        <v>1239</v>
      </c>
      <c r="S239" t="s">
        <v>1230</v>
      </c>
      <c r="T239">
        <v>3</v>
      </c>
    </row>
    <row r="240" spans="1:20" x14ac:dyDescent="0.3">
      <c r="A240" t="s">
        <v>251</v>
      </c>
      <c r="B240" t="s">
        <v>252</v>
      </c>
      <c r="C240">
        <v>3583</v>
      </c>
      <c r="D240">
        <v>2614</v>
      </c>
      <c r="E240">
        <v>204</v>
      </c>
      <c r="F240">
        <v>94.59</v>
      </c>
      <c r="G240">
        <v>90859</v>
      </c>
      <c r="H240">
        <v>67298</v>
      </c>
      <c r="I240">
        <v>8.7100000000000009</v>
      </c>
      <c r="J240" t="s">
        <v>20</v>
      </c>
      <c r="K240" t="s">
        <v>1283</v>
      </c>
      <c r="L240" s="25">
        <v>0.50506944444444446</v>
      </c>
      <c r="M240">
        <v>0.94590000000000007</v>
      </c>
      <c r="N240">
        <v>8.7100000000000011E-2</v>
      </c>
      <c r="O240">
        <v>6401</v>
      </c>
      <c r="P240">
        <v>9.51142678831466E-2</v>
      </c>
      <c r="Q240" t="s">
        <v>1238</v>
      </c>
      <c r="R240" t="s">
        <v>1239</v>
      </c>
      <c r="S240" t="s">
        <v>1230</v>
      </c>
      <c r="T240">
        <v>3</v>
      </c>
    </row>
    <row r="241" spans="1:20" x14ac:dyDescent="0.3">
      <c r="A241" t="s">
        <v>251</v>
      </c>
      <c r="B241" t="s">
        <v>252</v>
      </c>
      <c r="C241">
        <v>3583</v>
      </c>
      <c r="D241">
        <v>2614</v>
      </c>
      <c r="E241">
        <v>204</v>
      </c>
      <c r="F241">
        <v>94.59</v>
      </c>
      <c r="G241">
        <v>90859</v>
      </c>
      <c r="H241">
        <v>67298</v>
      </c>
      <c r="I241">
        <v>8.7100000000000009</v>
      </c>
      <c r="J241" t="s">
        <v>20</v>
      </c>
      <c r="K241" t="s">
        <v>1457</v>
      </c>
      <c r="L241" s="25">
        <v>0.50506944444444446</v>
      </c>
      <c r="M241">
        <v>0.94590000000000007</v>
      </c>
      <c r="N241">
        <v>8.7100000000000011E-2</v>
      </c>
      <c r="O241">
        <v>6401</v>
      </c>
      <c r="P241">
        <v>9.51142678831466E-2</v>
      </c>
      <c r="Q241" t="s">
        <v>1238</v>
      </c>
      <c r="R241" t="s">
        <v>1239</v>
      </c>
      <c r="S241" t="s">
        <v>1230</v>
      </c>
      <c r="T241">
        <v>3</v>
      </c>
    </row>
    <row r="242" spans="1:20" x14ac:dyDescent="0.3">
      <c r="A242" t="s">
        <v>254</v>
      </c>
      <c r="B242" t="s">
        <v>255</v>
      </c>
      <c r="C242">
        <v>2821</v>
      </c>
      <c r="D242">
        <v>2985</v>
      </c>
      <c r="E242">
        <v>286</v>
      </c>
      <c r="F242">
        <v>70.62</v>
      </c>
      <c r="G242">
        <v>32368</v>
      </c>
      <c r="H242">
        <v>12941</v>
      </c>
      <c r="I242">
        <v>4.54</v>
      </c>
      <c r="J242" t="s">
        <v>16</v>
      </c>
      <c r="K242" t="s">
        <v>1458</v>
      </c>
      <c r="L242" s="25">
        <v>0.61133101851851857</v>
      </c>
      <c r="M242">
        <v>0.70620000000000005</v>
      </c>
      <c r="N242">
        <v>4.5400000000000003E-2</v>
      </c>
      <c r="O242">
        <v>6092</v>
      </c>
      <c r="P242">
        <v>0.47075187388918938</v>
      </c>
      <c r="Q242" t="s">
        <v>1238</v>
      </c>
      <c r="R242" t="s">
        <v>1239</v>
      </c>
      <c r="S242" t="s">
        <v>1230</v>
      </c>
      <c r="T242">
        <v>3</v>
      </c>
    </row>
    <row r="243" spans="1:20" x14ac:dyDescent="0.3">
      <c r="A243" t="s">
        <v>254</v>
      </c>
      <c r="B243" t="s">
        <v>255</v>
      </c>
      <c r="C243">
        <v>2821</v>
      </c>
      <c r="D243">
        <v>2985</v>
      </c>
      <c r="E243">
        <v>286</v>
      </c>
      <c r="F243">
        <v>70.62</v>
      </c>
      <c r="G243">
        <v>32368</v>
      </c>
      <c r="H243">
        <v>12941</v>
      </c>
      <c r="I243">
        <v>4.54</v>
      </c>
      <c r="J243" t="s">
        <v>16</v>
      </c>
      <c r="K243" t="s">
        <v>1415</v>
      </c>
      <c r="L243" s="25">
        <v>0.61133101851851857</v>
      </c>
      <c r="M243">
        <v>0.70620000000000005</v>
      </c>
      <c r="N243">
        <v>4.5400000000000003E-2</v>
      </c>
      <c r="O243">
        <v>6092</v>
      </c>
      <c r="P243">
        <v>0.47075187388918938</v>
      </c>
      <c r="Q243" t="s">
        <v>1238</v>
      </c>
      <c r="R243" t="s">
        <v>1239</v>
      </c>
      <c r="S243" t="s">
        <v>1230</v>
      </c>
      <c r="T243">
        <v>3</v>
      </c>
    </row>
    <row r="244" spans="1:20" x14ac:dyDescent="0.3">
      <c r="A244" t="s">
        <v>254</v>
      </c>
      <c r="B244" t="s">
        <v>255</v>
      </c>
      <c r="C244">
        <v>2821</v>
      </c>
      <c r="D244">
        <v>2985</v>
      </c>
      <c r="E244">
        <v>286</v>
      </c>
      <c r="F244">
        <v>70.62</v>
      </c>
      <c r="G244">
        <v>32368</v>
      </c>
      <c r="H244">
        <v>12941</v>
      </c>
      <c r="I244">
        <v>4.54</v>
      </c>
      <c r="J244" t="s">
        <v>16</v>
      </c>
      <c r="K244" t="s">
        <v>1459</v>
      </c>
      <c r="L244" s="25">
        <v>0.61133101851851857</v>
      </c>
      <c r="M244">
        <v>0.70620000000000005</v>
      </c>
      <c r="N244">
        <v>4.5400000000000003E-2</v>
      </c>
      <c r="O244">
        <v>6092</v>
      </c>
      <c r="P244">
        <v>0.47075187388918938</v>
      </c>
      <c r="Q244" t="s">
        <v>1238</v>
      </c>
      <c r="R244" t="s">
        <v>1239</v>
      </c>
      <c r="S244" t="s">
        <v>1230</v>
      </c>
      <c r="T244">
        <v>3</v>
      </c>
    </row>
    <row r="245" spans="1:20" x14ac:dyDescent="0.3">
      <c r="A245" t="s">
        <v>257</v>
      </c>
      <c r="B245" t="s">
        <v>258</v>
      </c>
      <c r="C245">
        <v>3048</v>
      </c>
      <c r="D245">
        <v>264</v>
      </c>
      <c r="E245">
        <v>1071</v>
      </c>
      <c r="F245">
        <v>24.42</v>
      </c>
      <c r="G245">
        <v>52404</v>
      </c>
      <c r="H245">
        <v>4977</v>
      </c>
      <c r="I245">
        <v>7.7</v>
      </c>
      <c r="J245" t="s">
        <v>12</v>
      </c>
      <c r="K245" t="s">
        <v>1460</v>
      </c>
      <c r="L245" s="25">
        <v>0.13619212962962962</v>
      </c>
      <c r="M245">
        <v>0.24420000000000003</v>
      </c>
      <c r="N245">
        <v>7.6999999999999999E-2</v>
      </c>
      <c r="O245">
        <v>4383</v>
      </c>
      <c r="P245">
        <v>0.88065099457504525</v>
      </c>
      <c r="Q245" t="s">
        <v>1238</v>
      </c>
      <c r="R245" t="s">
        <v>1239</v>
      </c>
      <c r="S245" t="s">
        <v>1231</v>
      </c>
      <c r="T245">
        <v>3</v>
      </c>
    </row>
    <row r="246" spans="1:20" x14ac:dyDescent="0.3">
      <c r="A246" t="s">
        <v>257</v>
      </c>
      <c r="B246" t="s">
        <v>258</v>
      </c>
      <c r="C246">
        <v>3048</v>
      </c>
      <c r="D246">
        <v>264</v>
      </c>
      <c r="E246">
        <v>1071</v>
      </c>
      <c r="F246">
        <v>24.42</v>
      </c>
      <c r="G246">
        <v>52404</v>
      </c>
      <c r="H246">
        <v>4977</v>
      </c>
      <c r="I246">
        <v>7.7</v>
      </c>
      <c r="J246" t="s">
        <v>12</v>
      </c>
      <c r="K246" t="s">
        <v>1461</v>
      </c>
      <c r="L246" s="25">
        <v>0.13619212962962962</v>
      </c>
      <c r="M246">
        <v>0.24420000000000003</v>
      </c>
      <c r="N246">
        <v>7.6999999999999999E-2</v>
      </c>
      <c r="O246">
        <v>4383</v>
      </c>
      <c r="P246">
        <v>0.88065099457504525</v>
      </c>
      <c r="Q246" t="s">
        <v>1238</v>
      </c>
      <c r="R246" t="s">
        <v>1239</v>
      </c>
      <c r="S246" t="s">
        <v>1231</v>
      </c>
      <c r="T246">
        <v>3</v>
      </c>
    </row>
    <row r="247" spans="1:20" x14ac:dyDescent="0.3">
      <c r="A247" t="s">
        <v>257</v>
      </c>
      <c r="B247" t="s">
        <v>258</v>
      </c>
      <c r="C247">
        <v>3048</v>
      </c>
      <c r="D247">
        <v>264</v>
      </c>
      <c r="E247">
        <v>1071</v>
      </c>
      <c r="F247">
        <v>24.42</v>
      </c>
      <c r="G247">
        <v>52404</v>
      </c>
      <c r="H247">
        <v>4977</v>
      </c>
      <c r="I247">
        <v>7.7</v>
      </c>
      <c r="J247" t="s">
        <v>12</v>
      </c>
      <c r="K247" t="s">
        <v>1312</v>
      </c>
      <c r="L247" s="25">
        <v>0.13619212962962962</v>
      </c>
      <c r="M247">
        <v>0.24420000000000003</v>
      </c>
      <c r="N247">
        <v>7.6999999999999999E-2</v>
      </c>
      <c r="O247">
        <v>4383</v>
      </c>
      <c r="P247">
        <v>0.88065099457504525</v>
      </c>
      <c r="Q247" t="s">
        <v>1238</v>
      </c>
      <c r="R247" t="s">
        <v>1239</v>
      </c>
      <c r="S247" t="s">
        <v>1231</v>
      </c>
      <c r="T247">
        <v>3</v>
      </c>
    </row>
    <row r="248" spans="1:20" x14ac:dyDescent="0.3">
      <c r="A248" t="s">
        <v>260</v>
      </c>
      <c r="B248" t="s">
        <v>261</v>
      </c>
      <c r="C248">
        <v>4727</v>
      </c>
      <c r="D248">
        <v>1101</v>
      </c>
      <c r="E248">
        <v>955</v>
      </c>
      <c r="F248">
        <v>20.07</v>
      </c>
      <c r="G248">
        <v>93207</v>
      </c>
      <c r="H248">
        <v>720</v>
      </c>
      <c r="I248">
        <v>9.51</v>
      </c>
      <c r="J248" t="s">
        <v>12</v>
      </c>
      <c r="K248" t="s">
        <v>1462</v>
      </c>
      <c r="L248" s="25">
        <v>0.69945601851851846</v>
      </c>
      <c r="M248">
        <v>0.20069999999999999</v>
      </c>
      <c r="N248">
        <v>9.5100000000000004E-2</v>
      </c>
      <c r="O248">
        <v>6783</v>
      </c>
      <c r="P248">
        <v>1</v>
      </c>
      <c r="Q248" t="s">
        <v>1238</v>
      </c>
      <c r="R248" t="s">
        <v>1239</v>
      </c>
      <c r="S248" t="s">
        <v>1230</v>
      </c>
      <c r="T248">
        <v>3</v>
      </c>
    </row>
    <row r="249" spans="1:20" x14ac:dyDescent="0.3">
      <c r="A249" t="s">
        <v>260</v>
      </c>
      <c r="B249" t="s">
        <v>261</v>
      </c>
      <c r="C249">
        <v>4727</v>
      </c>
      <c r="D249">
        <v>1101</v>
      </c>
      <c r="E249">
        <v>955</v>
      </c>
      <c r="F249">
        <v>20.07</v>
      </c>
      <c r="G249">
        <v>93207</v>
      </c>
      <c r="H249">
        <v>720</v>
      </c>
      <c r="I249">
        <v>9.51</v>
      </c>
      <c r="J249" t="s">
        <v>12</v>
      </c>
      <c r="K249" t="s">
        <v>1463</v>
      </c>
      <c r="L249" s="25">
        <v>0.69945601851851846</v>
      </c>
      <c r="M249">
        <v>0.20069999999999999</v>
      </c>
      <c r="N249">
        <v>9.5100000000000004E-2</v>
      </c>
      <c r="O249">
        <v>6783</v>
      </c>
      <c r="P249">
        <v>1</v>
      </c>
      <c r="Q249" t="s">
        <v>1238</v>
      </c>
      <c r="R249" t="s">
        <v>1239</v>
      </c>
      <c r="S249" t="s">
        <v>1230</v>
      </c>
      <c r="T249">
        <v>3</v>
      </c>
    </row>
    <row r="250" spans="1:20" x14ac:dyDescent="0.3">
      <c r="A250" t="s">
        <v>260</v>
      </c>
      <c r="B250" t="s">
        <v>261</v>
      </c>
      <c r="C250">
        <v>4727</v>
      </c>
      <c r="D250">
        <v>1101</v>
      </c>
      <c r="E250">
        <v>955</v>
      </c>
      <c r="F250">
        <v>20.07</v>
      </c>
      <c r="G250">
        <v>93207</v>
      </c>
      <c r="H250">
        <v>720</v>
      </c>
      <c r="I250">
        <v>9.51</v>
      </c>
      <c r="J250" t="s">
        <v>12</v>
      </c>
      <c r="K250" t="s">
        <v>1464</v>
      </c>
      <c r="L250" s="25">
        <v>0.69945601851851846</v>
      </c>
      <c r="M250">
        <v>0.20069999999999999</v>
      </c>
      <c r="N250">
        <v>9.5100000000000004E-2</v>
      </c>
      <c r="O250">
        <v>6783</v>
      </c>
      <c r="P250">
        <v>1</v>
      </c>
      <c r="Q250" t="s">
        <v>1238</v>
      </c>
      <c r="R250" t="s">
        <v>1239</v>
      </c>
      <c r="S250" t="s">
        <v>1230</v>
      </c>
      <c r="T250">
        <v>3</v>
      </c>
    </row>
    <row r="251" spans="1:20" x14ac:dyDescent="0.3">
      <c r="A251" t="s">
        <v>263</v>
      </c>
      <c r="B251" t="s">
        <v>264</v>
      </c>
      <c r="C251">
        <v>1789</v>
      </c>
      <c r="D251">
        <v>2811</v>
      </c>
      <c r="E251">
        <v>189</v>
      </c>
      <c r="F251">
        <v>47.45</v>
      </c>
      <c r="G251">
        <v>98331</v>
      </c>
      <c r="H251">
        <v>26899</v>
      </c>
      <c r="I251">
        <v>7.31</v>
      </c>
      <c r="J251" t="s">
        <v>20</v>
      </c>
      <c r="K251" t="s">
        <v>1244</v>
      </c>
      <c r="L251" s="25">
        <v>0.31668981481481484</v>
      </c>
      <c r="M251">
        <v>0.47450000000000003</v>
      </c>
      <c r="N251">
        <v>7.3099999999999998E-2</v>
      </c>
      <c r="O251">
        <v>4789</v>
      </c>
      <c r="P251">
        <v>0.17803635822893044</v>
      </c>
      <c r="Q251" t="s">
        <v>1238</v>
      </c>
      <c r="R251" t="s">
        <v>1239</v>
      </c>
      <c r="S251" t="s">
        <v>1231</v>
      </c>
      <c r="T251">
        <v>3</v>
      </c>
    </row>
    <row r="252" spans="1:20" x14ac:dyDescent="0.3">
      <c r="A252" t="s">
        <v>263</v>
      </c>
      <c r="B252" t="s">
        <v>264</v>
      </c>
      <c r="C252">
        <v>1789</v>
      </c>
      <c r="D252">
        <v>2811</v>
      </c>
      <c r="E252">
        <v>189</v>
      </c>
      <c r="F252">
        <v>47.45</v>
      </c>
      <c r="G252">
        <v>98331</v>
      </c>
      <c r="H252">
        <v>26899</v>
      </c>
      <c r="I252">
        <v>7.31</v>
      </c>
      <c r="J252" t="s">
        <v>20</v>
      </c>
      <c r="K252" t="s">
        <v>1465</v>
      </c>
      <c r="L252" s="25">
        <v>0.31668981481481484</v>
      </c>
      <c r="M252">
        <v>0.47450000000000003</v>
      </c>
      <c r="N252">
        <v>7.3099999999999998E-2</v>
      </c>
      <c r="O252">
        <v>4789</v>
      </c>
      <c r="P252">
        <v>0.17803635822893044</v>
      </c>
      <c r="Q252" t="s">
        <v>1238</v>
      </c>
      <c r="R252" t="s">
        <v>1239</v>
      </c>
      <c r="S252" t="s">
        <v>1231</v>
      </c>
      <c r="T252">
        <v>3</v>
      </c>
    </row>
    <row r="253" spans="1:20" x14ac:dyDescent="0.3">
      <c r="A253" t="s">
        <v>263</v>
      </c>
      <c r="B253" t="s">
        <v>264</v>
      </c>
      <c r="C253">
        <v>1789</v>
      </c>
      <c r="D253">
        <v>2811</v>
      </c>
      <c r="E253">
        <v>189</v>
      </c>
      <c r="F253">
        <v>47.45</v>
      </c>
      <c r="G253">
        <v>98331</v>
      </c>
      <c r="H253">
        <v>26899</v>
      </c>
      <c r="I253">
        <v>7.31</v>
      </c>
      <c r="J253" t="s">
        <v>20</v>
      </c>
      <c r="K253" t="s">
        <v>1466</v>
      </c>
      <c r="L253" s="25">
        <v>0.31668981481481484</v>
      </c>
      <c r="M253">
        <v>0.47450000000000003</v>
      </c>
      <c r="N253">
        <v>7.3099999999999998E-2</v>
      </c>
      <c r="O253">
        <v>4789</v>
      </c>
      <c r="P253">
        <v>0.17803635822893044</v>
      </c>
      <c r="Q253" t="s">
        <v>1238</v>
      </c>
      <c r="R253" t="s">
        <v>1239</v>
      </c>
      <c r="S253" t="s">
        <v>1231</v>
      </c>
      <c r="T253">
        <v>3</v>
      </c>
    </row>
    <row r="254" spans="1:20" x14ac:dyDescent="0.3">
      <c r="A254" t="s">
        <v>266</v>
      </c>
      <c r="B254" t="s">
        <v>267</v>
      </c>
      <c r="C254">
        <v>9044</v>
      </c>
      <c r="D254">
        <v>2270</v>
      </c>
      <c r="E254">
        <v>1186</v>
      </c>
      <c r="F254">
        <v>58.57</v>
      </c>
      <c r="G254">
        <v>47548</v>
      </c>
      <c r="H254">
        <v>26322</v>
      </c>
      <c r="I254">
        <v>8.1300000000000008</v>
      </c>
      <c r="J254" t="s">
        <v>42</v>
      </c>
      <c r="K254" t="s">
        <v>1467</v>
      </c>
      <c r="L254" s="25">
        <v>0.70750000000000002</v>
      </c>
      <c r="M254">
        <v>0.5857</v>
      </c>
      <c r="N254">
        <v>8.1300000000000011E-2</v>
      </c>
      <c r="O254">
        <v>12500</v>
      </c>
      <c r="P254">
        <v>0.47488792644935796</v>
      </c>
      <c r="Q254" t="s">
        <v>1238</v>
      </c>
      <c r="R254" t="s">
        <v>1239</v>
      </c>
      <c r="S254" t="s">
        <v>1230</v>
      </c>
      <c r="T254">
        <v>3</v>
      </c>
    </row>
    <row r="255" spans="1:20" x14ac:dyDescent="0.3">
      <c r="A255" t="s">
        <v>266</v>
      </c>
      <c r="B255" t="s">
        <v>267</v>
      </c>
      <c r="C255">
        <v>9044</v>
      </c>
      <c r="D255">
        <v>2270</v>
      </c>
      <c r="E255">
        <v>1186</v>
      </c>
      <c r="F255">
        <v>58.57</v>
      </c>
      <c r="G255">
        <v>47548</v>
      </c>
      <c r="H255">
        <v>26322</v>
      </c>
      <c r="I255">
        <v>8.1300000000000008</v>
      </c>
      <c r="J255" t="s">
        <v>42</v>
      </c>
      <c r="K255" t="s">
        <v>1460</v>
      </c>
      <c r="L255" s="25">
        <v>0.70750000000000002</v>
      </c>
      <c r="M255">
        <v>0.5857</v>
      </c>
      <c r="N255">
        <v>8.1300000000000011E-2</v>
      </c>
      <c r="O255">
        <v>12500</v>
      </c>
      <c r="P255">
        <v>0.47488792644935796</v>
      </c>
      <c r="Q255" t="s">
        <v>1238</v>
      </c>
      <c r="R255" t="s">
        <v>1239</v>
      </c>
      <c r="S255" t="s">
        <v>1230</v>
      </c>
      <c r="T255">
        <v>3</v>
      </c>
    </row>
    <row r="256" spans="1:20" x14ac:dyDescent="0.3">
      <c r="A256" t="s">
        <v>266</v>
      </c>
      <c r="B256" t="s">
        <v>267</v>
      </c>
      <c r="C256">
        <v>9044</v>
      </c>
      <c r="D256">
        <v>2270</v>
      </c>
      <c r="E256">
        <v>1186</v>
      </c>
      <c r="F256">
        <v>58.57</v>
      </c>
      <c r="G256">
        <v>47548</v>
      </c>
      <c r="H256">
        <v>26322</v>
      </c>
      <c r="I256">
        <v>8.1300000000000008</v>
      </c>
      <c r="J256" t="s">
        <v>42</v>
      </c>
      <c r="K256" t="s">
        <v>1468</v>
      </c>
      <c r="L256" s="25">
        <v>0.70750000000000002</v>
      </c>
      <c r="M256">
        <v>0.5857</v>
      </c>
      <c r="N256">
        <v>8.1300000000000011E-2</v>
      </c>
      <c r="O256">
        <v>12500</v>
      </c>
      <c r="P256">
        <v>0.47488792644935796</v>
      </c>
      <c r="Q256" t="s">
        <v>1238</v>
      </c>
      <c r="R256" t="s">
        <v>1239</v>
      </c>
      <c r="S256" t="s">
        <v>1230</v>
      </c>
      <c r="T256">
        <v>3</v>
      </c>
    </row>
    <row r="257" spans="1:20" x14ac:dyDescent="0.3">
      <c r="A257" t="s">
        <v>269</v>
      </c>
      <c r="B257" t="s">
        <v>270</v>
      </c>
      <c r="C257">
        <v>1687</v>
      </c>
      <c r="D257">
        <v>4560</v>
      </c>
      <c r="E257">
        <v>1797</v>
      </c>
      <c r="F257">
        <v>34.58</v>
      </c>
      <c r="G257">
        <v>97067</v>
      </c>
      <c r="H257">
        <v>92674</v>
      </c>
      <c r="I257">
        <v>8.14</v>
      </c>
      <c r="J257" t="s">
        <v>20</v>
      </c>
      <c r="K257" t="s">
        <v>1305</v>
      </c>
      <c r="L257" s="25">
        <v>0.87001157407407403</v>
      </c>
      <c r="M257">
        <v>0.3458</v>
      </c>
      <c r="N257">
        <v>8.14E-2</v>
      </c>
      <c r="O257">
        <v>8044</v>
      </c>
      <c r="P257">
        <v>8.6798886419060362E-2</v>
      </c>
      <c r="Q257" t="s">
        <v>1238</v>
      </c>
      <c r="R257" t="s">
        <v>1239</v>
      </c>
      <c r="S257" t="s">
        <v>1232</v>
      </c>
      <c r="T257">
        <v>3</v>
      </c>
    </row>
    <row r="258" spans="1:20" x14ac:dyDescent="0.3">
      <c r="A258" t="s">
        <v>269</v>
      </c>
      <c r="B258" t="s">
        <v>270</v>
      </c>
      <c r="C258">
        <v>1687</v>
      </c>
      <c r="D258">
        <v>4560</v>
      </c>
      <c r="E258">
        <v>1797</v>
      </c>
      <c r="F258">
        <v>34.58</v>
      </c>
      <c r="G258">
        <v>97067</v>
      </c>
      <c r="H258">
        <v>92674</v>
      </c>
      <c r="I258">
        <v>8.14</v>
      </c>
      <c r="J258" t="s">
        <v>20</v>
      </c>
      <c r="K258" t="s">
        <v>1334</v>
      </c>
      <c r="L258" s="25">
        <v>0.87001157407407403</v>
      </c>
      <c r="M258">
        <v>0.3458</v>
      </c>
      <c r="N258">
        <v>8.14E-2</v>
      </c>
      <c r="O258">
        <v>8044</v>
      </c>
      <c r="P258">
        <v>8.6798886419060362E-2</v>
      </c>
      <c r="Q258" t="s">
        <v>1238</v>
      </c>
      <c r="R258" t="s">
        <v>1239</v>
      </c>
      <c r="S258" t="s">
        <v>1232</v>
      </c>
      <c r="T258">
        <v>3</v>
      </c>
    </row>
    <row r="259" spans="1:20" x14ac:dyDescent="0.3">
      <c r="A259" t="s">
        <v>269</v>
      </c>
      <c r="B259" t="s">
        <v>270</v>
      </c>
      <c r="C259">
        <v>1687</v>
      </c>
      <c r="D259">
        <v>4560</v>
      </c>
      <c r="E259">
        <v>1797</v>
      </c>
      <c r="F259">
        <v>34.58</v>
      </c>
      <c r="G259">
        <v>97067</v>
      </c>
      <c r="H259">
        <v>92674</v>
      </c>
      <c r="I259">
        <v>8.14</v>
      </c>
      <c r="J259" t="s">
        <v>20</v>
      </c>
      <c r="K259" t="s">
        <v>1435</v>
      </c>
      <c r="L259" s="25">
        <v>0.87001157407407403</v>
      </c>
      <c r="M259">
        <v>0.3458</v>
      </c>
      <c r="N259">
        <v>8.14E-2</v>
      </c>
      <c r="O259">
        <v>8044</v>
      </c>
      <c r="P259">
        <v>8.6798886419060362E-2</v>
      </c>
      <c r="Q259" t="s">
        <v>1238</v>
      </c>
      <c r="R259" t="s">
        <v>1239</v>
      </c>
      <c r="S259" t="s">
        <v>1232</v>
      </c>
      <c r="T259">
        <v>3</v>
      </c>
    </row>
    <row r="260" spans="1:20" x14ac:dyDescent="0.3">
      <c r="A260" t="s">
        <v>272</v>
      </c>
      <c r="B260" t="s">
        <v>273</v>
      </c>
      <c r="C260">
        <v>6654</v>
      </c>
      <c r="D260">
        <v>4904</v>
      </c>
      <c r="E260">
        <v>1902</v>
      </c>
      <c r="F260">
        <v>2.78</v>
      </c>
      <c r="G260">
        <v>95454</v>
      </c>
      <c r="H260">
        <v>83486</v>
      </c>
      <c r="I260">
        <v>2.31</v>
      </c>
      <c r="J260" t="s">
        <v>16</v>
      </c>
      <c r="K260" t="s">
        <v>1469</v>
      </c>
      <c r="L260" s="25">
        <v>0.6790856481481482</v>
      </c>
      <c r="M260">
        <v>2.7799999999999998E-2</v>
      </c>
      <c r="N260">
        <v>2.3099999999999999E-2</v>
      </c>
      <c r="O260">
        <v>13460</v>
      </c>
      <c r="P260">
        <v>0.1612246364659943</v>
      </c>
      <c r="Q260" t="s">
        <v>1238</v>
      </c>
      <c r="R260" t="s">
        <v>1239</v>
      </c>
      <c r="S260" t="s">
        <v>1230</v>
      </c>
      <c r="T260">
        <v>3</v>
      </c>
    </row>
    <row r="261" spans="1:20" x14ac:dyDescent="0.3">
      <c r="A261" t="s">
        <v>272</v>
      </c>
      <c r="B261" t="s">
        <v>273</v>
      </c>
      <c r="C261">
        <v>6654</v>
      </c>
      <c r="D261">
        <v>4904</v>
      </c>
      <c r="E261">
        <v>1902</v>
      </c>
      <c r="F261">
        <v>2.78</v>
      </c>
      <c r="G261">
        <v>95454</v>
      </c>
      <c r="H261">
        <v>83486</v>
      </c>
      <c r="I261">
        <v>2.31</v>
      </c>
      <c r="J261" t="s">
        <v>16</v>
      </c>
      <c r="K261" t="s">
        <v>1470</v>
      </c>
      <c r="L261" s="25">
        <v>0.6790856481481482</v>
      </c>
      <c r="M261">
        <v>2.7799999999999998E-2</v>
      </c>
      <c r="N261">
        <v>2.3099999999999999E-2</v>
      </c>
      <c r="O261">
        <v>13460</v>
      </c>
      <c r="P261">
        <v>0.1612246364659943</v>
      </c>
      <c r="Q261" t="s">
        <v>1238</v>
      </c>
      <c r="R261" t="s">
        <v>1239</v>
      </c>
      <c r="S261" t="s">
        <v>1230</v>
      </c>
      <c r="T261">
        <v>3</v>
      </c>
    </row>
    <row r="262" spans="1:20" x14ac:dyDescent="0.3">
      <c r="A262" t="s">
        <v>272</v>
      </c>
      <c r="B262" t="s">
        <v>273</v>
      </c>
      <c r="C262">
        <v>6654</v>
      </c>
      <c r="D262">
        <v>4904</v>
      </c>
      <c r="E262">
        <v>1902</v>
      </c>
      <c r="F262">
        <v>2.78</v>
      </c>
      <c r="G262">
        <v>95454</v>
      </c>
      <c r="H262">
        <v>83486</v>
      </c>
      <c r="I262">
        <v>2.31</v>
      </c>
      <c r="J262" t="s">
        <v>16</v>
      </c>
      <c r="K262" t="s">
        <v>1471</v>
      </c>
      <c r="L262" s="25">
        <v>0.6790856481481482</v>
      </c>
      <c r="M262">
        <v>2.7799999999999998E-2</v>
      </c>
      <c r="N262">
        <v>2.3099999999999999E-2</v>
      </c>
      <c r="O262">
        <v>13460</v>
      </c>
      <c r="P262">
        <v>0.1612246364659943</v>
      </c>
      <c r="Q262" t="s">
        <v>1238</v>
      </c>
      <c r="R262" t="s">
        <v>1239</v>
      </c>
      <c r="S262" t="s">
        <v>1230</v>
      </c>
      <c r="T262">
        <v>3</v>
      </c>
    </row>
    <row r="263" spans="1:20" x14ac:dyDescent="0.3">
      <c r="A263" t="s">
        <v>275</v>
      </c>
      <c r="B263" t="s">
        <v>276</v>
      </c>
      <c r="C263">
        <v>5037</v>
      </c>
      <c r="D263">
        <v>1062</v>
      </c>
      <c r="E263">
        <v>1503</v>
      </c>
      <c r="F263">
        <v>42.56</v>
      </c>
      <c r="G263">
        <v>60545</v>
      </c>
      <c r="H263">
        <v>56487</v>
      </c>
      <c r="I263">
        <v>4.71</v>
      </c>
      <c r="J263" t="s">
        <v>42</v>
      </c>
      <c r="K263" t="s">
        <v>1415</v>
      </c>
      <c r="L263" s="25">
        <v>0.17978009259259259</v>
      </c>
      <c r="M263">
        <v>0.42560000000000003</v>
      </c>
      <c r="N263">
        <v>4.7100000000000003E-2</v>
      </c>
      <c r="O263">
        <v>7602</v>
      </c>
      <c r="P263">
        <v>0.13457963779276647</v>
      </c>
      <c r="Q263" t="s">
        <v>1238</v>
      </c>
      <c r="R263" t="s">
        <v>1239</v>
      </c>
      <c r="S263" t="s">
        <v>1231</v>
      </c>
      <c r="T263">
        <v>3</v>
      </c>
    </row>
    <row r="264" spans="1:20" x14ac:dyDescent="0.3">
      <c r="A264" t="s">
        <v>275</v>
      </c>
      <c r="B264" t="s">
        <v>276</v>
      </c>
      <c r="C264">
        <v>5037</v>
      </c>
      <c r="D264">
        <v>1062</v>
      </c>
      <c r="E264">
        <v>1503</v>
      </c>
      <c r="F264">
        <v>42.56</v>
      </c>
      <c r="G264">
        <v>60545</v>
      </c>
      <c r="H264">
        <v>56487</v>
      </c>
      <c r="I264">
        <v>4.71</v>
      </c>
      <c r="J264" t="s">
        <v>42</v>
      </c>
      <c r="K264" t="s">
        <v>1472</v>
      </c>
      <c r="L264" s="25">
        <v>0.17978009259259259</v>
      </c>
      <c r="M264">
        <v>0.42560000000000003</v>
      </c>
      <c r="N264">
        <v>4.7100000000000003E-2</v>
      </c>
      <c r="O264">
        <v>7602</v>
      </c>
      <c r="P264">
        <v>0.13457963779276647</v>
      </c>
      <c r="Q264" t="s">
        <v>1238</v>
      </c>
      <c r="R264" t="s">
        <v>1239</v>
      </c>
      <c r="S264" t="s">
        <v>1231</v>
      </c>
      <c r="T264">
        <v>3</v>
      </c>
    </row>
    <row r="265" spans="1:20" x14ac:dyDescent="0.3">
      <c r="A265" t="s">
        <v>275</v>
      </c>
      <c r="B265" t="s">
        <v>276</v>
      </c>
      <c r="C265">
        <v>5037</v>
      </c>
      <c r="D265">
        <v>1062</v>
      </c>
      <c r="E265">
        <v>1503</v>
      </c>
      <c r="F265">
        <v>42.56</v>
      </c>
      <c r="G265">
        <v>60545</v>
      </c>
      <c r="H265">
        <v>56487</v>
      </c>
      <c r="I265">
        <v>4.71</v>
      </c>
      <c r="J265" t="s">
        <v>42</v>
      </c>
      <c r="K265" t="s">
        <v>1444</v>
      </c>
      <c r="L265" s="25">
        <v>0.17978009259259259</v>
      </c>
      <c r="M265">
        <v>0.42560000000000003</v>
      </c>
      <c r="N265">
        <v>4.7100000000000003E-2</v>
      </c>
      <c r="O265">
        <v>7602</v>
      </c>
      <c r="P265">
        <v>0.13457963779276647</v>
      </c>
      <c r="Q265" t="s">
        <v>1238</v>
      </c>
      <c r="R265" t="s">
        <v>1239</v>
      </c>
      <c r="S265" t="s">
        <v>1231</v>
      </c>
      <c r="T265">
        <v>3</v>
      </c>
    </row>
    <row r="266" spans="1:20" x14ac:dyDescent="0.3">
      <c r="A266" t="s">
        <v>278</v>
      </c>
      <c r="B266" t="s">
        <v>279</v>
      </c>
      <c r="C266">
        <v>7103</v>
      </c>
      <c r="D266">
        <v>2117</v>
      </c>
      <c r="E266">
        <v>722</v>
      </c>
      <c r="F266">
        <v>46.58</v>
      </c>
      <c r="G266">
        <v>67168</v>
      </c>
      <c r="H266">
        <v>129</v>
      </c>
      <c r="I266">
        <v>5.33</v>
      </c>
      <c r="J266" t="s">
        <v>12</v>
      </c>
      <c r="K266" t="s">
        <v>1473</v>
      </c>
      <c r="L266" s="25">
        <v>1.4490740740740742E-2</v>
      </c>
      <c r="M266">
        <v>0.46579999999999999</v>
      </c>
      <c r="N266">
        <v>5.33E-2</v>
      </c>
      <c r="O266">
        <v>9942</v>
      </c>
      <c r="P266">
        <v>1</v>
      </c>
      <c r="Q266" t="s">
        <v>1238</v>
      </c>
      <c r="R266" t="s">
        <v>1239</v>
      </c>
      <c r="S266" t="s">
        <v>1231</v>
      </c>
      <c r="T266">
        <v>3</v>
      </c>
    </row>
    <row r="267" spans="1:20" x14ac:dyDescent="0.3">
      <c r="A267" t="s">
        <v>278</v>
      </c>
      <c r="B267" t="s">
        <v>279</v>
      </c>
      <c r="C267">
        <v>7103</v>
      </c>
      <c r="D267">
        <v>2117</v>
      </c>
      <c r="E267">
        <v>722</v>
      </c>
      <c r="F267">
        <v>46.58</v>
      </c>
      <c r="G267">
        <v>67168</v>
      </c>
      <c r="H267">
        <v>129</v>
      </c>
      <c r="I267">
        <v>5.33</v>
      </c>
      <c r="J267" t="s">
        <v>12</v>
      </c>
      <c r="K267" t="s">
        <v>1474</v>
      </c>
      <c r="L267" s="25">
        <v>1.4490740740740742E-2</v>
      </c>
      <c r="M267">
        <v>0.46579999999999999</v>
      </c>
      <c r="N267">
        <v>5.33E-2</v>
      </c>
      <c r="O267">
        <v>9942</v>
      </c>
      <c r="P267">
        <v>1</v>
      </c>
      <c r="Q267" t="s">
        <v>1238</v>
      </c>
      <c r="R267" t="s">
        <v>1239</v>
      </c>
      <c r="S267" t="s">
        <v>1231</v>
      </c>
      <c r="T267">
        <v>3</v>
      </c>
    </row>
    <row r="268" spans="1:20" x14ac:dyDescent="0.3">
      <c r="A268" t="s">
        <v>278</v>
      </c>
      <c r="B268" t="s">
        <v>279</v>
      </c>
      <c r="C268">
        <v>7103</v>
      </c>
      <c r="D268">
        <v>2117</v>
      </c>
      <c r="E268">
        <v>722</v>
      </c>
      <c r="F268">
        <v>46.58</v>
      </c>
      <c r="G268">
        <v>67168</v>
      </c>
      <c r="H268">
        <v>129</v>
      </c>
      <c r="I268">
        <v>5.33</v>
      </c>
      <c r="J268" t="s">
        <v>12</v>
      </c>
      <c r="K268" t="s">
        <v>1475</v>
      </c>
      <c r="L268" s="25">
        <v>1.4490740740740742E-2</v>
      </c>
      <c r="M268">
        <v>0.46579999999999999</v>
      </c>
      <c r="N268">
        <v>5.33E-2</v>
      </c>
      <c r="O268">
        <v>9942</v>
      </c>
      <c r="P268">
        <v>1</v>
      </c>
      <c r="Q268" t="s">
        <v>1238</v>
      </c>
      <c r="R268" t="s">
        <v>1239</v>
      </c>
      <c r="S268" t="s">
        <v>1231</v>
      </c>
      <c r="T268">
        <v>3</v>
      </c>
    </row>
    <row r="269" spans="1:20" x14ac:dyDescent="0.3">
      <c r="A269" t="s">
        <v>281</v>
      </c>
      <c r="B269" t="s">
        <v>282</v>
      </c>
      <c r="C269">
        <v>6656</v>
      </c>
      <c r="D269">
        <v>4230</v>
      </c>
      <c r="E269">
        <v>1568</v>
      </c>
      <c r="F269">
        <v>3.49</v>
      </c>
      <c r="G269">
        <v>58449</v>
      </c>
      <c r="H269">
        <v>22641</v>
      </c>
      <c r="I269">
        <v>7.45</v>
      </c>
      <c r="J269" t="s">
        <v>16</v>
      </c>
      <c r="K269" t="s">
        <v>1284</v>
      </c>
      <c r="L269" s="25">
        <v>0.3309375</v>
      </c>
      <c r="M269">
        <v>3.49E-2</v>
      </c>
      <c r="N269">
        <v>7.4499999999999997E-2</v>
      </c>
      <c r="O269">
        <v>12454</v>
      </c>
      <c r="P269">
        <v>0.55006404310763657</v>
      </c>
      <c r="Q269" t="s">
        <v>1238</v>
      </c>
      <c r="R269" t="s">
        <v>1239</v>
      </c>
      <c r="S269" t="s">
        <v>1231</v>
      </c>
      <c r="T269">
        <v>3</v>
      </c>
    </row>
    <row r="270" spans="1:20" x14ac:dyDescent="0.3">
      <c r="A270" t="s">
        <v>281</v>
      </c>
      <c r="B270" t="s">
        <v>282</v>
      </c>
      <c r="C270">
        <v>6656</v>
      </c>
      <c r="D270">
        <v>4230</v>
      </c>
      <c r="E270">
        <v>1568</v>
      </c>
      <c r="F270">
        <v>3.49</v>
      </c>
      <c r="G270">
        <v>58449</v>
      </c>
      <c r="H270">
        <v>22641</v>
      </c>
      <c r="I270">
        <v>7.45</v>
      </c>
      <c r="J270" t="s">
        <v>16</v>
      </c>
      <c r="K270" t="s">
        <v>1476</v>
      </c>
      <c r="L270" s="25">
        <v>0.3309375</v>
      </c>
      <c r="M270">
        <v>3.49E-2</v>
      </c>
      <c r="N270">
        <v>7.4499999999999997E-2</v>
      </c>
      <c r="O270">
        <v>12454</v>
      </c>
      <c r="P270">
        <v>0.55006404310763657</v>
      </c>
      <c r="Q270" t="s">
        <v>1238</v>
      </c>
      <c r="R270" t="s">
        <v>1239</v>
      </c>
      <c r="S270" t="s">
        <v>1231</v>
      </c>
      <c r="T270">
        <v>3</v>
      </c>
    </row>
    <row r="271" spans="1:20" x14ac:dyDescent="0.3">
      <c r="A271" t="s">
        <v>281</v>
      </c>
      <c r="B271" t="s">
        <v>282</v>
      </c>
      <c r="C271">
        <v>6656</v>
      </c>
      <c r="D271">
        <v>4230</v>
      </c>
      <c r="E271">
        <v>1568</v>
      </c>
      <c r="F271">
        <v>3.49</v>
      </c>
      <c r="G271">
        <v>58449</v>
      </c>
      <c r="H271">
        <v>22641</v>
      </c>
      <c r="I271">
        <v>7.45</v>
      </c>
      <c r="J271" t="s">
        <v>16</v>
      </c>
      <c r="K271" t="s">
        <v>1456</v>
      </c>
      <c r="L271" s="25">
        <v>0.3309375</v>
      </c>
      <c r="M271">
        <v>3.49E-2</v>
      </c>
      <c r="N271">
        <v>7.4499999999999997E-2</v>
      </c>
      <c r="O271">
        <v>12454</v>
      </c>
      <c r="P271">
        <v>0.55006404310763657</v>
      </c>
      <c r="Q271" t="s">
        <v>1238</v>
      </c>
      <c r="R271" t="s">
        <v>1239</v>
      </c>
      <c r="S271" t="s">
        <v>1231</v>
      </c>
      <c r="T271">
        <v>3</v>
      </c>
    </row>
    <row r="272" spans="1:20" x14ac:dyDescent="0.3">
      <c r="A272" t="s">
        <v>284</v>
      </c>
      <c r="B272" t="s">
        <v>285</v>
      </c>
      <c r="C272">
        <v>7774</v>
      </c>
      <c r="D272">
        <v>3054</v>
      </c>
      <c r="E272">
        <v>1911</v>
      </c>
      <c r="F272">
        <v>58.15</v>
      </c>
      <c r="G272">
        <v>30927</v>
      </c>
      <c r="H272">
        <v>10061</v>
      </c>
      <c r="I272">
        <v>5.8</v>
      </c>
      <c r="J272" t="s">
        <v>16</v>
      </c>
      <c r="K272" t="s">
        <v>1477</v>
      </c>
      <c r="L272" s="25">
        <v>0.69351851851851853</v>
      </c>
      <c r="M272">
        <v>0.58150000000000002</v>
      </c>
      <c r="N272">
        <v>5.7999999999999996E-2</v>
      </c>
      <c r="O272">
        <v>12739</v>
      </c>
      <c r="P272">
        <v>1</v>
      </c>
      <c r="Q272" t="s">
        <v>1238</v>
      </c>
      <c r="R272" t="s">
        <v>1239</v>
      </c>
      <c r="S272" t="s">
        <v>1230</v>
      </c>
      <c r="T272">
        <v>3</v>
      </c>
    </row>
    <row r="273" spans="1:20" x14ac:dyDescent="0.3">
      <c r="A273" t="s">
        <v>284</v>
      </c>
      <c r="B273" t="s">
        <v>285</v>
      </c>
      <c r="C273">
        <v>7774</v>
      </c>
      <c r="D273">
        <v>3054</v>
      </c>
      <c r="E273">
        <v>1911</v>
      </c>
      <c r="F273">
        <v>58.15</v>
      </c>
      <c r="G273">
        <v>30927</v>
      </c>
      <c r="H273">
        <v>10061</v>
      </c>
      <c r="I273">
        <v>5.8</v>
      </c>
      <c r="J273" t="s">
        <v>16</v>
      </c>
      <c r="K273" t="s">
        <v>1478</v>
      </c>
      <c r="L273" s="25">
        <v>0.69351851851851853</v>
      </c>
      <c r="M273">
        <v>0.58150000000000002</v>
      </c>
      <c r="N273">
        <v>5.7999999999999996E-2</v>
      </c>
      <c r="O273">
        <v>12739</v>
      </c>
      <c r="P273">
        <v>1</v>
      </c>
      <c r="Q273" t="s">
        <v>1238</v>
      </c>
      <c r="R273" t="s">
        <v>1239</v>
      </c>
      <c r="S273" t="s">
        <v>1230</v>
      </c>
      <c r="T273">
        <v>3</v>
      </c>
    </row>
    <row r="274" spans="1:20" x14ac:dyDescent="0.3">
      <c r="A274" t="s">
        <v>284</v>
      </c>
      <c r="B274" t="s">
        <v>285</v>
      </c>
      <c r="C274">
        <v>7774</v>
      </c>
      <c r="D274">
        <v>3054</v>
      </c>
      <c r="E274">
        <v>1911</v>
      </c>
      <c r="F274">
        <v>58.15</v>
      </c>
      <c r="G274">
        <v>30927</v>
      </c>
      <c r="H274">
        <v>10061</v>
      </c>
      <c r="I274">
        <v>5.8</v>
      </c>
      <c r="J274" t="s">
        <v>16</v>
      </c>
      <c r="K274" t="s">
        <v>1479</v>
      </c>
      <c r="L274" s="25">
        <v>0.69351851851851853</v>
      </c>
      <c r="M274">
        <v>0.58150000000000002</v>
      </c>
      <c r="N274">
        <v>5.7999999999999996E-2</v>
      </c>
      <c r="O274">
        <v>12739</v>
      </c>
      <c r="P274">
        <v>1</v>
      </c>
      <c r="Q274" t="s">
        <v>1238</v>
      </c>
      <c r="R274" t="s">
        <v>1239</v>
      </c>
      <c r="S274" t="s">
        <v>1230</v>
      </c>
      <c r="T274">
        <v>3</v>
      </c>
    </row>
    <row r="275" spans="1:20" x14ac:dyDescent="0.3">
      <c r="A275" t="s">
        <v>287</v>
      </c>
      <c r="B275" t="s">
        <v>288</v>
      </c>
      <c r="C275">
        <v>2598</v>
      </c>
      <c r="D275">
        <v>2256</v>
      </c>
      <c r="E275">
        <v>173</v>
      </c>
      <c r="F275">
        <v>72.27</v>
      </c>
      <c r="G275">
        <v>22647</v>
      </c>
      <c r="H275">
        <v>73157</v>
      </c>
      <c r="I275">
        <v>3.9</v>
      </c>
      <c r="J275" t="s">
        <v>16</v>
      </c>
      <c r="K275" t="s">
        <v>1480</v>
      </c>
      <c r="L275" s="25">
        <v>0.48167824074074073</v>
      </c>
      <c r="M275">
        <v>0.72270000000000001</v>
      </c>
      <c r="N275">
        <v>3.9E-2</v>
      </c>
      <c r="O275">
        <v>5027</v>
      </c>
      <c r="P275">
        <v>6.8715228891288602E-2</v>
      </c>
      <c r="Q275" t="s">
        <v>1238</v>
      </c>
      <c r="R275" t="s">
        <v>1239</v>
      </c>
      <c r="S275" t="s">
        <v>1231</v>
      </c>
      <c r="T275">
        <v>3</v>
      </c>
    </row>
    <row r="276" spans="1:20" x14ac:dyDescent="0.3">
      <c r="A276" t="s">
        <v>287</v>
      </c>
      <c r="B276" t="s">
        <v>288</v>
      </c>
      <c r="C276">
        <v>2598</v>
      </c>
      <c r="D276">
        <v>2256</v>
      </c>
      <c r="E276">
        <v>173</v>
      </c>
      <c r="F276">
        <v>72.27</v>
      </c>
      <c r="G276">
        <v>22647</v>
      </c>
      <c r="H276">
        <v>73157</v>
      </c>
      <c r="I276">
        <v>3.9</v>
      </c>
      <c r="J276" t="s">
        <v>16</v>
      </c>
      <c r="K276" t="s">
        <v>1481</v>
      </c>
      <c r="L276" s="25">
        <v>0.48167824074074073</v>
      </c>
      <c r="M276">
        <v>0.72270000000000001</v>
      </c>
      <c r="N276">
        <v>3.9E-2</v>
      </c>
      <c r="O276">
        <v>5027</v>
      </c>
      <c r="P276">
        <v>6.8715228891288602E-2</v>
      </c>
      <c r="Q276" t="s">
        <v>1238</v>
      </c>
      <c r="R276" t="s">
        <v>1239</v>
      </c>
      <c r="S276" t="s">
        <v>1231</v>
      </c>
      <c r="T276">
        <v>3</v>
      </c>
    </row>
    <row r="277" spans="1:20" x14ac:dyDescent="0.3">
      <c r="A277" t="s">
        <v>287</v>
      </c>
      <c r="B277" t="s">
        <v>288</v>
      </c>
      <c r="C277">
        <v>2598</v>
      </c>
      <c r="D277">
        <v>2256</v>
      </c>
      <c r="E277">
        <v>173</v>
      </c>
      <c r="F277">
        <v>72.27</v>
      </c>
      <c r="G277">
        <v>22647</v>
      </c>
      <c r="H277">
        <v>73157</v>
      </c>
      <c r="I277">
        <v>3.9</v>
      </c>
      <c r="J277" t="s">
        <v>16</v>
      </c>
      <c r="K277" t="s">
        <v>1482</v>
      </c>
      <c r="L277" s="25">
        <v>0.48167824074074073</v>
      </c>
      <c r="M277">
        <v>0.72270000000000001</v>
      </c>
      <c r="N277">
        <v>3.9E-2</v>
      </c>
      <c r="O277">
        <v>5027</v>
      </c>
      <c r="P277">
        <v>6.8715228891288602E-2</v>
      </c>
      <c r="Q277" t="s">
        <v>1238</v>
      </c>
      <c r="R277" t="s">
        <v>1239</v>
      </c>
      <c r="S277" t="s">
        <v>1231</v>
      </c>
      <c r="T277">
        <v>3</v>
      </c>
    </row>
    <row r="278" spans="1:20" x14ac:dyDescent="0.3">
      <c r="A278" t="s">
        <v>290</v>
      </c>
      <c r="B278" t="s">
        <v>291</v>
      </c>
      <c r="C278">
        <v>6470</v>
      </c>
      <c r="D278">
        <v>1291</v>
      </c>
      <c r="E278">
        <v>504</v>
      </c>
      <c r="F278">
        <v>28.59</v>
      </c>
      <c r="G278">
        <v>77700</v>
      </c>
      <c r="H278">
        <v>78884</v>
      </c>
      <c r="I278">
        <v>8.2100000000000009</v>
      </c>
      <c r="J278" t="s">
        <v>16</v>
      </c>
      <c r="K278" t="s">
        <v>1483</v>
      </c>
      <c r="L278" s="25">
        <v>0.3376851851851852</v>
      </c>
      <c r="M278">
        <v>0.28589999999999999</v>
      </c>
      <c r="N278">
        <v>8.2100000000000006E-2</v>
      </c>
      <c r="O278">
        <v>8265</v>
      </c>
      <c r="P278">
        <v>0.1047740986765377</v>
      </c>
      <c r="Q278" t="s">
        <v>1238</v>
      </c>
      <c r="R278" t="s">
        <v>1239</v>
      </c>
      <c r="S278" t="s">
        <v>1231</v>
      </c>
      <c r="T278">
        <v>3</v>
      </c>
    </row>
    <row r="279" spans="1:20" x14ac:dyDescent="0.3">
      <c r="A279" t="s">
        <v>290</v>
      </c>
      <c r="B279" t="s">
        <v>291</v>
      </c>
      <c r="C279">
        <v>6470</v>
      </c>
      <c r="D279">
        <v>1291</v>
      </c>
      <c r="E279">
        <v>504</v>
      </c>
      <c r="F279">
        <v>28.59</v>
      </c>
      <c r="G279">
        <v>77700</v>
      </c>
      <c r="H279">
        <v>78884</v>
      </c>
      <c r="I279">
        <v>8.2100000000000009</v>
      </c>
      <c r="J279" t="s">
        <v>16</v>
      </c>
      <c r="K279" t="s">
        <v>1484</v>
      </c>
      <c r="L279" s="25">
        <v>0.3376851851851852</v>
      </c>
      <c r="M279">
        <v>0.28589999999999999</v>
      </c>
      <c r="N279">
        <v>8.2100000000000006E-2</v>
      </c>
      <c r="O279">
        <v>8265</v>
      </c>
      <c r="P279">
        <v>0.1047740986765377</v>
      </c>
      <c r="Q279" t="s">
        <v>1238</v>
      </c>
      <c r="R279" t="s">
        <v>1239</v>
      </c>
      <c r="S279" t="s">
        <v>1231</v>
      </c>
      <c r="T279">
        <v>3</v>
      </c>
    </row>
    <row r="280" spans="1:20" x14ac:dyDescent="0.3">
      <c r="A280" t="s">
        <v>290</v>
      </c>
      <c r="B280" t="s">
        <v>291</v>
      </c>
      <c r="C280">
        <v>6470</v>
      </c>
      <c r="D280">
        <v>1291</v>
      </c>
      <c r="E280">
        <v>504</v>
      </c>
      <c r="F280">
        <v>28.59</v>
      </c>
      <c r="G280">
        <v>77700</v>
      </c>
      <c r="H280">
        <v>78884</v>
      </c>
      <c r="I280">
        <v>8.2100000000000009</v>
      </c>
      <c r="J280" t="s">
        <v>16</v>
      </c>
      <c r="K280" t="s">
        <v>1359</v>
      </c>
      <c r="L280" s="25">
        <v>0.3376851851851852</v>
      </c>
      <c r="M280">
        <v>0.28589999999999999</v>
      </c>
      <c r="N280">
        <v>8.2100000000000006E-2</v>
      </c>
      <c r="O280">
        <v>8265</v>
      </c>
      <c r="P280">
        <v>0.1047740986765377</v>
      </c>
      <c r="Q280" t="s">
        <v>1238</v>
      </c>
      <c r="R280" t="s">
        <v>1239</v>
      </c>
      <c r="S280" t="s">
        <v>1231</v>
      </c>
      <c r="T280">
        <v>3</v>
      </c>
    </row>
    <row r="281" spans="1:20" x14ac:dyDescent="0.3">
      <c r="A281" t="s">
        <v>293</v>
      </c>
      <c r="B281" t="s">
        <v>294</v>
      </c>
      <c r="C281">
        <v>4435</v>
      </c>
      <c r="D281">
        <v>2890</v>
      </c>
      <c r="E281">
        <v>1787</v>
      </c>
      <c r="F281">
        <v>20.11</v>
      </c>
      <c r="G281">
        <v>15038</v>
      </c>
      <c r="H281">
        <v>78322</v>
      </c>
      <c r="I281">
        <v>1.01</v>
      </c>
      <c r="J281" t="s">
        <v>42</v>
      </c>
      <c r="K281" t="s">
        <v>1347</v>
      </c>
      <c r="L281" s="25">
        <v>0.42943287037037037</v>
      </c>
      <c r="M281">
        <v>0.2011</v>
      </c>
      <c r="N281">
        <v>1.01E-2</v>
      </c>
      <c r="O281">
        <v>9112</v>
      </c>
      <c r="P281">
        <v>0.11634023645974312</v>
      </c>
      <c r="Q281" t="s">
        <v>1238</v>
      </c>
      <c r="R281" t="s">
        <v>1239</v>
      </c>
      <c r="S281" t="s">
        <v>1231</v>
      </c>
      <c r="T281">
        <v>3</v>
      </c>
    </row>
    <row r="282" spans="1:20" x14ac:dyDescent="0.3">
      <c r="A282" t="s">
        <v>293</v>
      </c>
      <c r="B282" t="s">
        <v>294</v>
      </c>
      <c r="C282">
        <v>4435</v>
      </c>
      <c r="D282">
        <v>2890</v>
      </c>
      <c r="E282">
        <v>1787</v>
      </c>
      <c r="F282">
        <v>20.11</v>
      </c>
      <c r="G282">
        <v>15038</v>
      </c>
      <c r="H282">
        <v>78322</v>
      </c>
      <c r="I282">
        <v>1.01</v>
      </c>
      <c r="J282" t="s">
        <v>42</v>
      </c>
      <c r="K282" t="s">
        <v>1485</v>
      </c>
      <c r="L282" s="25">
        <v>0.42943287037037037</v>
      </c>
      <c r="M282">
        <v>0.2011</v>
      </c>
      <c r="N282">
        <v>1.01E-2</v>
      </c>
      <c r="O282">
        <v>9112</v>
      </c>
      <c r="P282">
        <v>0.11634023645974312</v>
      </c>
      <c r="Q282" t="s">
        <v>1238</v>
      </c>
      <c r="R282" t="s">
        <v>1239</v>
      </c>
      <c r="S282" t="s">
        <v>1231</v>
      </c>
      <c r="T282">
        <v>3</v>
      </c>
    </row>
    <row r="283" spans="1:20" x14ac:dyDescent="0.3">
      <c r="A283" t="s">
        <v>293</v>
      </c>
      <c r="B283" t="s">
        <v>294</v>
      </c>
      <c r="C283">
        <v>4435</v>
      </c>
      <c r="D283">
        <v>2890</v>
      </c>
      <c r="E283">
        <v>1787</v>
      </c>
      <c r="F283">
        <v>20.11</v>
      </c>
      <c r="G283">
        <v>15038</v>
      </c>
      <c r="H283">
        <v>78322</v>
      </c>
      <c r="I283">
        <v>1.01</v>
      </c>
      <c r="J283" t="s">
        <v>42</v>
      </c>
      <c r="K283" t="s">
        <v>1320</v>
      </c>
      <c r="L283" s="25">
        <v>0.42943287037037037</v>
      </c>
      <c r="M283">
        <v>0.2011</v>
      </c>
      <c r="N283">
        <v>1.01E-2</v>
      </c>
      <c r="O283">
        <v>9112</v>
      </c>
      <c r="P283">
        <v>0.11634023645974312</v>
      </c>
      <c r="Q283" t="s">
        <v>1238</v>
      </c>
      <c r="R283" t="s">
        <v>1239</v>
      </c>
      <c r="S283" t="s">
        <v>1231</v>
      </c>
      <c r="T283">
        <v>3</v>
      </c>
    </row>
    <row r="284" spans="1:20" x14ac:dyDescent="0.3">
      <c r="A284" t="s">
        <v>296</v>
      </c>
      <c r="B284" t="s">
        <v>297</v>
      </c>
      <c r="C284">
        <v>3919</v>
      </c>
      <c r="D284">
        <v>2352</v>
      </c>
      <c r="E284">
        <v>386</v>
      </c>
      <c r="F284">
        <v>19.28</v>
      </c>
      <c r="G284">
        <v>95721</v>
      </c>
      <c r="H284">
        <v>54682</v>
      </c>
      <c r="I284">
        <v>8.9</v>
      </c>
      <c r="J284" t="s">
        <v>12</v>
      </c>
      <c r="K284" t="s">
        <v>1486</v>
      </c>
      <c r="L284" s="25">
        <v>0.34866898148148145</v>
      </c>
      <c r="M284">
        <v>0.1928</v>
      </c>
      <c r="N284">
        <v>8.900000000000001E-2</v>
      </c>
      <c r="O284">
        <v>6657</v>
      </c>
      <c r="P284">
        <v>0.1217402435902125</v>
      </c>
      <c r="Q284" t="s">
        <v>1238</v>
      </c>
      <c r="R284" t="s">
        <v>1239</v>
      </c>
      <c r="S284" t="s">
        <v>1231</v>
      </c>
      <c r="T284">
        <v>3</v>
      </c>
    </row>
    <row r="285" spans="1:20" x14ac:dyDescent="0.3">
      <c r="A285" t="s">
        <v>296</v>
      </c>
      <c r="B285" t="s">
        <v>297</v>
      </c>
      <c r="C285">
        <v>3919</v>
      </c>
      <c r="D285">
        <v>2352</v>
      </c>
      <c r="E285">
        <v>386</v>
      </c>
      <c r="F285">
        <v>19.28</v>
      </c>
      <c r="G285">
        <v>95721</v>
      </c>
      <c r="H285">
        <v>54682</v>
      </c>
      <c r="I285">
        <v>8.9</v>
      </c>
      <c r="J285" t="s">
        <v>12</v>
      </c>
      <c r="K285" t="s">
        <v>1487</v>
      </c>
      <c r="L285" s="25">
        <v>0.34866898148148145</v>
      </c>
      <c r="M285">
        <v>0.1928</v>
      </c>
      <c r="N285">
        <v>8.900000000000001E-2</v>
      </c>
      <c r="O285">
        <v>6657</v>
      </c>
      <c r="P285">
        <v>0.1217402435902125</v>
      </c>
      <c r="Q285" t="s">
        <v>1238</v>
      </c>
      <c r="R285" t="s">
        <v>1239</v>
      </c>
      <c r="S285" t="s">
        <v>1231</v>
      </c>
      <c r="T285">
        <v>3</v>
      </c>
    </row>
    <row r="286" spans="1:20" x14ac:dyDescent="0.3">
      <c r="A286" t="s">
        <v>296</v>
      </c>
      <c r="B286" t="s">
        <v>297</v>
      </c>
      <c r="C286">
        <v>3919</v>
      </c>
      <c r="D286">
        <v>2352</v>
      </c>
      <c r="E286">
        <v>386</v>
      </c>
      <c r="F286">
        <v>19.28</v>
      </c>
      <c r="G286">
        <v>95721</v>
      </c>
      <c r="H286">
        <v>54682</v>
      </c>
      <c r="I286">
        <v>8.9</v>
      </c>
      <c r="J286" t="s">
        <v>12</v>
      </c>
      <c r="K286" t="s">
        <v>1456</v>
      </c>
      <c r="L286" s="25">
        <v>0.34866898148148145</v>
      </c>
      <c r="M286">
        <v>0.1928</v>
      </c>
      <c r="N286">
        <v>8.900000000000001E-2</v>
      </c>
      <c r="O286">
        <v>6657</v>
      </c>
      <c r="P286">
        <v>0.1217402435902125</v>
      </c>
      <c r="Q286" t="s">
        <v>1238</v>
      </c>
      <c r="R286" t="s">
        <v>1239</v>
      </c>
      <c r="S286" t="s">
        <v>1231</v>
      </c>
      <c r="T286">
        <v>3</v>
      </c>
    </row>
    <row r="287" spans="1:20" x14ac:dyDescent="0.3">
      <c r="A287" t="s">
        <v>299</v>
      </c>
      <c r="B287" t="s">
        <v>300</v>
      </c>
      <c r="C287">
        <v>4743</v>
      </c>
      <c r="D287">
        <v>3938</v>
      </c>
      <c r="E287">
        <v>644</v>
      </c>
      <c r="F287">
        <v>39.96</v>
      </c>
      <c r="G287">
        <v>8930</v>
      </c>
      <c r="H287">
        <v>16454</v>
      </c>
      <c r="I287">
        <v>5.89</v>
      </c>
      <c r="J287" t="s">
        <v>16</v>
      </c>
      <c r="K287" t="s">
        <v>1488</v>
      </c>
      <c r="L287" s="25">
        <v>0.24822916666666667</v>
      </c>
      <c r="M287">
        <v>0.39960000000000001</v>
      </c>
      <c r="N287">
        <v>5.8899999999999994E-2</v>
      </c>
      <c r="O287">
        <v>9325</v>
      </c>
      <c r="P287">
        <v>0.56673149386167498</v>
      </c>
      <c r="Q287" t="s">
        <v>1238</v>
      </c>
      <c r="R287" t="s">
        <v>1239</v>
      </c>
      <c r="S287" t="s">
        <v>1231</v>
      </c>
      <c r="T287">
        <v>3</v>
      </c>
    </row>
    <row r="288" spans="1:20" x14ac:dyDescent="0.3">
      <c r="A288" t="s">
        <v>299</v>
      </c>
      <c r="B288" t="s">
        <v>300</v>
      </c>
      <c r="C288">
        <v>4743</v>
      </c>
      <c r="D288">
        <v>3938</v>
      </c>
      <c r="E288">
        <v>644</v>
      </c>
      <c r="F288">
        <v>39.96</v>
      </c>
      <c r="G288">
        <v>8930</v>
      </c>
      <c r="H288">
        <v>16454</v>
      </c>
      <c r="I288">
        <v>5.89</v>
      </c>
      <c r="J288" t="s">
        <v>16</v>
      </c>
      <c r="K288" t="s">
        <v>1489</v>
      </c>
      <c r="L288" s="25">
        <v>0.24822916666666667</v>
      </c>
      <c r="M288">
        <v>0.39960000000000001</v>
      </c>
      <c r="N288">
        <v>5.8899999999999994E-2</v>
      </c>
      <c r="O288">
        <v>9325</v>
      </c>
      <c r="P288">
        <v>0.56673149386167498</v>
      </c>
      <c r="Q288" t="s">
        <v>1238</v>
      </c>
      <c r="R288" t="s">
        <v>1239</v>
      </c>
      <c r="S288" t="s">
        <v>1231</v>
      </c>
      <c r="T288">
        <v>3</v>
      </c>
    </row>
    <row r="289" spans="1:20" x14ac:dyDescent="0.3">
      <c r="A289" t="s">
        <v>299</v>
      </c>
      <c r="B289" t="s">
        <v>300</v>
      </c>
      <c r="C289">
        <v>4743</v>
      </c>
      <c r="D289">
        <v>3938</v>
      </c>
      <c r="E289">
        <v>644</v>
      </c>
      <c r="F289">
        <v>39.96</v>
      </c>
      <c r="G289">
        <v>8930</v>
      </c>
      <c r="H289">
        <v>16454</v>
      </c>
      <c r="I289">
        <v>5.89</v>
      </c>
      <c r="J289" t="s">
        <v>16</v>
      </c>
      <c r="K289" t="s">
        <v>1490</v>
      </c>
      <c r="L289" s="25">
        <v>0.24822916666666667</v>
      </c>
      <c r="M289">
        <v>0.39960000000000001</v>
      </c>
      <c r="N289">
        <v>5.8899999999999994E-2</v>
      </c>
      <c r="O289">
        <v>9325</v>
      </c>
      <c r="P289">
        <v>0.56673149386167498</v>
      </c>
      <c r="Q289" t="s">
        <v>1238</v>
      </c>
      <c r="R289" t="s">
        <v>1239</v>
      </c>
      <c r="S289" t="s">
        <v>1231</v>
      </c>
      <c r="T289">
        <v>3</v>
      </c>
    </row>
    <row r="290" spans="1:20" x14ac:dyDescent="0.3">
      <c r="A290" t="s">
        <v>302</v>
      </c>
      <c r="B290" t="s">
        <v>303</v>
      </c>
      <c r="C290">
        <v>390</v>
      </c>
      <c r="D290">
        <v>4436</v>
      </c>
      <c r="E290">
        <v>873</v>
      </c>
      <c r="F290">
        <v>47.94</v>
      </c>
      <c r="G290">
        <v>94020</v>
      </c>
      <c r="H290">
        <v>99250</v>
      </c>
      <c r="I290">
        <v>5.34</v>
      </c>
      <c r="J290" t="s">
        <v>42</v>
      </c>
      <c r="K290" t="s">
        <v>1491</v>
      </c>
      <c r="L290" s="25">
        <v>1.892361111111111E-2</v>
      </c>
      <c r="M290">
        <v>0.47939999999999999</v>
      </c>
      <c r="N290">
        <v>5.3399999999999996E-2</v>
      </c>
      <c r="O290">
        <v>5699</v>
      </c>
      <c r="P290">
        <v>5.7420654911838793E-2</v>
      </c>
      <c r="Q290" t="s">
        <v>1238</v>
      </c>
      <c r="R290" t="s">
        <v>1239</v>
      </c>
      <c r="S290" t="s">
        <v>1231</v>
      </c>
      <c r="T290">
        <v>3</v>
      </c>
    </row>
    <row r="291" spans="1:20" x14ac:dyDescent="0.3">
      <c r="A291" t="s">
        <v>302</v>
      </c>
      <c r="B291" t="s">
        <v>303</v>
      </c>
      <c r="C291">
        <v>390</v>
      </c>
      <c r="D291">
        <v>4436</v>
      </c>
      <c r="E291">
        <v>873</v>
      </c>
      <c r="F291">
        <v>47.94</v>
      </c>
      <c r="G291">
        <v>94020</v>
      </c>
      <c r="H291">
        <v>99250</v>
      </c>
      <c r="I291">
        <v>5.34</v>
      </c>
      <c r="J291" t="s">
        <v>42</v>
      </c>
      <c r="K291" t="s">
        <v>1352</v>
      </c>
      <c r="L291" s="25">
        <v>1.892361111111111E-2</v>
      </c>
      <c r="M291">
        <v>0.47939999999999999</v>
      </c>
      <c r="N291">
        <v>5.3399999999999996E-2</v>
      </c>
      <c r="O291">
        <v>5699</v>
      </c>
      <c r="P291">
        <v>5.7420654911838793E-2</v>
      </c>
      <c r="Q291" t="s">
        <v>1238</v>
      </c>
      <c r="R291" t="s">
        <v>1239</v>
      </c>
      <c r="S291" t="s">
        <v>1231</v>
      </c>
      <c r="T291">
        <v>3</v>
      </c>
    </row>
    <row r="292" spans="1:20" x14ac:dyDescent="0.3">
      <c r="A292" t="s">
        <v>302</v>
      </c>
      <c r="B292" t="s">
        <v>303</v>
      </c>
      <c r="C292">
        <v>390</v>
      </c>
      <c r="D292">
        <v>4436</v>
      </c>
      <c r="E292">
        <v>873</v>
      </c>
      <c r="F292">
        <v>47.94</v>
      </c>
      <c r="G292">
        <v>94020</v>
      </c>
      <c r="H292">
        <v>99250</v>
      </c>
      <c r="I292">
        <v>5.34</v>
      </c>
      <c r="J292" t="s">
        <v>42</v>
      </c>
      <c r="K292" t="s">
        <v>1285</v>
      </c>
      <c r="L292" s="25">
        <v>1.892361111111111E-2</v>
      </c>
      <c r="M292">
        <v>0.47939999999999999</v>
      </c>
      <c r="N292">
        <v>5.3399999999999996E-2</v>
      </c>
      <c r="O292">
        <v>5699</v>
      </c>
      <c r="P292">
        <v>5.7420654911838793E-2</v>
      </c>
      <c r="Q292" t="s">
        <v>1238</v>
      </c>
      <c r="R292" t="s">
        <v>1239</v>
      </c>
      <c r="S292" t="s">
        <v>1231</v>
      </c>
      <c r="T292">
        <v>3</v>
      </c>
    </row>
    <row r="293" spans="1:20" x14ac:dyDescent="0.3">
      <c r="A293" t="s">
        <v>305</v>
      </c>
      <c r="B293" t="s">
        <v>306</v>
      </c>
      <c r="C293">
        <v>9232</v>
      </c>
      <c r="D293">
        <v>3905</v>
      </c>
      <c r="E293">
        <v>1196</v>
      </c>
      <c r="F293">
        <v>78.66</v>
      </c>
      <c r="G293">
        <v>35909</v>
      </c>
      <c r="H293">
        <v>71586</v>
      </c>
      <c r="I293">
        <v>5.67</v>
      </c>
      <c r="J293" t="s">
        <v>12</v>
      </c>
      <c r="K293" t="s">
        <v>1492</v>
      </c>
      <c r="L293" s="25">
        <v>0.73579861111111111</v>
      </c>
      <c r="M293">
        <v>0.78659999999999997</v>
      </c>
      <c r="N293">
        <v>5.67E-2</v>
      </c>
      <c r="O293">
        <v>14333</v>
      </c>
      <c r="P293">
        <v>0.20022071354734167</v>
      </c>
      <c r="Q293" t="s">
        <v>1238</v>
      </c>
      <c r="R293" t="s">
        <v>1239</v>
      </c>
      <c r="S293" t="s">
        <v>1232</v>
      </c>
      <c r="T293">
        <v>3</v>
      </c>
    </row>
    <row r="294" spans="1:20" x14ac:dyDescent="0.3">
      <c r="A294" t="s">
        <v>305</v>
      </c>
      <c r="B294" t="s">
        <v>306</v>
      </c>
      <c r="C294">
        <v>9232</v>
      </c>
      <c r="D294">
        <v>3905</v>
      </c>
      <c r="E294">
        <v>1196</v>
      </c>
      <c r="F294">
        <v>78.66</v>
      </c>
      <c r="G294">
        <v>35909</v>
      </c>
      <c r="H294">
        <v>71586</v>
      </c>
      <c r="I294">
        <v>5.67</v>
      </c>
      <c r="J294" t="s">
        <v>12</v>
      </c>
      <c r="K294" t="s">
        <v>1493</v>
      </c>
      <c r="L294" s="25">
        <v>0.73579861111111111</v>
      </c>
      <c r="M294">
        <v>0.78659999999999997</v>
      </c>
      <c r="N294">
        <v>5.67E-2</v>
      </c>
      <c r="O294">
        <v>14333</v>
      </c>
      <c r="P294">
        <v>0.20022071354734167</v>
      </c>
      <c r="Q294" t="s">
        <v>1238</v>
      </c>
      <c r="R294" t="s">
        <v>1239</v>
      </c>
      <c r="S294" t="s">
        <v>1232</v>
      </c>
      <c r="T294">
        <v>3</v>
      </c>
    </row>
    <row r="295" spans="1:20" x14ac:dyDescent="0.3">
      <c r="A295" t="s">
        <v>305</v>
      </c>
      <c r="B295" t="s">
        <v>306</v>
      </c>
      <c r="C295">
        <v>9232</v>
      </c>
      <c r="D295">
        <v>3905</v>
      </c>
      <c r="E295">
        <v>1196</v>
      </c>
      <c r="F295">
        <v>78.66</v>
      </c>
      <c r="G295">
        <v>35909</v>
      </c>
      <c r="H295">
        <v>71586</v>
      </c>
      <c r="I295">
        <v>5.67</v>
      </c>
      <c r="J295" t="s">
        <v>12</v>
      </c>
      <c r="K295" t="s">
        <v>1494</v>
      </c>
      <c r="L295" s="25">
        <v>0.73579861111111111</v>
      </c>
      <c r="M295">
        <v>0.78659999999999997</v>
      </c>
      <c r="N295">
        <v>5.67E-2</v>
      </c>
      <c r="O295">
        <v>14333</v>
      </c>
      <c r="P295">
        <v>0.20022071354734167</v>
      </c>
      <c r="Q295" t="s">
        <v>1238</v>
      </c>
      <c r="R295" t="s">
        <v>1239</v>
      </c>
      <c r="S295" t="s">
        <v>1232</v>
      </c>
      <c r="T295">
        <v>3</v>
      </c>
    </row>
    <row r="296" spans="1:20" x14ac:dyDescent="0.3">
      <c r="A296" t="s">
        <v>308</v>
      </c>
      <c r="B296" t="s">
        <v>309</v>
      </c>
      <c r="C296">
        <v>2556</v>
      </c>
      <c r="D296">
        <v>2071</v>
      </c>
      <c r="E296">
        <v>1395</v>
      </c>
      <c r="F296">
        <v>63.53</v>
      </c>
      <c r="G296">
        <v>98007</v>
      </c>
      <c r="H296">
        <v>76384</v>
      </c>
      <c r="I296">
        <v>6.36</v>
      </c>
      <c r="J296" t="s">
        <v>42</v>
      </c>
      <c r="K296" t="s">
        <v>1495</v>
      </c>
      <c r="L296" s="25">
        <v>0.80231481481481481</v>
      </c>
      <c r="M296">
        <v>0.63529999999999998</v>
      </c>
      <c r="N296">
        <v>6.3600000000000004E-2</v>
      </c>
      <c r="O296">
        <v>6022</v>
      </c>
      <c r="P296">
        <v>7.8838500209467949E-2</v>
      </c>
      <c r="Q296" t="s">
        <v>1238</v>
      </c>
      <c r="R296" t="s">
        <v>1239</v>
      </c>
      <c r="S296" t="s">
        <v>1232</v>
      </c>
      <c r="T296">
        <v>3</v>
      </c>
    </row>
    <row r="297" spans="1:20" x14ac:dyDescent="0.3">
      <c r="A297" t="s">
        <v>308</v>
      </c>
      <c r="B297" t="s">
        <v>309</v>
      </c>
      <c r="C297">
        <v>2556</v>
      </c>
      <c r="D297">
        <v>2071</v>
      </c>
      <c r="E297">
        <v>1395</v>
      </c>
      <c r="F297">
        <v>63.53</v>
      </c>
      <c r="G297">
        <v>98007</v>
      </c>
      <c r="H297">
        <v>76384</v>
      </c>
      <c r="I297">
        <v>6.36</v>
      </c>
      <c r="J297" t="s">
        <v>42</v>
      </c>
      <c r="K297" t="s">
        <v>1496</v>
      </c>
      <c r="L297" s="25">
        <v>0.80231481481481481</v>
      </c>
      <c r="M297">
        <v>0.63529999999999998</v>
      </c>
      <c r="N297">
        <v>6.3600000000000004E-2</v>
      </c>
      <c r="O297">
        <v>6022</v>
      </c>
      <c r="P297">
        <v>7.8838500209467949E-2</v>
      </c>
      <c r="Q297" t="s">
        <v>1238</v>
      </c>
      <c r="R297" t="s">
        <v>1239</v>
      </c>
      <c r="S297" t="s">
        <v>1232</v>
      </c>
      <c r="T297">
        <v>3</v>
      </c>
    </row>
    <row r="298" spans="1:20" x14ac:dyDescent="0.3">
      <c r="A298" t="s">
        <v>308</v>
      </c>
      <c r="B298" t="s">
        <v>309</v>
      </c>
      <c r="C298">
        <v>2556</v>
      </c>
      <c r="D298">
        <v>2071</v>
      </c>
      <c r="E298">
        <v>1395</v>
      </c>
      <c r="F298">
        <v>63.53</v>
      </c>
      <c r="G298">
        <v>98007</v>
      </c>
      <c r="H298">
        <v>76384</v>
      </c>
      <c r="I298">
        <v>6.36</v>
      </c>
      <c r="J298" t="s">
        <v>42</v>
      </c>
      <c r="K298" t="s">
        <v>1397</v>
      </c>
      <c r="L298" s="25">
        <v>0.80231481481481481</v>
      </c>
      <c r="M298">
        <v>0.63529999999999998</v>
      </c>
      <c r="N298">
        <v>6.3600000000000004E-2</v>
      </c>
      <c r="O298">
        <v>6022</v>
      </c>
      <c r="P298">
        <v>7.8838500209467949E-2</v>
      </c>
      <c r="Q298" t="s">
        <v>1238</v>
      </c>
      <c r="R298" t="s">
        <v>1239</v>
      </c>
      <c r="S298" t="s">
        <v>1232</v>
      </c>
      <c r="T298">
        <v>3</v>
      </c>
    </row>
    <row r="299" spans="1:20" x14ac:dyDescent="0.3">
      <c r="A299" t="s">
        <v>311</v>
      </c>
      <c r="B299" t="s">
        <v>312</v>
      </c>
      <c r="C299">
        <v>8260</v>
      </c>
      <c r="D299">
        <v>4763</v>
      </c>
      <c r="E299">
        <v>272</v>
      </c>
      <c r="F299">
        <v>14.91</v>
      </c>
      <c r="G299">
        <v>11526</v>
      </c>
      <c r="H299">
        <v>43575</v>
      </c>
      <c r="I299">
        <v>0.63</v>
      </c>
      <c r="J299" t="s">
        <v>20</v>
      </c>
      <c r="K299" t="s">
        <v>1497</v>
      </c>
      <c r="L299" s="25">
        <v>0.45685185185185184</v>
      </c>
      <c r="M299">
        <v>0.14910000000000001</v>
      </c>
      <c r="N299">
        <v>6.3E-3</v>
      </c>
      <c r="O299">
        <v>13295</v>
      </c>
      <c r="P299">
        <v>0.30510613884107862</v>
      </c>
      <c r="Q299" t="s">
        <v>1238</v>
      </c>
      <c r="R299" t="s">
        <v>1239</v>
      </c>
      <c r="S299" t="s">
        <v>1231</v>
      </c>
      <c r="T299">
        <v>3</v>
      </c>
    </row>
    <row r="300" spans="1:20" x14ac:dyDescent="0.3">
      <c r="A300" t="s">
        <v>311</v>
      </c>
      <c r="B300" t="s">
        <v>312</v>
      </c>
      <c r="C300">
        <v>8260</v>
      </c>
      <c r="D300">
        <v>4763</v>
      </c>
      <c r="E300">
        <v>272</v>
      </c>
      <c r="F300">
        <v>14.91</v>
      </c>
      <c r="G300">
        <v>11526</v>
      </c>
      <c r="H300">
        <v>43575</v>
      </c>
      <c r="I300">
        <v>0.63</v>
      </c>
      <c r="J300" t="s">
        <v>20</v>
      </c>
      <c r="K300" t="s">
        <v>1498</v>
      </c>
      <c r="L300" s="25">
        <v>0.45685185185185184</v>
      </c>
      <c r="M300">
        <v>0.14910000000000001</v>
      </c>
      <c r="N300">
        <v>6.3E-3</v>
      </c>
      <c r="O300">
        <v>13295</v>
      </c>
      <c r="P300">
        <v>0.30510613884107862</v>
      </c>
      <c r="Q300" t="s">
        <v>1238</v>
      </c>
      <c r="R300" t="s">
        <v>1239</v>
      </c>
      <c r="S300" t="s">
        <v>1231</v>
      </c>
      <c r="T300">
        <v>3</v>
      </c>
    </row>
    <row r="301" spans="1:20" x14ac:dyDescent="0.3">
      <c r="A301" t="s">
        <v>311</v>
      </c>
      <c r="B301" t="s">
        <v>312</v>
      </c>
      <c r="C301">
        <v>8260</v>
      </c>
      <c r="D301">
        <v>4763</v>
      </c>
      <c r="E301">
        <v>272</v>
      </c>
      <c r="F301">
        <v>14.91</v>
      </c>
      <c r="G301">
        <v>11526</v>
      </c>
      <c r="H301">
        <v>43575</v>
      </c>
      <c r="I301">
        <v>0.63</v>
      </c>
      <c r="J301" t="s">
        <v>20</v>
      </c>
      <c r="K301" t="s">
        <v>1499</v>
      </c>
      <c r="L301" s="25">
        <v>0.45685185185185184</v>
      </c>
      <c r="M301">
        <v>0.14910000000000001</v>
      </c>
      <c r="N301">
        <v>6.3E-3</v>
      </c>
      <c r="O301">
        <v>13295</v>
      </c>
      <c r="P301">
        <v>0.30510613884107862</v>
      </c>
      <c r="Q301" t="s">
        <v>1238</v>
      </c>
      <c r="R301" t="s">
        <v>1239</v>
      </c>
      <c r="S301" t="s">
        <v>1231</v>
      </c>
      <c r="T301">
        <v>3</v>
      </c>
    </row>
    <row r="302" spans="1:20" x14ac:dyDescent="0.3">
      <c r="A302" t="s">
        <v>314</v>
      </c>
      <c r="B302" t="s">
        <v>315</v>
      </c>
      <c r="C302">
        <v>2019</v>
      </c>
      <c r="D302">
        <v>3901</v>
      </c>
      <c r="E302">
        <v>1420</v>
      </c>
      <c r="F302">
        <v>37.909999999999997</v>
      </c>
      <c r="G302">
        <v>34639</v>
      </c>
      <c r="H302">
        <v>82360</v>
      </c>
      <c r="I302">
        <v>9.25</v>
      </c>
      <c r="J302" t="s">
        <v>16</v>
      </c>
      <c r="K302" t="s">
        <v>1500</v>
      </c>
      <c r="L302" s="25">
        <v>0.39284722222222224</v>
      </c>
      <c r="M302">
        <v>0.37909999999999999</v>
      </c>
      <c r="N302">
        <v>9.2499999999999999E-2</v>
      </c>
      <c r="O302">
        <v>7340</v>
      </c>
      <c r="P302">
        <v>8.9120932491500729E-2</v>
      </c>
      <c r="Q302" t="s">
        <v>1238</v>
      </c>
      <c r="R302" t="s">
        <v>1239</v>
      </c>
      <c r="S302" t="s">
        <v>1231</v>
      </c>
      <c r="T302">
        <v>3</v>
      </c>
    </row>
    <row r="303" spans="1:20" x14ac:dyDescent="0.3">
      <c r="A303" t="s">
        <v>314</v>
      </c>
      <c r="B303" t="s">
        <v>315</v>
      </c>
      <c r="C303">
        <v>2019</v>
      </c>
      <c r="D303">
        <v>3901</v>
      </c>
      <c r="E303">
        <v>1420</v>
      </c>
      <c r="F303">
        <v>37.909999999999997</v>
      </c>
      <c r="G303">
        <v>34639</v>
      </c>
      <c r="H303">
        <v>82360</v>
      </c>
      <c r="I303">
        <v>9.25</v>
      </c>
      <c r="J303" t="s">
        <v>16</v>
      </c>
      <c r="K303" t="s">
        <v>1326</v>
      </c>
      <c r="L303" s="25">
        <v>0.39284722222222224</v>
      </c>
      <c r="M303">
        <v>0.37909999999999999</v>
      </c>
      <c r="N303">
        <v>9.2499999999999999E-2</v>
      </c>
      <c r="O303">
        <v>7340</v>
      </c>
      <c r="P303">
        <v>8.9120932491500729E-2</v>
      </c>
      <c r="Q303" t="s">
        <v>1238</v>
      </c>
      <c r="R303" t="s">
        <v>1239</v>
      </c>
      <c r="S303" t="s">
        <v>1231</v>
      </c>
      <c r="T303">
        <v>3</v>
      </c>
    </row>
    <row r="304" spans="1:20" x14ac:dyDescent="0.3">
      <c r="A304" t="s">
        <v>314</v>
      </c>
      <c r="B304" t="s">
        <v>315</v>
      </c>
      <c r="C304">
        <v>2019</v>
      </c>
      <c r="D304">
        <v>3901</v>
      </c>
      <c r="E304">
        <v>1420</v>
      </c>
      <c r="F304">
        <v>37.909999999999997</v>
      </c>
      <c r="G304">
        <v>34639</v>
      </c>
      <c r="H304">
        <v>82360</v>
      </c>
      <c r="I304">
        <v>9.25</v>
      </c>
      <c r="J304" t="s">
        <v>16</v>
      </c>
      <c r="K304" t="s">
        <v>1501</v>
      </c>
      <c r="L304" s="25">
        <v>0.39284722222222224</v>
      </c>
      <c r="M304">
        <v>0.37909999999999999</v>
      </c>
      <c r="N304">
        <v>9.2499999999999999E-2</v>
      </c>
      <c r="O304">
        <v>7340</v>
      </c>
      <c r="P304">
        <v>8.9120932491500729E-2</v>
      </c>
      <c r="Q304" t="s">
        <v>1238</v>
      </c>
      <c r="R304" t="s">
        <v>1239</v>
      </c>
      <c r="S304" t="s">
        <v>1231</v>
      </c>
      <c r="T304">
        <v>3</v>
      </c>
    </row>
    <row r="305" spans="1:20" x14ac:dyDescent="0.3">
      <c r="A305" t="s">
        <v>317</v>
      </c>
      <c r="B305" t="s">
        <v>318</v>
      </c>
      <c r="C305">
        <v>6936</v>
      </c>
      <c r="D305">
        <v>1317</v>
      </c>
      <c r="E305">
        <v>252</v>
      </c>
      <c r="F305">
        <v>91.92</v>
      </c>
      <c r="G305">
        <v>34801</v>
      </c>
      <c r="H305">
        <v>30720</v>
      </c>
      <c r="I305">
        <v>2.5499999999999998</v>
      </c>
      <c r="J305" t="s">
        <v>12</v>
      </c>
      <c r="K305" t="s">
        <v>1502</v>
      </c>
      <c r="L305" s="25">
        <v>0.43800925925925926</v>
      </c>
      <c r="M305">
        <v>0.91920000000000002</v>
      </c>
      <c r="N305">
        <v>2.5499999999999998E-2</v>
      </c>
      <c r="O305">
        <v>8505</v>
      </c>
      <c r="P305">
        <v>0.27685546875</v>
      </c>
      <c r="Q305" t="s">
        <v>1238</v>
      </c>
      <c r="R305" t="s">
        <v>1239</v>
      </c>
      <c r="S305" t="s">
        <v>1231</v>
      </c>
      <c r="T305">
        <v>3</v>
      </c>
    </row>
    <row r="306" spans="1:20" x14ac:dyDescent="0.3">
      <c r="A306" t="s">
        <v>317</v>
      </c>
      <c r="B306" t="s">
        <v>318</v>
      </c>
      <c r="C306">
        <v>6936</v>
      </c>
      <c r="D306">
        <v>1317</v>
      </c>
      <c r="E306">
        <v>252</v>
      </c>
      <c r="F306">
        <v>91.92</v>
      </c>
      <c r="G306">
        <v>34801</v>
      </c>
      <c r="H306">
        <v>30720</v>
      </c>
      <c r="I306">
        <v>2.5499999999999998</v>
      </c>
      <c r="J306" t="s">
        <v>12</v>
      </c>
      <c r="K306" t="s">
        <v>1291</v>
      </c>
      <c r="L306" s="25">
        <v>0.43800925925925926</v>
      </c>
      <c r="M306">
        <v>0.91920000000000002</v>
      </c>
      <c r="N306">
        <v>2.5499999999999998E-2</v>
      </c>
      <c r="O306">
        <v>8505</v>
      </c>
      <c r="P306">
        <v>0.27685546875</v>
      </c>
      <c r="Q306" t="s">
        <v>1238</v>
      </c>
      <c r="R306" t="s">
        <v>1239</v>
      </c>
      <c r="S306" t="s">
        <v>1231</v>
      </c>
      <c r="T306">
        <v>3</v>
      </c>
    </row>
    <row r="307" spans="1:20" x14ac:dyDescent="0.3">
      <c r="A307" t="s">
        <v>317</v>
      </c>
      <c r="B307" t="s">
        <v>318</v>
      </c>
      <c r="C307">
        <v>6936</v>
      </c>
      <c r="D307">
        <v>1317</v>
      </c>
      <c r="E307">
        <v>252</v>
      </c>
      <c r="F307">
        <v>91.92</v>
      </c>
      <c r="G307">
        <v>34801</v>
      </c>
      <c r="H307">
        <v>30720</v>
      </c>
      <c r="I307">
        <v>2.5499999999999998</v>
      </c>
      <c r="J307" t="s">
        <v>12</v>
      </c>
      <c r="K307" t="s">
        <v>1503</v>
      </c>
      <c r="L307" s="25">
        <v>0.43800925925925926</v>
      </c>
      <c r="M307">
        <v>0.91920000000000002</v>
      </c>
      <c r="N307">
        <v>2.5499999999999998E-2</v>
      </c>
      <c r="O307">
        <v>8505</v>
      </c>
      <c r="P307">
        <v>0.27685546875</v>
      </c>
      <c r="Q307" t="s">
        <v>1238</v>
      </c>
      <c r="R307" t="s">
        <v>1239</v>
      </c>
      <c r="S307" t="s">
        <v>1231</v>
      </c>
      <c r="T307">
        <v>3</v>
      </c>
    </row>
    <row r="308" spans="1:20" x14ac:dyDescent="0.3">
      <c r="A308" t="s">
        <v>320</v>
      </c>
      <c r="B308" t="s">
        <v>321</v>
      </c>
      <c r="C308">
        <v>552</v>
      </c>
      <c r="D308">
        <v>2286</v>
      </c>
      <c r="E308">
        <v>763</v>
      </c>
      <c r="F308">
        <v>46.05</v>
      </c>
      <c r="G308">
        <v>81628</v>
      </c>
      <c r="H308">
        <v>75769</v>
      </c>
      <c r="I308">
        <v>5.81</v>
      </c>
      <c r="J308" t="s">
        <v>42</v>
      </c>
      <c r="K308" t="s">
        <v>1504</v>
      </c>
      <c r="L308" s="25">
        <v>2.0717592592592593E-3</v>
      </c>
      <c r="M308">
        <v>0.46049999999999996</v>
      </c>
      <c r="N308">
        <v>5.8099999999999999E-2</v>
      </c>
      <c r="O308">
        <v>3601</v>
      </c>
      <c r="P308">
        <v>4.7526033074212409E-2</v>
      </c>
      <c r="Q308" t="s">
        <v>1238</v>
      </c>
      <c r="R308" t="s">
        <v>1239</v>
      </c>
      <c r="S308" t="s">
        <v>1231</v>
      </c>
      <c r="T308">
        <v>3</v>
      </c>
    </row>
    <row r="309" spans="1:20" x14ac:dyDescent="0.3">
      <c r="A309" t="s">
        <v>320</v>
      </c>
      <c r="B309" t="s">
        <v>321</v>
      </c>
      <c r="C309">
        <v>552</v>
      </c>
      <c r="D309">
        <v>2286</v>
      </c>
      <c r="E309">
        <v>763</v>
      </c>
      <c r="F309">
        <v>46.05</v>
      </c>
      <c r="G309">
        <v>81628</v>
      </c>
      <c r="H309">
        <v>75769</v>
      </c>
      <c r="I309">
        <v>5.81</v>
      </c>
      <c r="J309" t="s">
        <v>42</v>
      </c>
      <c r="K309" t="s">
        <v>1505</v>
      </c>
      <c r="L309" s="25">
        <v>2.0717592592592593E-3</v>
      </c>
      <c r="M309">
        <v>0.46049999999999996</v>
      </c>
      <c r="N309">
        <v>5.8099999999999999E-2</v>
      </c>
      <c r="O309">
        <v>3601</v>
      </c>
      <c r="P309">
        <v>4.7526033074212409E-2</v>
      </c>
      <c r="Q309" t="s">
        <v>1238</v>
      </c>
      <c r="R309" t="s">
        <v>1239</v>
      </c>
      <c r="S309" t="s">
        <v>1231</v>
      </c>
      <c r="T309">
        <v>3</v>
      </c>
    </row>
    <row r="310" spans="1:20" x14ac:dyDescent="0.3">
      <c r="A310" t="s">
        <v>320</v>
      </c>
      <c r="B310" t="s">
        <v>321</v>
      </c>
      <c r="C310">
        <v>552</v>
      </c>
      <c r="D310">
        <v>2286</v>
      </c>
      <c r="E310">
        <v>763</v>
      </c>
      <c r="F310">
        <v>46.05</v>
      </c>
      <c r="G310">
        <v>81628</v>
      </c>
      <c r="H310">
        <v>75769</v>
      </c>
      <c r="I310">
        <v>5.81</v>
      </c>
      <c r="J310" t="s">
        <v>42</v>
      </c>
      <c r="K310" t="s">
        <v>1506</v>
      </c>
      <c r="L310" s="25">
        <v>2.0717592592592593E-3</v>
      </c>
      <c r="M310">
        <v>0.46049999999999996</v>
      </c>
      <c r="N310">
        <v>5.8099999999999999E-2</v>
      </c>
      <c r="O310">
        <v>3601</v>
      </c>
      <c r="P310">
        <v>4.7526033074212409E-2</v>
      </c>
      <c r="Q310" t="s">
        <v>1238</v>
      </c>
      <c r="R310" t="s">
        <v>1239</v>
      </c>
      <c r="S310" t="s">
        <v>1231</v>
      </c>
      <c r="T310">
        <v>3</v>
      </c>
    </row>
    <row r="311" spans="1:20" x14ac:dyDescent="0.3">
      <c r="A311" t="s">
        <v>323</v>
      </c>
      <c r="B311" t="s">
        <v>324</v>
      </c>
      <c r="C311">
        <v>7826</v>
      </c>
      <c r="D311">
        <v>1407</v>
      </c>
      <c r="E311">
        <v>427</v>
      </c>
      <c r="F311">
        <v>29.94</v>
      </c>
      <c r="G311">
        <v>67495</v>
      </c>
      <c r="H311">
        <v>98182</v>
      </c>
      <c r="I311">
        <v>4.6399999999999997</v>
      </c>
      <c r="J311" t="s">
        <v>16</v>
      </c>
      <c r="K311" t="s">
        <v>1287</v>
      </c>
      <c r="L311" s="25">
        <v>0.6087731481481482</v>
      </c>
      <c r="M311">
        <v>0.2994</v>
      </c>
      <c r="N311">
        <v>4.6399999999999997E-2</v>
      </c>
      <c r="O311">
        <v>9660</v>
      </c>
      <c r="P311">
        <v>9.8388706687580207E-2</v>
      </c>
      <c r="Q311" t="s">
        <v>1238</v>
      </c>
      <c r="R311" t="s">
        <v>1239</v>
      </c>
      <c r="S311" t="s">
        <v>1230</v>
      </c>
      <c r="T311">
        <v>3</v>
      </c>
    </row>
    <row r="312" spans="1:20" x14ac:dyDescent="0.3">
      <c r="A312" t="s">
        <v>323</v>
      </c>
      <c r="B312" t="s">
        <v>324</v>
      </c>
      <c r="C312">
        <v>7826</v>
      </c>
      <c r="D312">
        <v>1407</v>
      </c>
      <c r="E312">
        <v>427</v>
      </c>
      <c r="F312">
        <v>29.94</v>
      </c>
      <c r="G312">
        <v>67495</v>
      </c>
      <c r="H312">
        <v>98182</v>
      </c>
      <c r="I312">
        <v>4.6399999999999997</v>
      </c>
      <c r="J312" t="s">
        <v>16</v>
      </c>
      <c r="K312" t="s">
        <v>1507</v>
      </c>
      <c r="L312" s="25">
        <v>0.6087731481481482</v>
      </c>
      <c r="M312">
        <v>0.2994</v>
      </c>
      <c r="N312">
        <v>4.6399999999999997E-2</v>
      </c>
      <c r="O312">
        <v>9660</v>
      </c>
      <c r="P312">
        <v>9.8388706687580207E-2</v>
      </c>
      <c r="Q312" t="s">
        <v>1238</v>
      </c>
      <c r="R312" t="s">
        <v>1239</v>
      </c>
      <c r="S312" t="s">
        <v>1230</v>
      </c>
      <c r="T312">
        <v>3</v>
      </c>
    </row>
    <row r="313" spans="1:20" x14ac:dyDescent="0.3">
      <c r="A313" t="s">
        <v>323</v>
      </c>
      <c r="B313" t="s">
        <v>324</v>
      </c>
      <c r="C313">
        <v>7826</v>
      </c>
      <c r="D313">
        <v>1407</v>
      </c>
      <c r="E313">
        <v>427</v>
      </c>
      <c r="F313">
        <v>29.94</v>
      </c>
      <c r="G313">
        <v>67495</v>
      </c>
      <c r="H313">
        <v>98182</v>
      </c>
      <c r="I313">
        <v>4.6399999999999997</v>
      </c>
      <c r="J313" t="s">
        <v>16</v>
      </c>
      <c r="K313" t="s">
        <v>1508</v>
      </c>
      <c r="L313" s="25">
        <v>0.6087731481481482</v>
      </c>
      <c r="M313">
        <v>0.2994</v>
      </c>
      <c r="N313">
        <v>4.6399999999999997E-2</v>
      </c>
      <c r="O313">
        <v>9660</v>
      </c>
      <c r="P313">
        <v>9.8388706687580207E-2</v>
      </c>
      <c r="Q313" t="s">
        <v>1238</v>
      </c>
      <c r="R313" t="s">
        <v>1239</v>
      </c>
      <c r="S313" t="s">
        <v>1230</v>
      </c>
      <c r="T313">
        <v>3</v>
      </c>
    </row>
    <row r="314" spans="1:20" x14ac:dyDescent="0.3">
      <c r="A314" t="s">
        <v>326</v>
      </c>
      <c r="B314" t="s">
        <v>327</v>
      </c>
      <c r="C314">
        <v>9798</v>
      </c>
      <c r="D314">
        <v>1586</v>
      </c>
      <c r="E314">
        <v>371</v>
      </c>
      <c r="F314">
        <v>70.7</v>
      </c>
      <c r="G314">
        <v>11652</v>
      </c>
      <c r="H314">
        <v>82422</v>
      </c>
      <c r="I314">
        <v>0.85</v>
      </c>
      <c r="J314" t="s">
        <v>12</v>
      </c>
      <c r="K314" t="s">
        <v>1509</v>
      </c>
      <c r="L314" s="25">
        <v>0.52541666666666664</v>
      </c>
      <c r="M314">
        <v>0.70700000000000007</v>
      </c>
      <c r="N314">
        <v>8.5000000000000006E-3</v>
      </c>
      <c r="O314">
        <v>11755</v>
      </c>
      <c r="P314">
        <v>0.14261968891800733</v>
      </c>
      <c r="Q314" t="s">
        <v>1238</v>
      </c>
      <c r="R314" t="s">
        <v>1239</v>
      </c>
      <c r="S314" t="s">
        <v>1230</v>
      </c>
      <c r="T314">
        <v>3</v>
      </c>
    </row>
    <row r="315" spans="1:20" x14ac:dyDescent="0.3">
      <c r="A315" t="s">
        <v>326</v>
      </c>
      <c r="B315" t="s">
        <v>327</v>
      </c>
      <c r="C315">
        <v>9798</v>
      </c>
      <c r="D315">
        <v>1586</v>
      </c>
      <c r="E315">
        <v>371</v>
      </c>
      <c r="F315">
        <v>70.7</v>
      </c>
      <c r="G315">
        <v>11652</v>
      </c>
      <c r="H315">
        <v>82422</v>
      </c>
      <c r="I315">
        <v>0.85</v>
      </c>
      <c r="J315" t="s">
        <v>12</v>
      </c>
      <c r="K315" t="s">
        <v>1510</v>
      </c>
      <c r="L315" s="25">
        <v>0.52541666666666664</v>
      </c>
      <c r="M315">
        <v>0.70700000000000007</v>
      </c>
      <c r="N315">
        <v>8.5000000000000006E-3</v>
      </c>
      <c r="O315">
        <v>11755</v>
      </c>
      <c r="P315">
        <v>0.14261968891800733</v>
      </c>
      <c r="Q315" t="s">
        <v>1238</v>
      </c>
      <c r="R315" t="s">
        <v>1239</v>
      </c>
      <c r="S315" t="s">
        <v>1230</v>
      </c>
      <c r="T315">
        <v>3</v>
      </c>
    </row>
    <row r="316" spans="1:20" x14ac:dyDescent="0.3">
      <c r="A316" t="s">
        <v>326</v>
      </c>
      <c r="B316" t="s">
        <v>327</v>
      </c>
      <c r="C316">
        <v>9798</v>
      </c>
      <c r="D316">
        <v>1586</v>
      </c>
      <c r="E316">
        <v>371</v>
      </c>
      <c r="F316">
        <v>70.7</v>
      </c>
      <c r="G316">
        <v>11652</v>
      </c>
      <c r="H316">
        <v>82422</v>
      </c>
      <c r="I316">
        <v>0.85</v>
      </c>
      <c r="J316" t="s">
        <v>12</v>
      </c>
      <c r="K316" t="s">
        <v>1272</v>
      </c>
      <c r="L316" s="25">
        <v>0.52541666666666664</v>
      </c>
      <c r="M316">
        <v>0.70700000000000007</v>
      </c>
      <c r="N316">
        <v>8.5000000000000006E-3</v>
      </c>
      <c r="O316">
        <v>11755</v>
      </c>
      <c r="P316">
        <v>0.14261968891800733</v>
      </c>
      <c r="Q316" t="s">
        <v>1238</v>
      </c>
      <c r="R316" t="s">
        <v>1239</v>
      </c>
      <c r="S316" t="s">
        <v>1230</v>
      </c>
      <c r="T316">
        <v>3</v>
      </c>
    </row>
    <row r="317" spans="1:20" x14ac:dyDescent="0.3">
      <c r="A317" t="s">
        <v>329</v>
      </c>
      <c r="B317" t="s">
        <v>330</v>
      </c>
      <c r="C317">
        <v>1355</v>
      </c>
      <c r="D317">
        <v>647</v>
      </c>
      <c r="E317">
        <v>439</v>
      </c>
      <c r="F317">
        <v>69.41</v>
      </c>
      <c r="G317">
        <v>70517</v>
      </c>
      <c r="H317">
        <v>53575</v>
      </c>
      <c r="I317">
        <v>8.75</v>
      </c>
      <c r="J317" t="s">
        <v>12</v>
      </c>
      <c r="K317" t="s">
        <v>1327</v>
      </c>
      <c r="L317" s="25">
        <v>0.4667824074074074</v>
      </c>
      <c r="M317">
        <v>0.69409999999999994</v>
      </c>
      <c r="N317">
        <v>8.7499999999999994E-2</v>
      </c>
      <c r="O317">
        <v>2441</v>
      </c>
      <c r="P317">
        <v>4.5562295846943539E-2</v>
      </c>
      <c r="Q317" t="s">
        <v>1238</v>
      </c>
      <c r="R317" t="s">
        <v>1239</v>
      </c>
      <c r="S317" t="s">
        <v>1231</v>
      </c>
      <c r="T317">
        <v>3</v>
      </c>
    </row>
    <row r="318" spans="1:20" x14ac:dyDescent="0.3">
      <c r="A318" t="s">
        <v>329</v>
      </c>
      <c r="B318" t="s">
        <v>330</v>
      </c>
      <c r="C318">
        <v>1355</v>
      </c>
      <c r="D318">
        <v>647</v>
      </c>
      <c r="E318">
        <v>439</v>
      </c>
      <c r="F318">
        <v>69.41</v>
      </c>
      <c r="G318">
        <v>70517</v>
      </c>
      <c r="H318">
        <v>53575</v>
      </c>
      <c r="I318">
        <v>8.75</v>
      </c>
      <c r="J318" t="s">
        <v>12</v>
      </c>
      <c r="K318" t="s">
        <v>1511</v>
      </c>
      <c r="L318" s="25">
        <v>0.4667824074074074</v>
      </c>
      <c r="M318">
        <v>0.69409999999999994</v>
      </c>
      <c r="N318">
        <v>8.7499999999999994E-2</v>
      </c>
      <c r="O318">
        <v>2441</v>
      </c>
      <c r="P318">
        <v>4.5562295846943539E-2</v>
      </c>
      <c r="Q318" t="s">
        <v>1238</v>
      </c>
      <c r="R318" t="s">
        <v>1239</v>
      </c>
      <c r="S318" t="s">
        <v>1231</v>
      </c>
      <c r="T318">
        <v>3</v>
      </c>
    </row>
    <row r="319" spans="1:20" x14ac:dyDescent="0.3">
      <c r="A319" t="s">
        <v>329</v>
      </c>
      <c r="B319" t="s">
        <v>330</v>
      </c>
      <c r="C319">
        <v>1355</v>
      </c>
      <c r="D319">
        <v>647</v>
      </c>
      <c r="E319">
        <v>439</v>
      </c>
      <c r="F319">
        <v>69.41</v>
      </c>
      <c r="G319">
        <v>70517</v>
      </c>
      <c r="H319">
        <v>53575</v>
      </c>
      <c r="I319">
        <v>8.75</v>
      </c>
      <c r="J319" t="s">
        <v>12</v>
      </c>
      <c r="K319" t="s">
        <v>1512</v>
      </c>
      <c r="L319" s="25">
        <v>0.4667824074074074</v>
      </c>
      <c r="M319">
        <v>0.69409999999999994</v>
      </c>
      <c r="N319">
        <v>8.7499999999999994E-2</v>
      </c>
      <c r="O319">
        <v>2441</v>
      </c>
      <c r="P319">
        <v>4.5562295846943539E-2</v>
      </c>
      <c r="Q319" t="s">
        <v>1238</v>
      </c>
      <c r="R319" t="s">
        <v>1239</v>
      </c>
      <c r="S319" t="s">
        <v>1231</v>
      </c>
      <c r="T319">
        <v>3</v>
      </c>
    </row>
    <row r="320" spans="1:20" x14ac:dyDescent="0.3">
      <c r="A320" t="s">
        <v>332</v>
      </c>
      <c r="B320" t="s">
        <v>333</v>
      </c>
      <c r="C320">
        <v>729</v>
      </c>
      <c r="D320">
        <v>2752</v>
      </c>
      <c r="E320">
        <v>619</v>
      </c>
      <c r="F320">
        <v>78.13</v>
      </c>
      <c r="G320">
        <v>26732</v>
      </c>
      <c r="H320">
        <v>34691</v>
      </c>
      <c r="I320">
        <v>9.9600000000000009</v>
      </c>
      <c r="J320" t="s">
        <v>16</v>
      </c>
      <c r="K320" t="s">
        <v>1344</v>
      </c>
      <c r="L320" s="25">
        <v>0.74422453703703706</v>
      </c>
      <c r="M320">
        <v>0.78129999999999999</v>
      </c>
      <c r="N320">
        <v>9.9600000000000008E-2</v>
      </c>
      <c r="O320">
        <v>4100</v>
      </c>
      <c r="P320">
        <v>0.11818627309676862</v>
      </c>
      <c r="Q320" t="s">
        <v>1238</v>
      </c>
      <c r="R320" t="s">
        <v>1239</v>
      </c>
      <c r="S320" t="s">
        <v>1232</v>
      </c>
      <c r="T320">
        <v>3</v>
      </c>
    </row>
    <row r="321" spans="1:20" x14ac:dyDescent="0.3">
      <c r="A321" t="s">
        <v>332</v>
      </c>
      <c r="B321" t="s">
        <v>333</v>
      </c>
      <c r="C321">
        <v>729</v>
      </c>
      <c r="D321">
        <v>2752</v>
      </c>
      <c r="E321">
        <v>619</v>
      </c>
      <c r="F321">
        <v>78.13</v>
      </c>
      <c r="G321">
        <v>26732</v>
      </c>
      <c r="H321">
        <v>34691</v>
      </c>
      <c r="I321">
        <v>9.9600000000000009</v>
      </c>
      <c r="J321" t="s">
        <v>16</v>
      </c>
      <c r="K321" t="s">
        <v>1513</v>
      </c>
      <c r="L321" s="25">
        <v>0.74422453703703706</v>
      </c>
      <c r="M321">
        <v>0.78129999999999999</v>
      </c>
      <c r="N321">
        <v>9.9600000000000008E-2</v>
      </c>
      <c r="O321">
        <v>4100</v>
      </c>
      <c r="P321">
        <v>0.11818627309676862</v>
      </c>
      <c r="Q321" t="s">
        <v>1238</v>
      </c>
      <c r="R321" t="s">
        <v>1239</v>
      </c>
      <c r="S321" t="s">
        <v>1232</v>
      </c>
      <c r="T321">
        <v>3</v>
      </c>
    </row>
    <row r="322" spans="1:20" x14ac:dyDescent="0.3">
      <c r="A322" t="s">
        <v>332</v>
      </c>
      <c r="B322" t="s">
        <v>333</v>
      </c>
      <c r="C322">
        <v>729</v>
      </c>
      <c r="D322">
        <v>2752</v>
      </c>
      <c r="E322">
        <v>619</v>
      </c>
      <c r="F322">
        <v>78.13</v>
      </c>
      <c r="G322">
        <v>26732</v>
      </c>
      <c r="H322">
        <v>34691</v>
      </c>
      <c r="I322">
        <v>9.9600000000000009</v>
      </c>
      <c r="J322" t="s">
        <v>16</v>
      </c>
      <c r="K322" t="s">
        <v>1358</v>
      </c>
      <c r="L322" s="25">
        <v>0.74422453703703706</v>
      </c>
      <c r="M322">
        <v>0.78129999999999999</v>
      </c>
      <c r="N322">
        <v>9.9600000000000008E-2</v>
      </c>
      <c r="O322">
        <v>4100</v>
      </c>
      <c r="P322">
        <v>0.11818627309676862</v>
      </c>
      <c r="Q322" t="s">
        <v>1238</v>
      </c>
      <c r="R322" t="s">
        <v>1239</v>
      </c>
      <c r="S322" t="s">
        <v>1232</v>
      </c>
      <c r="T322">
        <v>3</v>
      </c>
    </row>
    <row r="323" spans="1:20" x14ac:dyDescent="0.3">
      <c r="A323" t="s">
        <v>335</v>
      </c>
      <c r="B323" t="s">
        <v>336</v>
      </c>
      <c r="C323">
        <v>6350</v>
      </c>
      <c r="D323">
        <v>3692</v>
      </c>
      <c r="E323">
        <v>581</v>
      </c>
      <c r="F323">
        <v>65.849999999999994</v>
      </c>
      <c r="G323">
        <v>21250</v>
      </c>
      <c r="H323">
        <v>2416</v>
      </c>
      <c r="I323">
        <v>4.46</v>
      </c>
      <c r="J323" t="s">
        <v>42</v>
      </c>
      <c r="K323" t="s">
        <v>1514</v>
      </c>
      <c r="L323" s="25">
        <v>0.33065972222222223</v>
      </c>
      <c r="M323">
        <v>0.65849999999999997</v>
      </c>
      <c r="N323">
        <v>4.4600000000000001E-2</v>
      </c>
      <c r="O323">
        <v>10623</v>
      </c>
      <c r="P323">
        <v>1</v>
      </c>
      <c r="Q323" t="s">
        <v>1238</v>
      </c>
      <c r="R323" t="s">
        <v>1239</v>
      </c>
      <c r="S323" t="s">
        <v>1231</v>
      </c>
      <c r="T323">
        <v>3</v>
      </c>
    </row>
    <row r="324" spans="1:20" x14ac:dyDescent="0.3">
      <c r="A324" t="s">
        <v>335</v>
      </c>
      <c r="B324" t="s">
        <v>336</v>
      </c>
      <c r="C324">
        <v>6350</v>
      </c>
      <c r="D324">
        <v>3692</v>
      </c>
      <c r="E324">
        <v>581</v>
      </c>
      <c r="F324">
        <v>65.849999999999994</v>
      </c>
      <c r="G324">
        <v>21250</v>
      </c>
      <c r="H324">
        <v>2416</v>
      </c>
      <c r="I324">
        <v>4.46</v>
      </c>
      <c r="J324" t="s">
        <v>42</v>
      </c>
      <c r="K324" t="s">
        <v>1515</v>
      </c>
      <c r="L324" s="25">
        <v>0.33065972222222223</v>
      </c>
      <c r="M324">
        <v>0.65849999999999997</v>
      </c>
      <c r="N324">
        <v>4.4600000000000001E-2</v>
      </c>
      <c r="O324">
        <v>10623</v>
      </c>
      <c r="P324">
        <v>1</v>
      </c>
      <c r="Q324" t="s">
        <v>1238</v>
      </c>
      <c r="R324" t="s">
        <v>1239</v>
      </c>
      <c r="S324" t="s">
        <v>1231</v>
      </c>
      <c r="T324">
        <v>3</v>
      </c>
    </row>
    <row r="325" spans="1:20" x14ac:dyDescent="0.3">
      <c r="A325" t="s">
        <v>335</v>
      </c>
      <c r="B325" t="s">
        <v>336</v>
      </c>
      <c r="C325">
        <v>6350</v>
      </c>
      <c r="D325">
        <v>3692</v>
      </c>
      <c r="E325">
        <v>581</v>
      </c>
      <c r="F325">
        <v>65.849999999999994</v>
      </c>
      <c r="G325">
        <v>21250</v>
      </c>
      <c r="H325">
        <v>2416</v>
      </c>
      <c r="I325">
        <v>4.46</v>
      </c>
      <c r="J325" t="s">
        <v>42</v>
      </c>
      <c r="K325" t="s">
        <v>1516</v>
      </c>
      <c r="L325" s="25">
        <v>0.33065972222222223</v>
      </c>
      <c r="M325">
        <v>0.65849999999999997</v>
      </c>
      <c r="N325">
        <v>4.4600000000000001E-2</v>
      </c>
      <c r="O325">
        <v>10623</v>
      </c>
      <c r="P325">
        <v>1</v>
      </c>
      <c r="Q325" t="s">
        <v>1238</v>
      </c>
      <c r="R325" t="s">
        <v>1239</v>
      </c>
      <c r="S325" t="s">
        <v>1231</v>
      </c>
      <c r="T325">
        <v>3</v>
      </c>
    </row>
    <row r="326" spans="1:20" x14ac:dyDescent="0.3">
      <c r="A326" t="s">
        <v>338</v>
      </c>
      <c r="B326" t="s">
        <v>339</v>
      </c>
      <c r="C326">
        <v>776</v>
      </c>
      <c r="D326">
        <v>4575</v>
      </c>
      <c r="E326">
        <v>160</v>
      </c>
      <c r="F326">
        <v>31.28</v>
      </c>
      <c r="G326">
        <v>88608</v>
      </c>
      <c r="H326">
        <v>51369</v>
      </c>
      <c r="I326">
        <v>0.27</v>
      </c>
      <c r="J326" t="s">
        <v>42</v>
      </c>
      <c r="K326" t="s">
        <v>1517</v>
      </c>
      <c r="L326" s="25">
        <v>0.62593750000000004</v>
      </c>
      <c r="M326">
        <v>0.31280000000000002</v>
      </c>
      <c r="N326">
        <v>2.7000000000000001E-3</v>
      </c>
      <c r="O326">
        <v>5511</v>
      </c>
      <c r="P326">
        <v>0.10728260234771944</v>
      </c>
      <c r="Q326" t="s">
        <v>1238</v>
      </c>
      <c r="R326" t="s">
        <v>1239</v>
      </c>
      <c r="S326" t="s">
        <v>1230</v>
      </c>
      <c r="T326">
        <v>3</v>
      </c>
    </row>
    <row r="327" spans="1:20" x14ac:dyDescent="0.3">
      <c r="A327" t="s">
        <v>338</v>
      </c>
      <c r="B327" t="s">
        <v>339</v>
      </c>
      <c r="C327">
        <v>776</v>
      </c>
      <c r="D327">
        <v>4575</v>
      </c>
      <c r="E327">
        <v>160</v>
      </c>
      <c r="F327">
        <v>31.28</v>
      </c>
      <c r="G327">
        <v>88608</v>
      </c>
      <c r="H327">
        <v>51369</v>
      </c>
      <c r="I327">
        <v>0.27</v>
      </c>
      <c r="J327" t="s">
        <v>42</v>
      </c>
      <c r="K327" t="s">
        <v>1414</v>
      </c>
      <c r="L327" s="25">
        <v>0.62593750000000004</v>
      </c>
      <c r="M327">
        <v>0.31280000000000002</v>
      </c>
      <c r="N327">
        <v>2.7000000000000001E-3</v>
      </c>
      <c r="O327">
        <v>5511</v>
      </c>
      <c r="P327">
        <v>0.10728260234771944</v>
      </c>
      <c r="Q327" t="s">
        <v>1238</v>
      </c>
      <c r="R327" t="s">
        <v>1239</v>
      </c>
      <c r="S327" t="s">
        <v>1230</v>
      </c>
      <c r="T327">
        <v>3</v>
      </c>
    </row>
    <row r="328" spans="1:20" x14ac:dyDescent="0.3">
      <c r="A328" t="s">
        <v>338</v>
      </c>
      <c r="B328" t="s">
        <v>339</v>
      </c>
      <c r="C328">
        <v>776</v>
      </c>
      <c r="D328">
        <v>4575</v>
      </c>
      <c r="E328">
        <v>160</v>
      </c>
      <c r="F328">
        <v>31.28</v>
      </c>
      <c r="G328">
        <v>88608</v>
      </c>
      <c r="H328">
        <v>51369</v>
      </c>
      <c r="I328">
        <v>0.27</v>
      </c>
      <c r="J328" t="s">
        <v>42</v>
      </c>
      <c r="K328" t="s">
        <v>1304</v>
      </c>
      <c r="L328" s="25">
        <v>0.62593750000000004</v>
      </c>
      <c r="M328">
        <v>0.31280000000000002</v>
      </c>
      <c r="N328">
        <v>2.7000000000000001E-3</v>
      </c>
      <c r="O328">
        <v>5511</v>
      </c>
      <c r="P328">
        <v>0.10728260234771944</v>
      </c>
      <c r="Q328" t="s">
        <v>1238</v>
      </c>
      <c r="R328" t="s">
        <v>1239</v>
      </c>
      <c r="S328" t="s">
        <v>1230</v>
      </c>
      <c r="T328">
        <v>3</v>
      </c>
    </row>
    <row r="329" spans="1:20" x14ac:dyDescent="0.3">
      <c r="A329" t="s">
        <v>341</v>
      </c>
      <c r="B329" t="s">
        <v>342</v>
      </c>
      <c r="C329">
        <v>1033</v>
      </c>
      <c r="D329">
        <v>3708</v>
      </c>
      <c r="E329">
        <v>188</v>
      </c>
      <c r="F329">
        <v>23.38</v>
      </c>
      <c r="G329">
        <v>65915</v>
      </c>
      <c r="H329">
        <v>41656</v>
      </c>
      <c r="I329">
        <v>5.84</v>
      </c>
      <c r="J329" t="s">
        <v>12</v>
      </c>
      <c r="K329" t="s">
        <v>1518</v>
      </c>
      <c r="L329" s="25">
        <v>0.36324074074074075</v>
      </c>
      <c r="M329">
        <v>0.23379999999999998</v>
      </c>
      <c r="N329">
        <v>5.8400000000000001E-2</v>
      </c>
      <c r="O329">
        <v>4929</v>
      </c>
      <c r="P329">
        <v>0.11832629153063184</v>
      </c>
      <c r="Q329" t="s">
        <v>1238</v>
      </c>
      <c r="R329" t="s">
        <v>1239</v>
      </c>
      <c r="S329" t="s">
        <v>1231</v>
      </c>
      <c r="T329">
        <v>3</v>
      </c>
    </row>
    <row r="330" spans="1:20" x14ac:dyDescent="0.3">
      <c r="A330" t="s">
        <v>341</v>
      </c>
      <c r="B330" t="s">
        <v>342</v>
      </c>
      <c r="C330">
        <v>1033</v>
      </c>
      <c r="D330">
        <v>3708</v>
      </c>
      <c r="E330">
        <v>188</v>
      </c>
      <c r="F330">
        <v>23.38</v>
      </c>
      <c r="G330">
        <v>65915</v>
      </c>
      <c r="H330">
        <v>41656</v>
      </c>
      <c r="I330">
        <v>5.84</v>
      </c>
      <c r="J330" t="s">
        <v>12</v>
      </c>
      <c r="K330" t="s">
        <v>1519</v>
      </c>
      <c r="L330" s="25">
        <v>0.36324074074074075</v>
      </c>
      <c r="M330">
        <v>0.23379999999999998</v>
      </c>
      <c r="N330">
        <v>5.8400000000000001E-2</v>
      </c>
      <c r="O330">
        <v>4929</v>
      </c>
      <c r="P330">
        <v>0.11832629153063184</v>
      </c>
      <c r="Q330" t="s">
        <v>1238</v>
      </c>
      <c r="R330" t="s">
        <v>1239</v>
      </c>
      <c r="S330" t="s">
        <v>1231</v>
      </c>
      <c r="T330">
        <v>3</v>
      </c>
    </row>
    <row r="331" spans="1:20" x14ac:dyDescent="0.3">
      <c r="A331" t="s">
        <v>341</v>
      </c>
      <c r="B331" t="s">
        <v>342</v>
      </c>
      <c r="C331">
        <v>1033</v>
      </c>
      <c r="D331">
        <v>3708</v>
      </c>
      <c r="E331">
        <v>188</v>
      </c>
      <c r="F331">
        <v>23.38</v>
      </c>
      <c r="G331">
        <v>65915</v>
      </c>
      <c r="H331">
        <v>41656</v>
      </c>
      <c r="I331">
        <v>5.84</v>
      </c>
      <c r="J331" t="s">
        <v>12</v>
      </c>
      <c r="K331" t="s">
        <v>1520</v>
      </c>
      <c r="L331" s="25">
        <v>0.36324074074074075</v>
      </c>
      <c r="M331">
        <v>0.23379999999999998</v>
      </c>
      <c r="N331">
        <v>5.8400000000000001E-2</v>
      </c>
      <c r="O331">
        <v>4929</v>
      </c>
      <c r="P331">
        <v>0.11832629153063184</v>
      </c>
      <c r="Q331" t="s">
        <v>1238</v>
      </c>
      <c r="R331" t="s">
        <v>1239</v>
      </c>
      <c r="S331" t="s">
        <v>1231</v>
      </c>
      <c r="T331">
        <v>3</v>
      </c>
    </row>
    <row r="332" spans="1:20" x14ac:dyDescent="0.3">
      <c r="A332" t="s">
        <v>344</v>
      </c>
      <c r="B332" t="s">
        <v>345</v>
      </c>
      <c r="C332">
        <v>5087</v>
      </c>
      <c r="D332">
        <v>2117</v>
      </c>
      <c r="E332">
        <v>203</v>
      </c>
      <c r="F332">
        <v>84.39</v>
      </c>
      <c r="G332">
        <v>68505</v>
      </c>
      <c r="H332">
        <v>99558</v>
      </c>
      <c r="I332">
        <v>0.94</v>
      </c>
      <c r="J332" t="s">
        <v>16</v>
      </c>
      <c r="K332" t="s">
        <v>1521</v>
      </c>
      <c r="L332" s="25">
        <v>0.32954861111111111</v>
      </c>
      <c r="M332">
        <v>0.84389999999999998</v>
      </c>
      <c r="N332">
        <v>9.3999999999999986E-3</v>
      </c>
      <c r="O332">
        <v>7407</v>
      </c>
      <c r="P332">
        <v>7.4398842885554151E-2</v>
      </c>
      <c r="Q332" t="s">
        <v>1238</v>
      </c>
      <c r="R332" t="s">
        <v>1239</v>
      </c>
      <c r="S332" t="s">
        <v>1231</v>
      </c>
      <c r="T332">
        <v>3</v>
      </c>
    </row>
    <row r="333" spans="1:20" x14ac:dyDescent="0.3">
      <c r="A333" t="s">
        <v>344</v>
      </c>
      <c r="B333" t="s">
        <v>345</v>
      </c>
      <c r="C333">
        <v>5087</v>
      </c>
      <c r="D333">
        <v>2117</v>
      </c>
      <c r="E333">
        <v>203</v>
      </c>
      <c r="F333">
        <v>84.39</v>
      </c>
      <c r="G333">
        <v>68505</v>
      </c>
      <c r="H333">
        <v>99558</v>
      </c>
      <c r="I333">
        <v>0.94</v>
      </c>
      <c r="J333" t="s">
        <v>16</v>
      </c>
      <c r="K333" t="s">
        <v>1508</v>
      </c>
      <c r="L333" s="25">
        <v>0.32954861111111111</v>
      </c>
      <c r="M333">
        <v>0.84389999999999998</v>
      </c>
      <c r="N333">
        <v>9.3999999999999986E-3</v>
      </c>
      <c r="O333">
        <v>7407</v>
      </c>
      <c r="P333">
        <v>7.4398842885554151E-2</v>
      </c>
      <c r="Q333" t="s">
        <v>1238</v>
      </c>
      <c r="R333" t="s">
        <v>1239</v>
      </c>
      <c r="S333" t="s">
        <v>1231</v>
      </c>
      <c r="T333">
        <v>3</v>
      </c>
    </row>
    <row r="334" spans="1:20" x14ac:dyDescent="0.3">
      <c r="A334" t="s">
        <v>344</v>
      </c>
      <c r="B334" t="s">
        <v>345</v>
      </c>
      <c r="C334">
        <v>5087</v>
      </c>
      <c r="D334">
        <v>2117</v>
      </c>
      <c r="E334">
        <v>203</v>
      </c>
      <c r="F334">
        <v>84.39</v>
      </c>
      <c r="G334">
        <v>68505</v>
      </c>
      <c r="H334">
        <v>99558</v>
      </c>
      <c r="I334">
        <v>0.94</v>
      </c>
      <c r="J334" t="s">
        <v>16</v>
      </c>
      <c r="K334" t="s">
        <v>1522</v>
      </c>
      <c r="L334" s="25">
        <v>0.32954861111111111</v>
      </c>
      <c r="M334">
        <v>0.84389999999999998</v>
      </c>
      <c r="N334">
        <v>9.3999999999999986E-3</v>
      </c>
      <c r="O334">
        <v>7407</v>
      </c>
      <c r="P334">
        <v>7.4398842885554151E-2</v>
      </c>
      <c r="Q334" t="s">
        <v>1238</v>
      </c>
      <c r="R334" t="s">
        <v>1239</v>
      </c>
      <c r="S334" t="s">
        <v>1231</v>
      </c>
      <c r="T334">
        <v>3</v>
      </c>
    </row>
    <row r="335" spans="1:20" x14ac:dyDescent="0.3">
      <c r="A335" t="s">
        <v>347</v>
      </c>
      <c r="B335" t="s">
        <v>348</v>
      </c>
      <c r="C335">
        <v>9246</v>
      </c>
      <c r="D335">
        <v>1805</v>
      </c>
      <c r="E335">
        <v>884</v>
      </c>
      <c r="F335">
        <v>95.41</v>
      </c>
      <c r="G335">
        <v>59259</v>
      </c>
      <c r="H335">
        <v>30700</v>
      </c>
      <c r="I335">
        <v>4.7300000000000004</v>
      </c>
      <c r="J335" t="s">
        <v>20</v>
      </c>
      <c r="K335" t="s">
        <v>1344</v>
      </c>
      <c r="L335" s="25">
        <v>0.83108796296296295</v>
      </c>
      <c r="M335">
        <v>0.95409999999999995</v>
      </c>
      <c r="N335">
        <v>4.7300000000000002E-2</v>
      </c>
      <c r="O335">
        <v>11935</v>
      </c>
      <c r="P335">
        <v>0.38876221498371333</v>
      </c>
      <c r="Q335" t="s">
        <v>1238</v>
      </c>
      <c r="R335" t="s">
        <v>1239</v>
      </c>
      <c r="S335" t="s">
        <v>1232</v>
      </c>
      <c r="T335">
        <v>3</v>
      </c>
    </row>
    <row r="336" spans="1:20" x14ac:dyDescent="0.3">
      <c r="A336" t="s">
        <v>347</v>
      </c>
      <c r="B336" t="s">
        <v>348</v>
      </c>
      <c r="C336">
        <v>9246</v>
      </c>
      <c r="D336">
        <v>1805</v>
      </c>
      <c r="E336">
        <v>884</v>
      </c>
      <c r="F336">
        <v>95.41</v>
      </c>
      <c r="G336">
        <v>59259</v>
      </c>
      <c r="H336">
        <v>30700</v>
      </c>
      <c r="I336">
        <v>4.7300000000000004</v>
      </c>
      <c r="J336" t="s">
        <v>20</v>
      </c>
      <c r="K336" t="s">
        <v>1417</v>
      </c>
      <c r="L336" s="25">
        <v>0.83108796296296295</v>
      </c>
      <c r="M336">
        <v>0.95409999999999995</v>
      </c>
      <c r="N336">
        <v>4.7300000000000002E-2</v>
      </c>
      <c r="O336">
        <v>11935</v>
      </c>
      <c r="P336">
        <v>0.38876221498371333</v>
      </c>
      <c r="Q336" t="s">
        <v>1238</v>
      </c>
      <c r="R336" t="s">
        <v>1239</v>
      </c>
      <c r="S336" t="s">
        <v>1232</v>
      </c>
      <c r="T336">
        <v>3</v>
      </c>
    </row>
    <row r="337" spans="1:20" x14ac:dyDescent="0.3">
      <c r="A337" t="s">
        <v>347</v>
      </c>
      <c r="B337" t="s">
        <v>348</v>
      </c>
      <c r="C337">
        <v>9246</v>
      </c>
      <c r="D337">
        <v>1805</v>
      </c>
      <c r="E337">
        <v>884</v>
      </c>
      <c r="F337">
        <v>95.41</v>
      </c>
      <c r="G337">
        <v>59259</v>
      </c>
      <c r="H337">
        <v>30700</v>
      </c>
      <c r="I337">
        <v>4.7300000000000004</v>
      </c>
      <c r="J337" t="s">
        <v>20</v>
      </c>
      <c r="K337" t="s">
        <v>1523</v>
      </c>
      <c r="L337" s="25">
        <v>0.83108796296296295</v>
      </c>
      <c r="M337">
        <v>0.95409999999999995</v>
      </c>
      <c r="N337">
        <v>4.7300000000000002E-2</v>
      </c>
      <c r="O337">
        <v>11935</v>
      </c>
      <c r="P337">
        <v>0.38876221498371333</v>
      </c>
      <c r="Q337" t="s">
        <v>1238</v>
      </c>
      <c r="R337" t="s">
        <v>1239</v>
      </c>
      <c r="S337" t="s">
        <v>1232</v>
      </c>
      <c r="T337">
        <v>3</v>
      </c>
    </row>
    <row r="338" spans="1:20" x14ac:dyDescent="0.3">
      <c r="A338" t="s">
        <v>350</v>
      </c>
      <c r="B338" t="s">
        <v>351</v>
      </c>
      <c r="C338">
        <v>5992</v>
      </c>
      <c r="D338">
        <v>883</v>
      </c>
      <c r="E338">
        <v>220</v>
      </c>
      <c r="F338">
        <v>75.5</v>
      </c>
      <c r="G338">
        <v>35807</v>
      </c>
      <c r="H338">
        <v>71829</v>
      </c>
      <c r="I338">
        <v>7.09</v>
      </c>
      <c r="J338" t="s">
        <v>20</v>
      </c>
      <c r="K338" t="s">
        <v>1524</v>
      </c>
      <c r="L338" s="25">
        <v>0.58993055555555551</v>
      </c>
      <c r="M338">
        <v>0.755</v>
      </c>
      <c r="N338">
        <v>7.0900000000000005E-2</v>
      </c>
      <c r="O338">
        <v>7095</v>
      </c>
      <c r="P338">
        <v>9.8776260284843168E-2</v>
      </c>
      <c r="Q338" t="s">
        <v>1238</v>
      </c>
      <c r="R338" t="s">
        <v>1239</v>
      </c>
      <c r="S338" t="s">
        <v>1230</v>
      </c>
      <c r="T338">
        <v>3</v>
      </c>
    </row>
    <row r="339" spans="1:20" x14ac:dyDescent="0.3">
      <c r="A339" t="s">
        <v>350</v>
      </c>
      <c r="B339" t="s">
        <v>351</v>
      </c>
      <c r="C339">
        <v>5992</v>
      </c>
      <c r="D339">
        <v>883</v>
      </c>
      <c r="E339">
        <v>220</v>
      </c>
      <c r="F339">
        <v>75.5</v>
      </c>
      <c r="G339">
        <v>35807</v>
      </c>
      <c r="H339">
        <v>71829</v>
      </c>
      <c r="I339">
        <v>7.09</v>
      </c>
      <c r="J339" t="s">
        <v>20</v>
      </c>
      <c r="K339" t="s">
        <v>1525</v>
      </c>
      <c r="L339" s="25">
        <v>0.58993055555555551</v>
      </c>
      <c r="M339">
        <v>0.755</v>
      </c>
      <c r="N339">
        <v>7.0900000000000005E-2</v>
      </c>
      <c r="O339">
        <v>7095</v>
      </c>
      <c r="P339">
        <v>9.8776260284843168E-2</v>
      </c>
      <c r="Q339" t="s">
        <v>1238</v>
      </c>
      <c r="R339" t="s">
        <v>1239</v>
      </c>
      <c r="S339" t="s">
        <v>1230</v>
      </c>
      <c r="T339">
        <v>3</v>
      </c>
    </row>
    <row r="340" spans="1:20" x14ac:dyDescent="0.3">
      <c r="A340" t="s">
        <v>350</v>
      </c>
      <c r="B340" t="s">
        <v>351</v>
      </c>
      <c r="C340">
        <v>5992</v>
      </c>
      <c r="D340">
        <v>883</v>
      </c>
      <c r="E340">
        <v>220</v>
      </c>
      <c r="F340">
        <v>75.5</v>
      </c>
      <c r="G340">
        <v>35807</v>
      </c>
      <c r="H340">
        <v>71829</v>
      </c>
      <c r="I340">
        <v>7.09</v>
      </c>
      <c r="J340" t="s">
        <v>20</v>
      </c>
      <c r="K340" t="s">
        <v>1526</v>
      </c>
      <c r="L340" s="25">
        <v>0.58993055555555551</v>
      </c>
      <c r="M340">
        <v>0.755</v>
      </c>
      <c r="N340">
        <v>7.0900000000000005E-2</v>
      </c>
      <c r="O340">
        <v>7095</v>
      </c>
      <c r="P340">
        <v>9.8776260284843168E-2</v>
      </c>
      <c r="Q340" t="s">
        <v>1238</v>
      </c>
      <c r="R340" t="s">
        <v>1239</v>
      </c>
      <c r="S340" t="s">
        <v>1230</v>
      </c>
      <c r="T340">
        <v>3</v>
      </c>
    </row>
    <row r="341" spans="1:20" x14ac:dyDescent="0.3">
      <c r="A341" t="s">
        <v>353</v>
      </c>
      <c r="B341" t="s">
        <v>354</v>
      </c>
      <c r="C341">
        <v>1179</v>
      </c>
      <c r="D341">
        <v>1612</v>
      </c>
      <c r="E341">
        <v>524</v>
      </c>
      <c r="F341">
        <v>27.02</v>
      </c>
      <c r="G341">
        <v>91703</v>
      </c>
      <c r="H341">
        <v>27903</v>
      </c>
      <c r="I341">
        <v>6.83</v>
      </c>
      <c r="J341" t="s">
        <v>42</v>
      </c>
      <c r="K341" t="s">
        <v>1527</v>
      </c>
      <c r="L341" s="25">
        <v>0.61965277777777783</v>
      </c>
      <c r="M341">
        <v>0.2702</v>
      </c>
      <c r="N341">
        <v>6.83E-2</v>
      </c>
      <c r="O341">
        <v>3315</v>
      </c>
      <c r="P341">
        <v>0.11880442963122245</v>
      </c>
      <c r="Q341" t="s">
        <v>1238</v>
      </c>
      <c r="R341" t="s">
        <v>1239</v>
      </c>
      <c r="S341" t="s">
        <v>1230</v>
      </c>
      <c r="T341">
        <v>3</v>
      </c>
    </row>
    <row r="342" spans="1:20" x14ac:dyDescent="0.3">
      <c r="A342" t="s">
        <v>353</v>
      </c>
      <c r="B342" t="s">
        <v>354</v>
      </c>
      <c r="C342">
        <v>1179</v>
      </c>
      <c r="D342">
        <v>1612</v>
      </c>
      <c r="E342">
        <v>524</v>
      </c>
      <c r="F342">
        <v>27.02</v>
      </c>
      <c r="G342">
        <v>91703</v>
      </c>
      <c r="H342">
        <v>27903</v>
      </c>
      <c r="I342">
        <v>6.83</v>
      </c>
      <c r="J342" t="s">
        <v>42</v>
      </c>
      <c r="K342" t="s">
        <v>1528</v>
      </c>
      <c r="L342" s="25">
        <v>0.61965277777777783</v>
      </c>
      <c r="M342">
        <v>0.2702</v>
      </c>
      <c r="N342">
        <v>6.83E-2</v>
      </c>
      <c r="O342">
        <v>3315</v>
      </c>
      <c r="P342">
        <v>0.11880442963122245</v>
      </c>
      <c r="Q342" t="s">
        <v>1238</v>
      </c>
      <c r="R342" t="s">
        <v>1239</v>
      </c>
      <c r="S342" t="s">
        <v>1230</v>
      </c>
      <c r="T342">
        <v>3</v>
      </c>
    </row>
    <row r="343" spans="1:20" x14ac:dyDescent="0.3">
      <c r="A343" t="s">
        <v>353</v>
      </c>
      <c r="B343" t="s">
        <v>354</v>
      </c>
      <c r="C343">
        <v>1179</v>
      </c>
      <c r="D343">
        <v>1612</v>
      </c>
      <c r="E343">
        <v>524</v>
      </c>
      <c r="F343">
        <v>27.02</v>
      </c>
      <c r="G343">
        <v>91703</v>
      </c>
      <c r="H343">
        <v>27903</v>
      </c>
      <c r="I343">
        <v>6.83</v>
      </c>
      <c r="J343" t="s">
        <v>42</v>
      </c>
      <c r="K343" t="s">
        <v>1529</v>
      </c>
      <c r="L343" s="25">
        <v>0.61965277777777783</v>
      </c>
      <c r="M343">
        <v>0.2702</v>
      </c>
      <c r="N343">
        <v>6.83E-2</v>
      </c>
      <c r="O343">
        <v>3315</v>
      </c>
      <c r="P343">
        <v>0.11880442963122245</v>
      </c>
      <c r="Q343" t="s">
        <v>1238</v>
      </c>
      <c r="R343" t="s">
        <v>1239</v>
      </c>
      <c r="S343" t="s">
        <v>1230</v>
      </c>
      <c r="T343">
        <v>3</v>
      </c>
    </row>
    <row r="344" spans="1:20" x14ac:dyDescent="0.3">
      <c r="A344" t="s">
        <v>356</v>
      </c>
      <c r="B344" t="s">
        <v>357</v>
      </c>
      <c r="C344">
        <v>7149</v>
      </c>
      <c r="D344">
        <v>1416</v>
      </c>
      <c r="E344">
        <v>1315</v>
      </c>
      <c r="F344">
        <v>15.76</v>
      </c>
      <c r="G344">
        <v>64237</v>
      </c>
      <c r="H344">
        <v>26491</v>
      </c>
      <c r="I344">
        <v>2.82</v>
      </c>
      <c r="J344" t="s">
        <v>20</v>
      </c>
      <c r="K344" t="s">
        <v>1393</v>
      </c>
      <c r="L344" s="25">
        <v>0.48473379629629632</v>
      </c>
      <c r="M344">
        <v>0.15759999999999999</v>
      </c>
      <c r="N344">
        <v>2.8199999999999999E-2</v>
      </c>
      <c r="O344">
        <v>9880</v>
      </c>
      <c r="P344">
        <v>0.37295685327092221</v>
      </c>
      <c r="Q344" t="s">
        <v>1238</v>
      </c>
      <c r="R344" t="s">
        <v>1239</v>
      </c>
      <c r="S344" t="s">
        <v>1231</v>
      </c>
      <c r="T344">
        <v>3</v>
      </c>
    </row>
    <row r="345" spans="1:20" x14ac:dyDescent="0.3">
      <c r="A345" t="s">
        <v>356</v>
      </c>
      <c r="B345" t="s">
        <v>357</v>
      </c>
      <c r="C345">
        <v>7149</v>
      </c>
      <c r="D345">
        <v>1416</v>
      </c>
      <c r="E345">
        <v>1315</v>
      </c>
      <c r="F345">
        <v>15.76</v>
      </c>
      <c r="G345">
        <v>64237</v>
      </c>
      <c r="H345">
        <v>26491</v>
      </c>
      <c r="I345">
        <v>2.82</v>
      </c>
      <c r="J345" t="s">
        <v>20</v>
      </c>
      <c r="K345" t="s">
        <v>1530</v>
      </c>
      <c r="L345" s="25">
        <v>0.48473379629629632</v>
      </c>
      <c r="M345">
        <v>0.15759999999999999</v>
      </c>
      <c r="N345">
        <v>2.8199999999999999E-2</v>
      </c>
      <c r="O345">
        <v>9880</v>
      </c>
      <c r="P345">
        <v>0.37295685327092221</v>
      </c>
      <c r="Q345" t="s">
        <v>1238</v>
      </c>
      <c r="R345" t="s">
        <v>1239</v>
      </c>
      <c r="S345" t="s">
        <v>1231</v>
      </c>
      <c r="T345">
        <v>3</v>
      </c>
    </row>
    <row r="346" spans="1:20" x14ac:dyDescent="0.3">
      <c r="A346" t="s">
        <v>356</v>
      </c>
      <c r="B346" t="s">
        <v>357</v>
      </c>
      <c r="C346">
        <v>7149</v>
      </c>
      <c r="D346">
        <v>1416</v>
      </c>
      <c r="E346">
        <v>1315</v>
      </c>
      <c r="F346">
        <v>15.76</v>
      </c>
      <c r="G346">
        <v>64237</v>
      </c>
      <c r="H346">
        <v>26491</v>
      </c>
      <c r="I346">
        <v>2.82</v>
      </c>
      <c r="J346" t="s">
        <v>20</v>
      </c>
      <c r="K346" t="s">
        <v>1531</v>
      </c>
      <c r="L346" s="25">
        <v>0.48473379629629632</v>
      </c>
      <c r="M346">
        <v>0.15759999999999999</v>
      </c>
      <c r="N346">
        <v>2.8199999999999999E-2</v>
      </c>
      <c r="O346">
        <v>9880</v>
      </c>
      <c r="P346">
        <v>0.37295685327092221</v>
      </c>
      <c r="Q346" t="s">
        <v>1238</v>
      </c>
      <c r="R346" t="s">
        <v>1239</v>
      </c>
      <c r="S346" t="s">
        <v>1231</v>
      </c>
      <c r="T346">
        <v>3</v>
      </c>
    </row>
    <row r="347" spans="1:20" x14ac:dyDescent="0.3">
      <c r="A347" t="s">
        <v>359</v>
      </c>
      <c r="B347" t="s">
        <v>360</v>
      </c>
      <c r="C347">
        <v>2392</v>
      </c>
      <c r="D347">
        <v>3832</v>
      </c>
      <c r="E347">
        <v>1315</v>
      </c>
      <c r="F347">
        <v>84.48</v>
      </c>
      <c r="G347">
        <v>91743</v>
      </c>
      <c r="H347">
        <v>60195</v>
      </c>
      <c r="I347">
        <v>1.08</v>
      </c>
      <c r="J347" t="s">
        <v>20</v>
      </c>
      <c r="K347" t="s">
        <v>1532</v>
      </c>
      <c r="L347" s="25">
        <v>0.5363310185185185</v>
      </c>
      <c r="M347">
        <v>0.8448</v>
      </c>
      <c r="N347">
        <v>1.0800000000000001E-2</v>
      </c>
      <c r="O347">
        <v>7539</v>
      </c>
      <c r="P347">
        <v>0.125242960378769</v>
      </c>
      <c r="Q347" t="s">
        <v>1238</v>
      </c>
      <c r="R347" t="s">
        <v>1239</v>
      </c>
      <c r="S347" t="s">
        <v>1230</v>
      </c>
      <c r="T347">
        <v>3</v>
      </c>
    </row>
    <row r="348" spans="1:20" x14ac:dyDescent="0.3">
      <c r="A348" t="s">
        <v>359</v>
      </c>
      <c r="B348" t="s">
        <v>360</v>
      </c>
      <c r="C348">
        <v>2392</v>
      </c>
      <c r="D348">
        <v>3832</v>
      </c>
      <c r="E348">
        <v>1315</v>
      </c>
      <c r="F348">
        <v>84.48</v>
      </c>
      <c r="G348">
        <v>91743</v>
      </c>
      <c r="H348">
        <v>60195</v>
      </c>
      <c r="I348">
        <v>1.08</v>
      </c>
      <c r="J348" t="s">
        <v>20</v>
      </c>
      <c r="K348" t="s">
        <v>1533</v>
      </c>
      <c r="L348" s="25">
        <v>0.5363310185185185</v>
      </c>
      <c r="M348">
        <v>0.8448</v>
      </c>
      <c r="N348">
        <v>1.0800000000000001E-2</v>
      </c>
      <c r="O348">
        <v>7539</v>
      </c>
      <c r="P348">
        <v>0.125242960378769</v>
      </c>
      <c r="Q348" t="s">
        <v>1238</v>
      </c>
      <c r="R348" t="s">
        <v>1239</v>
      </c>
      <c r="S348" t="s">
        <v>1230</v>
      </c>
      <c r="T348">
        <v>3</v>
      </c>
    </row>
    <row r="349" spans="1:20" x14ac:dyDescent="0.3">
      <c r="A349" t="s">
        <v>359</v>
      </c>
      <c r="B349" t="s">
        <v>360</v>
      </c>
      <c r="C349">
        <v>2392</v>
      </c>
      <c r="D349">
        <v>3832</v>
      </c>
      <c r="E349">
        <v>1315</v>
      </c>
      <c r="F349">
        <v>84.48</v>
      </c>
      <c r="G349">
        <v>91743</v>
      </c>
      <c r="H349">
        <v>60195</v>
      </c>
      <c r="I349">
        <v>1.08</v>
      </c>
      <c r="J349" t="s">
        <v>20</v>
      </c>
      <c r="K349" t="s">
        <v>1413</v>
      </c>
      <c r="L349" s="25">
        <v>0.5363310185185185</v>
      </c>
      <c r="M349">
        <v>0.8448</v>
      </c>
      <c r="N349">
        <v>1.0800000000000001E-2</v>
      </c>
      <c r="O349">
        <v>7539</v>
      </c>
      <c r="P349">
        <v>0.125242960378769</v>
      </c>
      <c r="Q349" t="s">
        <v>1238</v>
      </c>
      <c r="R349" t="s">
        <v>1239</v>
      </c>
      <c r="S349" t="s">
        <v>1230</v>
      </c>
      <c r="T349">
        <v>3</v>
      </c>
    </row>
    <row r="350" spans="1:20" x14ac:dyDescent="0.3">
      <c r="A350" t="s">
        <v>362</v>
      </c>
      <c r="B350" t="s">
        <v>363</v>
      </c>
      <c r="C350">
        <v>3307</v>
      </c>
      <c r="D350">
        <v>3730</v>
      </c>
      <c r="E350">
        <v>201</v>
      </c>
      <c r="F350">
        <v>85.4</v>
      </c>
      <c r="G350">
        <v>7873</v>
      </c>
      <c r="H350">
        <v>91099</v>
      </c>
      <c r="I350">
        <v>3.41</v>
      </c>
      <c r="J350" t="s">
        <v>42</v>
      </c>
      <c r="K350" t="s">
        <v>1534</v>
      </c>
      <c r="L350" s="25">
        <v>0.90593749999999995</v>
      </c>
      <c r="M350">
        <v>0.85400000000000009</v>
      </c>
      <c r="N350">
        <v>3.4099999999999998E-2</v>
      </c>
      <c r="O350">
        <v>7238</v>
      </c>
      <c r="P350">
        <v>7.9452024720359171E-2</v>
      </c>
      <c r="Q350" t="s">
        <v>1238</v>
      </c>
      <c r="R350" t="s">
        <v>1239</v>
      </c>
      <c r="S350" t="s">
        <v>1233</v>
      </c>
      <c r="T350">
        <v>3</v>
      </c>
    </row>
    <row r="351" spans="1:20" x14ac:dyDescent="0.3">
      <c r="A351" t="s">
        <v>362</v>
      </c>
      <c r="B351" t="s">
        <v>363</v>
      </c>
      <c r="C351">
        <v>3307</v>
      </c>
      <c r="D351">
        <v>3730</v>
      </c>
      <c r="E351">
        <v>201</v>
      </c>
      <c r="F351">
        <v>85.4</v>
      </c>
      <c r="G351">
        <v>7873</v>
      </c>
      <c r="H351">
        <v>91099</v>
      </c>
      <c r="I351">
        <v>3.41</v>
      </c>
      <c r="J351" t="s">
        <v>42</v>
      </c>
      <c r="K351" t="s">
        <v>1535</v>
      </c>
      <c r="L351" s="25">
        <v>0.90593749999999995</v>
      </c>
      <c r="M351">
        <v>0.85400000000000009</v>
      </c>
      <c r="N351">
        <v>3.4099999999999998E-2</v>
      </c>
      <c r="O351">
        <v>7238</v>
      </c>
      <c r="P351">
        <v>7.9452024720359171E-2</v>
      </c>
      <c r="Q351" t="s">
        <v>1238</v>
      </c>
      <c r="R351" t="s">
        <v>1239</v>
      </c>
      <c r="S351" t="s">
        <v>1233</v>
      </c>
      <c r="T351">
        <v>3</v>
      </c>
    </row>
    <row r="352" spans="1:20" x14ac:dyDescent="0.3">
      <c r="A352" t="s">
        <v>362</v>
      </c>
      <c r="B352" t="s">
        <v>363</v>
      </c>
      <c r="C352">
        <v>3307</v>
      </c>
      <c r="D352">
        <v>3730</v>
      </c>
      <c r="E352">
        <v>201</v>
      </c>
      <c r="F352">
        <v>85.4</v>
      </c>
      <c r="G352">
        <v>7873</v>
      </c>
      <c r="H352">
        <v>91099</v>
      </c>
      <c r="I352">
        <v>3.41</v>
      </c>
      <c r="J352" t="s">
        <v>42</v>
      </c>
      <c r="K352" t="s">
        <v>1536</v>
      </c>
      <c r="L352" s="25">
        <v>0.90593749999999995</v>
      </c>
      <c r="M352">
        <v>0.85400000000000009</v>
      </c>
      <c r="N352">
        <v>3.4099999999999998E-2</v>
      </c>
      <c r="O352">
        <v>7238</v>
      </c>
      <c r="P352">
        <v>7.9452024720359171E-2</v>
      </c>
      <c r="Q352" t="s">
        <v>1238</v>
      </c>
      <c r="R352" t="s">
        <v>1239</v>
      </c>
      <c r="S352" t="s">
        <v>1233</v>
      </c>
      <c r="T352">
        <v>3</v>
      </c>
    </row>
    <row r="353" spans="1:20" x14ac:dyDescent="0.3">
      <c r="A353" t="s">
        <v>365</v>
      </c>
      <c r="B353" t="s">
        <v>366</v>
      </c>
      <c r="C353">
        <v>8127</v>
      </c>
      <c r="D353">
        <v>3948</v>
      </c>
      <c r="E353">
        <v>1622</v>
      </c>
      <c r="F353">
        <v>11.77</v>
      </c>
      <c r="G353">
        <v>32112</v>
      </c>
      <c r="H353">
        <v>63971</v>
      </c>
      <c r="I353">
        <v>3.89</v>
      </c>
      <c r="J353" t="s">
        <v>16</v>
      </c>
      <c r="K353" t="s">
        <v>1310</v>
      </c>
      <c r="L353" s="25">
        <v>0.77356481481481476</v>
      </c>
      <c r="M353">
        <v>0.1177</v>
      </c>
      <c r="N353">
        <v>3.8900000000000004E-2</v>
      </c>
      <c r="O353">
        <v>13697</v>
      </c>
      <c r="P353">
        <v>0.21411264479217146</v>
      </c>
      <c r="Q353" t="s">
        <v>1238</v>
      </c>
      <c r="R353" t="s">
        <v>1239</v>
      </c>
      <c r="S353" t="s">
        <v>1232</v>
      </c>
      <c r="T353">
        <v>3</v>
      </c>
    </row>
    <row r="354" spans="1:20" x14ac:dyDescent="0.3">
      <c r="A354" t="s">
        <v>365</v>
      </c>
      <c r="B354" t="s">
        <v>366</v>
      </c>
      <c r="C354">
        <v>8127</v>
      </c>
      <c r="D354">
        <v>3948</v>
      </c>
      <c r="E354">
        <v>1622</v>
      </c>
      <c r="F354">
        <v>11.77</v>
      </c>
      <c r="G354">
        <v>32112</v>
      </c>
      <c r="H354">
        <v>63971</v>
      </c>
      <c r="I354">
        <v>3.89</v>
      </c>
      <c r="J354" t="s">
        <v>16</v>
      </c>
      <c r="K354" t="s">
        <v>1537</v>
      </c>
      <c r="L354" s="25">
        <v>0.77356481481481476</v>
      </c>
      <c r="M354">
        <v>0.1177</v>
      </c>
      <c r="N354">
        <v>3.8900000000000004E-2</v>
      </c>
      <c r="O354">
        <v>13697</v>
      </c>
      <c r="P354">
        <v>0.21411264479217146</v>
      </c>
      <c r="Q354" t="s">
        <v>1238</v>
      </c>
      <c r="R354" t="s">
        <v>1239</v>
      </c>
      <c r="S354" t="s">
        <v>1232</v>
      </c>
      <c r="T354">
        <v>3</v>
      </c>
    </row>
    <row r="355" spans="1:20" x14ac:dyDescent="0.3">
      <c r="A355" t="s">
        <v>365</v>
      </c>
      <c r="B355" t="s">
        <v>366</v>
      </c>
      <c r="C355">
        <v>8127</v>
      </c>
      <c r="D355">
        <v>3948</v>
      </c>
      <c r="E355">
        <v>1622</v>
      </c>
      <c r="F355">
        <v>11.77</v>
      </c>
      <c r="G355">
        <v>32112</v>
      </c>
      <c r="H355">
        <v>63971</v>
      </c>
      <c r="I355">
        <v>3.89</v>
      </c>
      <c r="J355" t="s">
        <v>16</v>
      </c>
      <c r="K355" t="s">
        <v>1538</v>
      </c>
      <c r="L355" s="25">
        <v>0.77356481481481476</v>
      </c>
      <c r="M355">
        <v>0.1177</v>
      </c>
      <c r="N355">
        <v>3.8900000000000004E-2</v>
      </c>
      <c r="O355">
        <v>13697</v>
      </c>
      <c r="P355">
        <v>0.21411264479217146</v>
      </c>
      <c r="Q355" t="s">
        <v>1238</v>
      </c>
      <c r="R355" t="s">
        <v>1239</v>
      </c>
      <c r="S355" t="s">
        <v>1232</v>
      </c>
      <c r="T355">
        <v>3</v>
      </c>
    </row>
    <row r="356" spans="1:20" x14ac:dyDescent="0.3">
      <c r="A356" t="s">
        <v>368</v>
      </c>
      <c r="B356" t="s">
        <v>369</v>
      </c>
      <c r="C356">
        <v>2799</v>
      </c>
      <c r="D356">
        <v>2515</v>
      </c>
      <c r="E356">
        <v>349</v>
      </c>
      <c r="F356">
        <v>49.91</v>
      </c>
      <c r="G356">
        <v>27576</v>
      </c>
      <c r="H356">
        <v>87596</v>
      </c>
      <c r="I356">
        <v>1.2</v>
      </c>
      <c r="J356" t="s">
        <v>20</v>
      </c>
      <c r="K356" t="s">
        <v>1445</v>
      </c>
      <c r="L356" s="25">
        <v>0.91947916666666663</v>
      </c>
      <c r="M356">
        <v>0.49909999999999999</v>
      </c>
      <c r="N356">
        <v>1.2E-2</v>
      </c>
      <c r="O356">
        <v>5663</v>
      </c>
      <c r="P356">
        <v>6.4649070733823463E-2</v>
      </c>
      <c r="Q356" t="s">
        <v>1238</v>
      </c>
      <c r="R356" t="s">
        <v>1239</v>
      </c>
      <c r="S356" t="s">
        <v>1233</v>
      </c>
      <c r="T356">
        <v>3</v>
      </c>
    </row>
    <row r="357" spans="1:20" x14ac:dyDescent="0.3">
      <c r="A357" t="s">
        <v>368</v>
      </c>
      <c r="B357" t="s">
        <v>369</v>
      </c>
      <c r="C357">
        <v>2799</v>
      </c>
      <c r="D357">
        <v>2515</v>
      </c>
      <c r="E357">
        <v>349</v>
      </c>
      <c r="F357">
        <v>49.91</v>
      </c>
      <c r="G357">
        <v>27576</v>
      </c>
      <c r="H357">
        <v>87596</v>
      </c>
      <c r="I357">
        <v>1.2</v>
      </c>
      <c r="J357" t="s">
        <v>20</v>
      </c>
      <c r="K357" t="s">
        <v>1539</v>
      </c>
      <c r="L357" s="25">
        <v>0.91947916666666663</v>
      </c>
      <c r="M357">
        <v>0.49909999999999999</v>
      </c>
      <c r="N357">
        <v>1.2E-2</v>
      </c>
      <c r="O357">
        <v>5663</v>
      </c>
      <c r="P357">
        <v>6.4649070733823463E-2</v>
      </c>
      <c r="Q357" t="s">
        <v>1238</v>
      </c>
      <c r="R357" t="s">
        <v>1239</v>
      </c>
      <c r="S357" t="s">
        <v>1233</v>
      </c>
      <c r="T357">
        <v>3</v>
      </c>
    </row>
    <row r="358" spans="1:20" x14ac:dyDescent="0.3">
      <c r="A358" t="s">
        <v>368</v>
      </c>
      <c r="B358" t="s">
        <v>369</v>
      </c>
      <c r="C358">
        <v>2799</v>
      </c>
      <c r="D358">
        <v>2515</v>
      </c>
      <c r="E358">
        <v>349</v>
      </c>
      <c r="F358">
        <v>49.91</v>
      </c>
      <c r="G358">
        <v>27576</v>
      </c>
      <c r="H358">
        <v>87596</v>
      </c>
      <c r="I358">
        <v>1.2</v>
      </c>
      <c r="J358" t="s">
        <v>20</v>
      </c>
      <c r="K358" t="s">
        <v>1252</v>
      </c>
      <c r="L358" s="25">
        <v>0.91947916666666663</v>
      </c>
      <c r="M358">
        <v>0.49909999999999999</v>
      </c>
      <c r="N358">
        <v>1.2E-2</v>
      </c>
      <c r="O358">
        <v>5663</v>
      </c>
      <c r="P358">
        <v>6.4649070733823463E-2</v>
      </c>
      <c r="Q358" t="s">
        <v>1238</v>
      </c>
      <c r="R358" t="s">
        <v>1239</v>
      </c>
      <c r="S358" t="s">
        <v>1233</v>
      </c>
      <c r="T358">
        <v>3</v>
      </c>
    </row>
    <row r="359" spans="1:20" x14ac:dyDescent="0.3">
      <c r="A359" t="s">
        <v>371</v>
      </c>
      <c r="B359" t="s">
        <v>372</v>
      </c>
      <c r="C359">
        <v>4455</v>
      </c>
      <c r="D359">
        <v>4130</v>
      </c>
      <c r="E359">
        <v>649</v>
      </c>
      <c r="F359">
        <v>79.67</v>
      </c>
      <c r="G359">
        <v>14460</v>
      </c>
      <c r="H359">
        <v>45538</v>
      </c>
      <c r="I359">
        <v>3.85</v>
      </c>
      <c r="J359" t="s">
        <v>42</v>
      </c>
      <c r="K359" t="s">
        <v>1540</v>
      </c>
      <c r="L359" s="25">
        <v>9.1099537037037034E-2</v>
      </c>
      <c r="M359">
        <v>0.79669999999999996</v>
      </c>
      <c r="N359">
        <v>3.85E-2</v>
      </c>
      <c r="O359">
        <v>9234</v>
      </c>
      <c r="P359">
        <v>0.20277570380780885</v>
      </c>
      <c r="Q359" t="s">
        <v>1238</v>
      </c>
      <c r="R359" t="s">
        <v>1239</v>
      </c>
      <c r="S359" t="s">
        <v>1231</v>
      </c>
      <c r="T359">
        <v>3</v>
      </c>
    </row>
    <row r="360" spans="1:20" x14ac:dyDescent="0.3">
      <c r="A360" t="s">
        <v>371</v>
      </c>
      <c r="B360" t="s">
        <v>372</v>
      </c>
      <c r="C360">
        <v>4455</v>
      </c>
      <c r="D360">
        <v>4130</v>
      </c>
      <c r="E360">
        <v>649</v>
      </c>
      <c r="F360">
        <v>79.67</v>
      </c>
      <c r="G360">
        <v>14460</v>
      </c>
      <c r="H360">
        <v>45538</v>
      </c>
      <c r="I360">
        <v>3.85</v>
      </c>
      <c r="J360" t="s">
        <v>42</v>
      </c>
      <c r="K360" t="s">
        <v>1481</v>
      </c>
      <c r="L360" s="25">
        <v>9.1099537037037034E-2</v>
      </c>
      <c r="M360">
        <v>0.79669999999999996</v>
      </c>
      <c r="N360">
        <v>3.85E-2</v>
      </c>
      <c r="O360">
        <v>9234</v>
      </c>
      <c r="P360">
        <v>0.20277570380780885</v>
      </c>
      <c r="Q360" t="s">
        <v>1238</v>
      </c>
      <c r="R360" t="s">
        <v>1239</v>
      </c>
      <c r="S360" t="s">
        <v>1231</v>
      </c>
      <c r="T360">
        <v>3</v>
      </c>
    </row>
    <row r="361" spans="1:20" x14ac:dyDescent="0.3">
      <c r="A361" t="s">
        <v>371</v>
      </c>
      <c r="B361" t="s">
        <v>372</v>
      </c>
      <c r="C361">
        <v>4455</v>
      </c>
      <c r="D361">
        <v>4130</v>
      </c>
      <c r="E361">
        <v>649</v>
      </c>
      <c r="F361">
        <v>79.67</v>
      </c>
      <c r="G361">
        <v>14460</v>
      </c>
      <c r="H361">
        <v>45538</v>
      </c>
      <c r="I361">
        <v>3.85</v>
      </c>
      <c r="J361" t="s">
        <v>42</v>
      </c>
      <c r="K361" t="s">
        <v>1541</v>
      </c>
      <c r="L361" s="25">
        <v>9.1099537037037034E-2</v>
      </c>
      <c r="M361">
        <v>0.79669999999999996</v>
      </c>
      <c r="N361">
        <v>3.85E-2</v>
      </c>
      <c r="O361">
        <v>9234</v>
      </c>
      <c r="P361">
        <v>0.20277570380780885</v>
      </c>
      <c r="Q361" t="s">
        <v>1238</v>
      </c>
      <c r="R361" t="s">
        <v>1239</v>
      </c>
      <c r="S361" t="s">
        <v>1231</v>
      </c>
      <c r="T361">
        <v>3</v>
      </c>
    </row>
    <row r="362" spans="1:20" x14ac:dyDescent="0.3">
      <c r="A362" t="s">
        <v>374</v>
      </c>
      <c r="B362" t="s">
        <v>375</v>
      </c>
      <c r="C362">
        <v>7761</v>
      </c>
      <c r="D362">
        <v>251</v>
      </c>
      <c r="E362">
        <v>1234</v>
      </c>
      <c r="F362">
        <v>39.409999999999997</v>
      </c>
      <c r="G362">
        <v>79321</v>
      </c>
      <c r="H362">
        <v>83204</v>
      </c>
      <c r="I362">
        <v>7.35</v>
      </c>
      <c r="J362" t="s">
        <v>20</v>
      </c>
      <c r="K362" t="s">
        <v>1542</v>
      </c>
      <c r="L362" s="25">
        <v>0.66378472222222218</v>
      </c>
      <c r="M362">
        <v>0.39409999999999995</v>
      </c>
      <c r="N362">
        <v>7.3499999999999996E-2</v>
      </c>
      <c r="O362">
        <v>9246</v>
      </c>
      <c r="P362">
        <v>0.11112446516994376</v>
      </c>
      <c r="Q362" t="s">
        <v>1238</v>
      </c>
      <c r="R362" t="s">
        <v>1239</v>
      </c>
      <c r="S362" t="s">
        <v>1230</v>
      </c>
      <c r="T362">
        <v>3</v>
      </c>
    </row>
    <row r="363" spans="1:20" x14ac:dyDescent="0.3">
      <c r="A363" t="s">
        <v>374</v>
      </c>
      <c r="B363" t="s">
        <v>375</v>
      </c>
      <c r="C363">
        <v>7761</v>
      </c>
      <c r="D363">
        <v>251</v>
      </c>
      <c r="E363">
        <v>1234</v>
      </c>
      <c r="F363">
        <v>39.409999999999997</v>
      </c>
      <c r="G363">
        <v>79321</v>
      </c>
      <c r="H363">
        <v>83204</v>
      </c>
      <c r="I363">
        <v>7.35</v>
      </c>
      <c r="J363" t="s">
        <v>20</v>
      </c>
      <c r="K363" t="s">
        <v>1543</v>
      </c>
      <c r="L363" s="25">
        <v>0.66378472222222218</v>
      </c>
      <c r="M363">
        <v>0.39409999999999995</v>
      </c>
      <c r="N363">
        <v>7.3499999999999996E-2</v>
      </c>
      <c r="O363">
        <v>9246</v>
      </c>
      <c r="P363">
        <v>0.11112446516994376</v>
      </c>
      <c r="Q363" t="s">
        <v>1238</v>
      </c>
      <c r="R363" t="s">
        <v>1239</v>
      </c>
      <c r="S363" t="s">
        <v>1230</v>
      </c>
      <c r="T363">
        <v>3</v>
      </c>
    </row>
    <row r="364" spans="1:20" x14ac:dyDescent="0.3">
      <c r="A364" t="s">
        <v>374</v>
      </c>
      <c r="B364" t="s">
        <v>375</v>
      </c>
      <c r="C364">
        <v>7761</v>
      </c>
      <c r="D364">
        <v>251</v>
      </c>
      <c r="E364">
        <v>1234</v>
      </c>
      <c r="F364">
        <v>39.409999999999997</v>
      </c>
      <c r="G364">
        <v>79321</v>
      </c>
      <c r="H364">
        <v>83204</v>
      </c>
      <c r="I364">
        <v>7.35</v>
      </c>
      <c r="J364" t="s">
        <v>20</v>
      </c>
      <c r="K364" t="s">
        <v>1544</v>
      </c>
      <c r="L364" s="25">
        <v>0.66378472222222218</v>
      </c>
      <c r="M364">
        <v>0.39409999999999995</v>
      </c>
      <c r="N364">
        <v>7.3499999999999996E-2</v>
      </c>
      <c r="O364">
        <v>9246</v>
      </c>
      <c r="P364">
        <v>0.11112446516994376</v>
      </c>
      <c r="Q364" t="s">
        <v>1238</v>
      </c>
      <c r="R364" t="s">
        <v>1239</v>
      </c>
      <c r="S364" t="s">
        <v>1230</v>
      </c>
      <c r="T364">
        <v>3</v>
      </c>
    </row>
    <row r="365" spans="1:20" x14ac:dyDescent="0.3">
      <c r="A365" t="s">
        <v>377</v>
      </c>
      <c r="B365" t="s">
        <v>378</v>
      </c>
      <c r="C365">
        <v>4546</v>
      </c>
      <c r="D365">
        <v>4820</v>
      </c>
      <c r="E365">
        <v>1460</v>
      </c>
      <c r="F365">
        <v>6.65</v>
      </c>
      <c r="G365">
        <v>97996</v>
      </c>
      <c r="H365">
        <v>86585</v>
      </c>
      <c r="I365">
        <v>1.51</v>
      </c>
      <c r="J365" t="s">
        <v>16</v>
      </c>
      <c r="K365" t="s">
        <v>1545</v>
      </c>
      <c r="L365" s="25">
        <v>0.2388888888888889</v>
      </c>
      <c r="M365">
        <v>6.6500000000000004E-2</v>
      </c>
      <c r="N365">
        <v>1.5100000000000001E-2</v>
      </c>
      <c r="O365">
        <v>10826</v>
      </c>
      <c r="P365">
        <v>0.12503320436565224</v>
      </c>
      <c r="Q365" t="s">
        <v>1238</v>
      </c>
      <c r="R365" t="s">
        <v>1239</v>
      </c>
      <c r="S365" t="s">
        <v>1231</v>
      </c>
      <c r="T365">
        <v>3</v>
      </c>
    </row>
    <row r="366" spans="1:20" x14ac:dyDescent="0.3">
      <c r="A366" t="s">
        <v>377</v>
      </c>
      <c r="B366" t="s">
        <v>378</v>
      </c>
      <c r="C366">
        <v>4546</v>
      </c>
      <c r="D366">
        <v>4820</v>
      </c>
      <c r="E366">
        <v>1460</v>
      </c>
      <c r="F366">
        <v>6.65</v>
      </c>
      <c r="G366">
        <v>97996</v>
      </c>
      <c r="H366">
        <v>86585</v>
      </c>
      <c r="I366">
        <v>1.51</v>
      </c>
      <c r="J366" t="s">
        <v>16</v>
      </c>
      <c r="K366" t="s">
        <v>1454</v>
      </c>
      <c r="L366" s="25">
        <v>0.2388888888888889</v>
      </c>
      <c r="M366">
        <v>6.6500000000000004E-2</v>
      </c>
      <c r="N366">
        <v>1.5100000000000001E-2</v>
      </c>
      <c r="O366">
        <v>10826</v>
      </c>
      <c r="P366">
        <v>0.12503320436565224</v>
      </c>
      <c r="Q366" t="s">
        <v>1238</v>
      </c>
      <c r="R366" t="s">
        <v>1239</v>
      </c>
      <c r="S366" t="s">
        <v>1231</v>
      </c>
      <c r="T366">
        <v>3</v>
      </c>
    </row>
    <row r="367" spans="1:20" x14ac:dyDescent="0.3">
      <c r="A367" t="s">
        <v>377</v>
      </c>
      <c r="B367" t="s">
        <v>378</v>
      </c>
      <c r="C367">
        <v>4546</v>
      </c>
      <c r="D367">
        <v>4820</v>
      </c>
      <c r="E367">
        <v>1460</v>
      </c>
      <c r="F367">
        <v>6.65</v>
      </c>
      <c r="G367">
        <v>97996</v>
      </c>
      <c r="H367">
        <v>86585</v>
      </c>
      <c r="I367">
        <v>1.51</v>
      </c>
      <c r="J367" t="s">
        <v>16</v>
      </c>
      <c r="K367" t="s">
        <v>1445</v>
      </c>
      <c r="L367" s="25">
        <v>0.2388888888888889</v>
      </c>
      <c r="M367">
        <v>6.6500000000000004E-2</v>
      </c>
      <c r="N367">
        <v>1.5100000000000001E-2</v>
      </c>
      <c r="O367">
        <v>10826</v>
      </c>
      <c r="P367">
        <v>0.12503320436565224</v>
      </c>
      <c r="Q367" t="s">
        <v>1238</v>
      </c>
      <c r="R367" t="s">
        <v>1239</v>
      </c>
      <c r="S367" t="s">
        <v>1231</v>
      </c>
      <c r="T367">
        <v>3</v>
      </c>
    </row>
    <row r="368" spans="1:20" x14ac:dyDescent="0.3">
      <c r="A368" t="s">
        <v>380</v>
      </c>
      <c r="B368" t="s">
        <v>381</v>
      </c>
      <c r="C368">
        <v>4424</v>
      </c>
      <c r="D368">
        <v>3491</v>
      </c>
      <c r="E368">
        <v>1587</v>
      </c>
      <c r="F368">
        <v>73.010000000000005</v>
      </c>
      <c r="G368">
        <v>4102</v>
      </c>
      <c r="H368">
        <v>95838</v>
      </c>
      <c r="I368">
        <v>0.25</v>
      </c>
      <c r="J368" t="s">
        <v>16</v>
      </c>
      <c r="K368" t="s">
        <v>1546</v>
      </c>
      <c r="L368" s="25">
        <v>0.34447916666666667</v>
      </c>
      <c r="M368">
        <v>0.73010000000000008</v>
      </c>
      <c r="N368">
        <v>2.5000000000000001E-3</v>
      </c>
      <c r="O368">
        <v>9502</v>
      </c>
      <c r="P368">
        <v>9.9146476345499696E-2</v>
      </c>
      <c r="Q368" t="s">
        <v>1238</v>
      </c>
      <c r="R368" t="s">
        <v>1239</v>
      </c>
      <c r="S368" t="s">
        <v>1231</v>
      </c>
      <c r="T368">
        <v>3</v>
      </c>
    </row>
    <row r="369" spans="1:20" x14ac:dyDescent="0.3">
      <c r="A369" t="s">
        <v>380</v>
      </c>
      <c r="B369" t="s">
        <v>381</v>
      </c>
      <c r="C369">
        <v>4424</v>
      </c>
      <c r="D369">
        <v>3491</v>
      </c>
      <c r="E369">
        <v>1587</v>
      </c>
      <c r="F369">
        <v>73.010000000000005</v>
      </c>
      <c r="G369">
        <v>4102</v>
      </c>
      <c r="H369">
        <v>95838</v>
      </c>
      <c r="I369">
        <v>0.25</v>
      </c>
      <c r="J369" t="s">
        <v>16</v>
      </c>
      <c r="K369" t="s">
        <v>1547</v>
      </c>
      <c r="L369" s="25">
        <v>0.34447916666666667</v>
      </c>
      <c r="M369">
        <v>0.73010000000000008</v>
      </c>
      <c r="N369">
        <v>2.5000000000000001E-3</v>
      </c>
      <c r="O369">
        <v>9502</v>
      </c>
      <c r="P369">
        <v>9.9146476345499696E-2</v>
      </c>
      <c r="Q369" t="s">
        <v>1238</v>
      </c>
      <c r="R369" t="s">
        <v>1239</v>
      </c>
      <c r="S369" t="s">
        <v>1231</v>
      </c>
      <c r="T369">
        <v>3</v>
      </c>
    </row>
    <row r="370" spans="1:20" x14ac:dyDescent="0.3">
      <c r="A370" t="s">
        <v>380</v>
      </c>
      <c r="B370" t="s">
        <v>381</v>
      </c>
      <c r="C370">
        <v>4424</v>
      </c>
      <c r="D370">
        <v>3491</v>
      </c>
      <c r="E370">
        <v>1587</v>
      </c>
      <c r="F370">
        <v>73.010000000000005</v>
      </c>
      <c r="G370">
        <v>4102</v>
      </c>
      <c r="H370">
        <v>95838</v>
      </c>
      <c r="I370">
        <v>0.25</v>
      </c>
      <c r="J370" t="s">
        <v>16</v>
      </c>
      <c r="K370" t="s">
        <v>1274</v>
      </c>
      <c r="L370" s="25">
        <v>0.34447916666666667</v>
      </c>
      <c r="M370">
        <v>0.73010000000000008</v>
      </c>
      <c r="N370">
        <v>2.5000000000000001E-3</v>
      </c>
      <c r="O370">
        <v>9502</v>
      </c>
      <c r="P370">
        <v>9.9146476345499696E-2</v>
      </c>
      <c r="Q370" t="s">
        <v>1238</v>
      </c>
      <c r="R370" t="s">
        <v>1239</v>
      </c>
      <c r="S370" t="s">
        <v>1231</v>
      </c>
      <c r="T370">
        <v>3</v>
      </c>
    </row>
    <row r="371" spans="1:20" x14ac:dyDescent="0.3">
      <c r="A371" t="s">
        <v>383</v>
      </c>
      <c r="B371" t="s">
        <v>384</v>
      </c>
      <c r="C371">
        <v>4153</v>
      </c>
      <c r="D371">
        <v>869</v>
      </c>
      <c r="E371">
        <v>698</v>
      </c>
      <c r="F371">
        <v>12.51</v>
      </c>
      <c r="G371">
        <v>41737</v>
      </c>
      <c r="H371">
        <v>85872</v>
      </c>
      <c r="I371">
        <v>3.32</v>
      </c>
      <c r="J371" t="s">
        <v>42</v>
      </c>
      <c r="K371" t="s">
        <v>1548</v>
      </c>
      <c r="L371" s="25">
        <v>0.25597222222222221</v>
      </c>
      <c r="M371">
        <v>0.12509999999999999</v>
      </c>
      <c r="N371">
        <v>3.32E-2</v>
      </c>
      <c r="O371">
        <v>5720</v>
      </c>
      <c r="P371">
        <v>6.6610769517421273E-2</v>
      </c>
      <c r="Q371" t="s">
        <v>1238</v>
      </c>
      <c r="R371" t="s">
        <v>1239</v>
      </c>
      <c r="S371" t="s">
        <v>1231</v>
      </c>
      <c r="T371">
        <v>3</v>
      </c>
    </row>
    <row r="372" spans="1:20" x14ac:dyDescent="0.3">
      <c r="A372" t="s">
        <v>383</v>
      </c>
      <c r="B372" t="s">
        <v>384</v>
      </c>
      <c r="C372">
        <v>4153</v>
      </c>
      <c r="D372">
        <v>869</v>
      </c>
      <c r="E372">
        <v>698</v>
      </c>
      <c r="F372">
        <v>12.51</v>
      </c>
      <c r="G372">
        <v>41737</v>
      </c>
      <c r="H372">
        <v>85872</v>
      </c>
      <c r="I372">
        <v>3.32</v>
      </c>
      <c r="J372" t="s">
        <v>42</v>
      </c>
      <c r="K372" t="s">
        <v>1549</v>
      </c>
      <c r="L372" s="25">
        <v>0.25597222222222221</v>
      </c>
      <c r="M372">
        <v>0.12509999999999999</v>
      </c>
      <c r="N372">
        <v>3.32E-2</v>
      </c>
      <c r="O372">
        <v>5720</v>
      </c>
      <c r="P372">
        <v>6.6610769517421273E-2</v>
      </c>
      <c r="Q372" t="s">
        <v>1238</v>
      </c>
      <c r="R372" t="s">
        <v>1239</v>
      </c>
      <c r="S372" t="s">
        <v>1231</v>
      </c>
      <c r="T372">
        <v>3</v>
      </c>
    </row>
    <row r="373" spans="1:20" x14ac:dyDescent="0.3">
      <c r="A373" t="s">
        <v>383</v>
      </c>
      <c r="B373" t="s">
        <v>384</v>
      </c>
      <c r="C373">
        <v>4153</v>
      </c>
      <c r="D373">
        <v>869</v>
      </c>
      <c r="E373">
        <v>698</v>
      </c>
      <c r="F373">
        <v>12.51</v>
      </c>
      <c r="G373">
        <v>41737</v>
      </c>
      <c r="H373">
        <v>85872</v>
      </c>
      <c r="I373">
        <v>3.32</v>
      </c>
      <c r="J373" t="s">
        <v>42</v>
      </c>
      <c r="K373" t="s">
        <v>1550</v>
      </c>
      <c r="L373" s="25">
        <v>0.25597222222222221</v>
      </c>
      <c r="M373">
        <v>0.12509999999999999</v>
      </c>
      <c r="N373">
        <v>3.32E-2</v>
      </c>
      <c r="O373">
        <v>5720</v>
      </c>
      <c r="P373">
        <v>6.6610769517421273E-2</v>
      </c>
      <c r="Q373" t="s">
        <v>1238</v>
      </c>
      <c r="R373" t="s">
        <v>1239</v>
      </c>
      <c r="S373" t="s">
        <v>1231</v>
      </c>
      <c r="T373">
        <v>3</v>
      </c>
    </row>
    <row r="374" spans="1:20" x14ac:dyDescent="0.3">
      <c r="A374" t="s">
        <v>386</v>
      </c>
      <c r="B374" t="s">
        <v>387</v>
      </c>
      <c r="C374">
        <v>1803</v>
      </c>
      <c r="D374">
        <v>1132</v>
      </c>
      <c r="E374">
        <v>973</v>
      </c>
      <c r="F374">
        <v>67.2</v>
      </c>
      <c r="G374">
        <v>82502</v>
      </c>
      <c r="H374">
        <v>35757</v>
      </c>
      <c r="I374">
        <v>1.58</v>
      </c>
      <c r="J374" t="s">
        <v>42</v>
      </c>
      <c r="K374" t="s">
        <v>1480</v>
      </c>
      <c r="L374" s="25">
        <v>0.84471064814814811</v>
      </c>
      <c r="M374">
        <v>0.67200000000000004</v>
      </c>
      <c r="N374">
        <v>1.5800000000000002E-2</v>
      </c>
      <c r="O374">
        <v>3908</v>
      </c>
      <c r="P374">
        <v>0.10929328523086389</v>
      </c>
      <c r="Q374" t="s">
        <v>1238</v>
      </c>
      <c r="R374" t="s">
        <v>1239</v>
      </c>
      <c r="S374" t="s">
        <v>1232</v>
      </c>
      <c r="T374">
        <v>3</v>
      </c>
    </row>
    <row r="375" spans="1:20" x14ac:dyDescent="0.3">
      <c r="A375" t="s">
        <v>386</v>
      </c>
      <c r="B375" t="s">
        <v>387</v>
      </c>
      <c r="C375">
        <v>1803</v>
      </c>
      <c r="D375">
        <v>1132</v>
      </c>
      <c r="E375">
        <v>973</v>
      </c>
      <c r="F375">
        <v>67.2</v>
      </c>
      <c r="G375">
        <v>82502</v>
      </c>
      <c r="H375">
        <v>35757</v>
      </c>
      <c r="I375">
        <v>1.58</v>
      </c>
      <c r="J375" t="s">
        <v>42</v>
      </c>
      <c r="K375" t="s">
        <v>1551</v>
      </c>
      <c r="L375" s="25">
        <v>0.84471064814814811</v>
      </c>
      <c r="M375">
        <v>0.67200000000000004</v>
      </c>
      <c r="N375">
        <v>1.5800000000000002E-2</v>
      </c>
      <c r="O375">
        <v>3908</v>
      </c>
      <c r="P375">
        <v>0.10929328523086389</v>
      </c>
      <c r="Q375" t="s">
        <v>1238</v>
      </c>
      <c r="R375" t="s">
        <v>1239</v>
      </c>
      <c r="S375" t="s">
        <v>1232</v>
      </c>
      <c r="T375">
        <v>3</v>
      </c>
    </row>
    <row r="376" spans="1:20" x14ac:dyDescent="0.3">
      <c r="A376" t="s">
        <v>386</v>
      </c>
      <c r="B376" t="s">
        <v>387</v>
      </c>
      <c r="C376">
        <v>1803</v>
      </c>
      <c r="D376">
        <v>1132</v>
      </c>
      <c r="E376">
        <v>973</v>
      </c>
      <c r="F376">
        <v>67.2</v>
      </c>
      <c r="G376">
        <v>82502</v>
      </c>
      <c r="H376">
        <v>35757</v>
      </c>
      <c r="I376">
        <v>1.58</v>
      </c>
      <c r="J376" t="s">
        <v>42</v>
      </c>
      <c r="K376" t="s">
        <v>1552</v>
      </c>
      <c r="L376" s="25">
        <v>0.84471064814814811</v>
      </c>
      <c r="M376">
        <v>0.67200000000000004</v>
      </c>
      <c r="N376">
        <v>1.5800000000000002E-2</v>
      </c>
      <c r="O376">
        <v>3908</v>
      </c>
      <c r="P376">
        <v>0.10929328523086389</v>
      </c>
      <c r="Q376" t="s">
        <v>1238</v>
      </c>
      <c r="R376" t="s">
        <v>1239</v>
      </c>
      <c r="S376" t="s">
        <v>1232</v>
      </c>
      <c r="T376">
        <v>3</v>
      </c>
    </row>
    <row r="377" spans="1:20" x14ac:dyDescent="0.3">
      <c r="A377" t="s">
        <v>389</v>
      </c>
      <c r="B377" t="s">
        <v>390</v>
      </c>
      <c r="C377">
        <v>3871</v>
      </c>
      <c r="D377">
        <v>1989</v>
      </c>
      <c r="E377">
        <v>1533</v>
      </c>
      <c r="F377">
        <v>87.13</v>
      </c>
      <c r="G377">
        <v>18779</v>
      </c>
      <c r="H377">
        <v>78382</v>
      </c>
      <c r="I377">
        <v>6.26</v>
      </c>
      <c r="J377" t="s">
        <v>20</v>
      </c>
      <c r="K377" t="s">
        <v>1262</v>
      </c>
      <c r="L377" s="25">
        <v>0.28896990740740741</v>
      </c>
      <c r="M377">
        <v>0.87129999999999996</v>
      </c>
      <c r="N377">
        <v>6.2600000000000003E-2</v>
      </c>
      <c r="O377">
        <v>7393</v>
      </c>
      <c r="P377">
        <v>9.4320124518384327E-2</v>
      </c>
      <c r="Q377" t="s">
        <v>1238</v>
      </c>
      <c r="R377" t="s">
        <v>1239</v>
      </c>
      <c r="S377" t="s">
        <v>1231</v>
      </c>
      <c r="T377">
        <v>3</v>
      </c>
    </row>
    <row r="378" spans="1:20" x14ac:dyDescent="0.3">
      <c r="A378" t="s">
        <v>389</v>
      </c>
      <c r="B378" t="s">
        <v>390</v>
      </c>
      <c r="C378">
        <v>3871</v>
      </c>
      <c r="D378">
        <v>1989</v>
      </c>
      <c r="E378">
        <v>1533</v>
      </c>
      <c r="F378">
        <v>87.13</v>
      </c>
      <c r="G378">
        <v>18779</v>
      </c>
      <c r="H378">
        <v>78382</v>
      </c>
      <c r="I378">
        <v>6.26</v>
      </c>
      <c r="J378" t="s">
        <v>20</v>
      </c>
      <c r="K378" t="s">
        <v>1272</v>
      </c>
      <c r="L378" s="25">
        <v>0.28896990740740741</v>
      </c>
      <c r="M378">
        <v>0.87129999999999996</v>
      </c>
      <c r="N378">
        <v>6.2600000000000003E-2</v>
      </c>
      <c r="O378">
        <v>7393</v>
      </c>
      <c r="P378">
        <v>9.4320124518384327E-2</v>
      </c>
      <c r="Q378" t="s">
        <v>1238</v>
      </c>
      <c r="R378" t="s">
        <v>1239</v>
      </c>
      <c r="S378" t="s">
        <v>1231</v>
      </c>
      <c r="T378">
        <v>3</v>
      </c>
    </row>
    <row r="379" spans="1:20" x14ac:dyDescent="0.3">
      <c r="A379" t="s">
        <v>389</v>
      </c>
      <c r="B379" t="s">
        <v>390</v>
      </c>
      <c r="C379">
        <v>3871</v>
      </c>
      <c r="D379">
        <v>1989</v>
      </c>
      <c r="E379">
        <v>1533</v>
      </c>
      <c r="F379">
        <v>87.13</v>
      </c>
      <c r="G379">
        <v>18779</v>
      </c>
      <c r="H379">
        <v>78382</v>
      </c>
      <c r="I379">
        <v>6.26</v>
      </c>
      <c r="J379" t="s">
        <v>20</v>
      </c>
      <c r="K379" t="s">
        <v>1245</v>
      </c>
      <c r="L379" s="25">
        <v>0.28896990740740741</v>
      </c>
      <c r="M379">
        <v>0.87129999999999996</v>
      </c>
      <c r="N379">
        <v>6.2600000000000003E-2</v>
      </c>
      <c r="O379">
        <v>7393</v>
      </c>
      <c r="P379">
        <v>9.4320124518384327E-2</v>
      </c>
      <c r="Q379" t="s">
        <v>1238</v>
      </c>
      <c r="R379" t="s">
        <v>1239</v>
      </c>
      <c r="S379" t="s">
        <v>1231</v>
      </c>
      <c r="T379">
        <v>3</v>
      </c>
    </row>
    <row r="380" spans="1:20" x14ac:dyDescent="0.3">
      <c r="A380" t="s">
        <v>392</v>
      </c>
      <c r="B380" t="s">
        <v>393</v>
      </c>
      <c r="C380">
        <v>6200</v>
      </c>
      <c r="D380">
        <v>3915</v>
      </c>
      <c r="E380">
        <v>1429</v>
      </c>
      <c r="F380">
        <v>42.99</v>
      </c>
      <c r="G380">
        <v>57594</v>
      </c>
      <c r="H380">
        <v>63213</v>
      </c>
      <c r="I380">
        <v>7.46</v>
      </c>
      <c r="J380" t="s">
        <v>12</v>
      </c>
      <c r="K380" t="s">
        <v>1464</v>
      </c>
      <c r="L380" s="25">
        <v>0.12667824074074074</v>
      </c>
      <c r="M380">
        <v>0.4299</v>
      </c>
      <c r="N380">
        <v>7.46E-2</v>
      </c>
      <c r="O380">
        <v>11544</v>
      </c>
      <c r="P380">
        <v>0.18262066347112144</v>
      </c>
      <c r="Q380" t="s">
        <v>1238</v>
      </c>
      <c r="R380" t="s">
        <v>1239</v>
      </c>
      <c r="S380" t="s">
        <v>1231</v>
      </c>
      <c r="T380">
        <v>3</v>
      </c>
    </row>
    <row r="381" spans="1:20" x14ac:dyDescent="0.3">
      <c r="A381" t="s">
        <v>392</v>
      </c>
      <c r="B381" t="s">
        <v>393</v>
      </c>
      <c r="C381">
        <v>6200</v>
      </c>
      <c r="D381">
        <v>3915</v>
      </c>
      <c r="E381">
        <v>1429</v>
      </c>
      <c r="F381">
        <v>42.99</v>
      </c>
      <c r="G381">
        <v>57594</v>
      </c>
      <c r="H381">
        <v>63213</v>
      </c>
      <c r="I381">
        <v>7.46</v>
      </c>
      <c r="J381" t="s">
        <v>12</v>
      </c>
      <c r="K381" t="s">
        <v>1488</v>
      </c>
      <c r="L381" s="25">
        <v>0.12667824074074074</v>
      </c>
      <c r="M381">
        <v>0.4299</v>
      </c>
      <c r="N381">
        <v>7.46E-2</v>
      </c>
      <c r="O381">
        <v>11544</v>
      </c>
      <c r="P381">
        <v>0.18262066347112144</v>
      </c>
      <c r="Q381" t="s">
        <v>1238</v>
      </c>
      <c r="R381" t="s">
        <v>1239</v>
      </c>
      <c r="S381" t="s">
        <v>1231</v>
      </c>
      <c r="T381">
        <v>3</v>
      </c>
    </row>
    <row r="382" spans="1:20" x14ac:dyDescent="0.3">
      <c r="A382" t="s">
        <v>392</v>
      </c>
      <c r="B382" t="s">
        <v>393</v>
      </c>
      <c r="C382">
        <v>6200</v>
      </c>
      <c r="D382">
        <v>3915</v>
      </c>
      <c r="E382">
        <v>1429</v>
      </c>
      <c r="F382">
        <v>42.99</v>
      </c>
      <c r="G382">
        <v>57594</v>
      </c>
      <c r="H382">
        <v>63213</v>
      </c>
      <c r="I382">
        <v>7.46</v>
      </c>
      <c r="J382" t="s">
        <v>12</v>
      </c>
      <c r="K382" t="s">
        <v>1553</v>
      </c>
      <c r="L382" s="25">
        <v>0.12667824074074074</v>
      </c>
      <c r="M382">
        <v>0.4299</v>
      </c>
      <c r="N382">
        <v>7.46E-2</v>
      </c>
      <c r="O382">
        <v>11544</v>
      </c>
      <c r="P382">
        <v>0.18262066347112144</v>
      </c>
      <c r="Q382" t="s">
        <v>1238</v>
      </c>
      <c r="R382" t="s">
        <v>1239</v>
      </c>
      <c r="S382" t="s">
        <v>1231</v>
      </c>
      <c r="T382">
        <v>3</v>
      </c>
    </row>
    <row r="383" spans="1:20" x14ac:dyDescent="0.3">
      <c r="A383" t="s">
        <v>395</v>
      </c>
      <c r="B383" t="s">
        <v>396</v>
      </c>
      <c r="C383">
        <v>7796</v>
      </c>
      <c r="D383">
        <v>1433</v>
      </c>
      <c r="E383">
        <v>80</v>
      </c>
      <c r="F383">
        <v>95.11</v>
      </c>
      <c r="G383">
        <v>891</v>
      </c>
      <c r="H383">
        <v>45307</v>
      </c>
      <c r="I383">
        <v>7.49</v>
      </c>
      <c r="J383" t="s">
        <v>20</v>
      </c>
      <c r="K383" t="s">
        <v>1294</v>
      </c>
      <c r="L383" s="25">
        <v>1.3761574074074074E-2</v>
      </c>
      <c r="M383">
        <v>0.95109999999999995</v>
      </c>
      <c r="N383">
        <v>7.4900000000000008E-2</v>
      </c>
      <c r="O383">
        <v>9309</v>
      </c>
      <c r="P383">
        <v>0.20546493919261924</v>
      </c>
      <c r="Q383" t="s">
        <v>1238</v>
      </c>
      <c r="R383" t="s">
        <v>1239</v>
      </c>
      <c r="S383" t="s">
        <v>1231</v>
      </c>
      <c r="T383">
        <v>3</v>
      </c>
    </row>
    <row r="384" spans="1:20" x14ac:dyDescent="0.3">
      <c r="A384" t="s">
        <v>395</v>
      </c>
      <c r="B384" t="s">
        <v>396</v>
      </c>
      <c r="C384">
        <v>7796</v>
      </c>
      <c r="D384">
        <v>1433</v>
      </c>
      <c r="E384">
        <v>80</v>
      </c>
      <c r="F384">
        <v>95.11</v>
      </c>
      <c r="G384">
        <v>891</v>
      </c>
      <c r="H384">
        <v>45307</v>
      </c>
      <c r="I384">
        <v>7.49</v>
      </c>
      <c r="J384" t="s">
        <v>20</v>
      </c>
      <c r="K384" t="s">
        <v>1445</v>
      </c>
      <c r="L384" s="25">
        <v>1.3761574074074074E-2</v>
      </c>
      <c r="M384">
        <v>0.95109999999999995</v>
      </c>
      <c r="N384">
        <v>7.4900000000000008E-2</v>
      </c>
      <c r="O384">
        <v>9309</v>
      </c>
      <c r="P384">
        <v>0.20546493919261924</v>
      </c>
      <c r="Q384" t="s">
        <v>1238</v>
      </c>
      <c r="R384" t="s">
        <v>1239</v>
      </c>
      <c r="S384" t="s">
        <v>1231</v>
      </c>
      <c r="T384">
        <v>3</v>
      </c>
    </row>
    <row r="385" spans="1:20" x14ac:dyDescent="0.3">
      <c r="A385" t="s">
        <v>395</v>
      </c>
      <c r="B385" t="s">
        <v>396</v>
      </c>
      <c r="C385">
        <v>7796</v>
      </c>
      <c r="D385">
        <v>1433</v>
      </c>
      <c r="E385">
        <v>80</v>
      </c>
      <c r="F385">
        <v>95.11</v>
      </c>
      <c r="G385">
        <v>891</v>
      </c>
      <c r="H385">
        <v>45307</v>
      </c>
      <c r="I385">
        <v>7.49</v>
      </c>
      <c r="J385" t="s">
        <v>20</v>
      </c>
      <c r="K385" t="s">
        <v>1554</v>
      </c>
      <c r="L385" s="25">
        <v>1.3761574074074074E-2</v>
      </c>
      <c r="M385">
        <v>0.95109999999999995</v>
      </c>
      <c r="N385">
        <v>7.4900000000000008E-2</v>
      </c>
      <c r="O385">
        <v>9309</v>
      </c>
      <c r="P385">
        <v>0.20546493919261924</v>
      </c>
      <c r="Q385" t="s">
        <v>1238</v>
      </c>
      <c r="R385" t="s">
        <v>1239</v>
      </c>
      <c r="S385" t="s">
        <v>1231</v>
      </c>
      <c r="T385">
        <v>3</v>
      </c>
    </row>
    <row r="386" spans="1:20" x14ac:dyDescent="0.3">
      <c r="A386" t="s">
        <v>398</v>
      </c>
      <c r="B386" t="s">
        <v>399</v>
      </c>
      <c r="C386">
        <v>189</v>
      </c>
      <c r="D386">
        <v>2967</v>
      </c>
      <c r="E386">
        <v>451</v>
      </c>
      <c r="F386">
        <v>96.58</v>
      </c>
      <c r="G386">
        <v>34271</v>
      </c>
      <c r="H386">
        <v>29952</v>
      </c>
      <c r="I386">
        <v>9.56</v>
      </c>
      <c r="J386" t="s">
        <v>42</v>
      </c>
      <c r="K386" t="s">
        <v>1448</v>
      </c>
      <c r="L386" s="25">
        <v>0.794525462962963</v>
      </c>
      <c r="M386">
        <v>0.96579999999999999</v>
      </c>
      <c r="N386">
        <v>9.5600000000000004E-2</v>
      </c>
      <c r="O386">
        <v>3607</v>
      </c>
      <c r="P386">
        <v>0.12042601495726496</v>
      </c>
      <c r="Q386" t="s">
        <v>1238</v>
      </c>
      <c r="R386" t="s">
        <v>1239</v>
      </c>
      <c r="S386" t="s">
        <v>1232</v>
      </c>
      <c r="T386">
        <v>3</v>
      </c>
    </row>
    <row r="387" spans="1:20" x14ac:dyDescent="0.3">
      <c r="A387" t="s">
        <v>398</v>
      </c>
      <c r="B387" t="s">
        <v>399</v>
      </c>
      <c r="C387">
        <v>189</v>
      </c>
      <c r="D387">
        <v>2967</v>
      </c>
      <c r="E387">
        <v>451</v>
      </c>
      <c r="F387">
        <v>96.58</v>
      </c>
      <c r="G387">
        <v>34271</v>
      </c>
      <c r="H387">
        <v>29952</v>
      </c>
      <c r="I387">
        <v>9.56</v>
      </c>
      <c r="J387" t="s">
        <v>42</v>
      </c>
      <c r="K387" t="s">
        <v>1555</v>
      </c>
      <c r="L387" s="25">
        <v>0.794525462962963</v>
      </c>
      <c r="M387">
        <v>0.96579999999999999</v>
      </c>
      <c r="N387">
        <v>9.5600000000000004E-2</v>
      </c>
      <c r="O387">
        <v>3607</v>
      </c>
      <c r="P387">
        <v>0.12042601495726496</v>
      </c>
      <c r="Q387" t="s">
        <v>1238</v>
      </c>
      <c r="R387" t="s">
        <v>1239</v>
      </c>
      <c r="S387" t="s">
        <v>1232</v>
      </c>
      <c r="T387">
        <v>3</v>
      </c>
    </row>
    <row r="388" spans="1:20" x14ac:dyDescent="0.3">
      <c r="A388" t="s">
        <v>398</v>
      </c>
      <c r="B388" t="s">
        <v>399</v>
      </c>
      <c r="C388">
        <v>189</v>
      </c>
      <c r="D388">
        <v>2967</v>
      </c>
      <c r="E388">
        <v>451</v>
      </c>
      <c r="F388">
        <v>96.58</v>
      </c>
      <c r="G388">
        <v>34271</v>
      </c>
      <c r="H388">
        <v>29952</v>
      </c>
      <c r="I388">
        <v>9.56</v>
      </c>
      <c r="J388" t="s">
        <v>42</v>
      </c>
      <c r="K388" t="s">
        <v>1556</v>
      </c>
      <c r="L388" s="25">
        <v>0.794525462962963</v>
      </c>
      <c r="M388">
        <v>0.96579999999999999</v>
      </c>
      <c r="N388">
        <v>9.5600000000000004E-2</v>
      </c>
      <c r="O388">
        <v>3607</v>
      </c>
      <c r="P388">
        <v>0.12042601495726496</v>
      </c>
      <c r="Q388" t="s">
        <v>1238</v>
      </c>
      <c r="R388" t="s">
        <v>1239</v>
      </c>
      <c r="S388" t="s">
        <v>1232</v>
      </c>
      <c r="T388">
        <v>3</v>
      </c>
    </row>
    <row r="389" spans="1:20" x14ac:dyDescent="0.3">
      <c r="A389" t="s">
        <v>401</v>
      </c>
      <c r="B389" t="s">
        <v>402</v>
      </c>
      <c r="C389">
        <v>9478</v>
      </c>
      <c r="D389">
        <v>1280</v>
      </c>
      <c r="E389">
        <v>1562</v>
      </c>
      <c r="F389">
        <v>43.93</v>
      </c>
      <c r="G389">
        <v>87526</v>
      </c>
      <c r="H389">
        <v>2273</v>
      </c>
      <c r="I389">
        <v>6.25</v>
      </c>
      <c r="J389" t="s">
        <v>42</v>
      </c>
      <c r="K389" t="s">
        <v>1557</v>
      </c>
      <c r="L389" s="25">
        <v>0.33656249999999999</v>
      </c>
      <c r="M389">
        <v>0.43930000000000002</v>
      </c>
      <c r="N389">
        <v>6.25E-2</v>
      </c>
      <c r="O389">
        <v>12320</v>
      </c>
      <c r="P389">
        <v>1</v>
      </c>
      <c r="Q389" t="s">
        <v>1238</v>
      </c>
      <c r="R389" t="s">
        <v>1239</v>
      </c>
      <c r="S389" t="s">
        <v>1231</v>
      </c>
      <c r="T389">
        <v>3</v>
      </c>
    </row>
    <row r="390" spans="1:20" x14ac:dyDescent="0.3">
      <c r="A390" t="s">
        <v>401</v>
      </c>
      <c r="B390" t="s">
        <v>402</v>
      </c>
      <c r="C390">
        <v>9478</v>
      </c>
      <c r="D390">
        <v>1280</v>
      </c>
      <c r="E390">
        <v>1562</v>
      </c>
      <c r="F390">
        <v>43.93</v>
      </c>
      <c r="G390">
        <v>87526</v>
      </c>
      <c r="H390">
        <v>2273</v>
      </c>
      <c r="I390">
        <v>6.25</v>
      </c>
      <c r="J390" t="s">
        <v>42</v>
      </c>
      <c r="K390" t="s">
        <v>1270</v>
      </c>
      <c r="L390" s="25">
        <v>0.33656249999999999</v>
      </c>
      <c r="M390">
        <v>0.43930000000000002</v>
      </c>
      <c r="N390">
        <v>6.25E-2</v>
      </c>
      <c r="O390">
        <v>12320</v>
      </c>
      <c r="P390">
        <v>1</v>
      </c>
      <c r="Q390" t="s">
        <v>1238</v>
      </c>
      <c r="R390" t="s">
        <v>1239</v>
      </c>
      <c r="S390" t="s">
        <v>1231</v>
      </c>
      <c r="T390">
        <v>3</v>
      </c>
    </row>
    <row r="391" spans="1:20" x14ac:dyDescent="0.3">
      <c r="A391" t="s">
        <v>401</v>
      </c>
      <c r="B391" t="s">
        <v>402</v>
      </c>
      <c r="C391">
        <v>9478</v>
      </c>
      <c r="D391">
        <v>1280</v>
      </c>
      <c r="E391">
        <v>1562</v>
      </c>
      <c r="F391">
        <v>43.93</v>
      </c>
      <c r="G391">
        <v>87526</v>
      </c>
      <c r="H391">
        <v>2273</v>
      </c>
      <c r="I391">
        <v>6.25</v>
      </c>
      <c r="J391" t="s">
        <v>42</v>
      </c>
      <c r="K391" t="s">
        <v>1558</v>
      </c>
      <c r="L391" s="25">
        <v>0.33656249999999999</v>
      </c>
      <c r="M391">
        <v>0.43930000000000002</v>
      </c>
      <c r="N391">
        <v>6.25E-2</v>
      </c>
      <c r="O391">
        <v>12320</v>
      </c>
      <c r="P391">
        <v>1</v>
      </c>
      <c r="Q391" t="s">
        <v>1238</v>
      </c>
      <c r="R391" t="s">
        <v>1239</v>
      </c>
      <c r="S391" t="s">
        <v>1231</v>
      </c>
      <c r="T391">
        <v>3</v>
      </c>
    </row>
    <row r="392" spans="1:20" x14ac:dyDescent="0.3">
      <c r="A392" t="s">
        <v>404</v>
      </c>
      <c r="B392" t="s">
        <v>405</v>
      </c>
      <c r="C392">
        <v>6628</v>
      </c>
      <c r="D392">
        <v>139</v>
      </c>
      <c r="E392">
        <v>1886</v>
      </c>
      <c r="F392">
        <v>35.07</v>
      </c>
      <c r="G392">
        <v>68474</v>
      </c>
      <c r="H392">
        <v>86673</v>
      </c>
      <c r="I392">
        <v>0.73</v>
      </c>
      <c r="J392" t="s">
        <v>12</v>
      </c>
      <c r="K392" t="s">
        <v>1559</v>
      </c>
      <c r="L392" s="25">
        <v>0.49168981481481483</v>
      </c>
      <c r="M392">
        <v>0.35070000000000001</v>
      </c>
      <c r="N392">
        <v>7.3000000000000001E-3</v>
      </c>
      <c r="O392">
        <v>8653</v>
      </c>
      <c r="P392">
        <v>9.9835012056811237E-2</v>
      </c>
      <c r="Q392" t="s">
        <v>1238</v>
      </c>
      <c r="R392" t="s">
        <v>1239</v>
      </c>
      <c r="S392" t="s">
        <v>1231</v>
      </c>
      <c r="T392">
        <v>3</v>
      </c>
    </row>
    <row r="393" spans="1:20" x14ac:dyDescent="0.3">
      <c r="A393" t="s">
        <v>404</v>
      </c>
      <c r="B393" t="s">
        <v>405</v>
      </c>
      <c r="C393">
        <v>6628</v>
      </c>
      <c r="D393">
        <v>139</v>
      </c>
      <c r="E393">
        <v>1886</v>
      </c>
      <c r="F393">
        <v>35.07</v>
      </c>
      <c r="G393">
        <v>68474</v>
      </c>
      <c r="H393">
        <v>86673</v>
      </c>
      <c r="I393">
        <v>0.73</v>
      </c>
      <c r="J393" t="s">
        <v>12</v>
      </c>
      <c r="K393" t="s">
        <v>1560</v>
      </c>
      <c r="L393" s="25">
        <v>0.49168981481481483</v>
      </c>
      <c r="M393">
        <v>0.35070000000000001</v>
      </c>
      <c r="N393">
        <v>7.3000000000000001E-3</v>
      </c>
      <c r="O393">
        <v>8653</v>
      </c>
      <c r="P393">
        <v>9.9835012056811237E-2</v>
      </c>
      <c r="Q393" t="s">
        <v>1238</v>
      </c>
      <c r="R393" t="s">
        <v>1239</v>
      </c>
      <c r="S393" t="s">
        <v>1231</v>
      </c>
      <c r="T393">
        <v>3</v>
      </c>
    </row>
    <row r="394" spans="1:20" x14ac:dyDescent="0.3">
      <c r="A394" t="s">
        <v>404</v>
      </c>
      <c r="B394" t="s">
        <v>405</v>
      </c>
      <c r="C394">
        <v>6628</v>
      </c>
      <c r="D394">
        <v>139</v>
      </c>
      <c r="E394">
        <v>1886</v>
      </c>
      <c r="F394">
        <v>35.07</v>
      </c>
      <c r="G394">
        <v>68474</v>
      </c>
      <c r="H394">
        <v>86673</v>
      </c>
      <c r="I394">
        <v>0.73</v>
      </c>
      <c r="J394" t="s">
        <v>12</v>
      </c>
      <c r="K394" t="s">
        <v>1561</v>
      </c>
      <c r="L394" s="25">
        <v>0.49168981481481483</v>
      </c>
      <c r="M394">
        <v>0.35070000000000001</v>
      </c>
      <c r="N394">
        <v>7.3000000000000001E-3</v>
      </c>
      <c r="O394">
        <v>8653</v>
      </c>
      <c r="P394">
        <v>9.9835012056811237E-2</v>
      </c>
      <c r="Q394" t="s">
        <v>1238</v>
      </c>
      <c r="R394" t="s">
        <v>1239</v>
      </c>
      <c r="S394" t="s">
        <v>1231</v>
      </c>
      <c r="T394">
        <v>3</v>
      </c>
    </row>
    <row r="395" spans="1:20" x14ac:dyDescent="0.3">
      <c r="A395" t="s">
        <v>407</v>
      </c>
      <c r="B395" t="s">
        <v>408</v>
      </c>
      <c r="C395">
        <v>5594</v>
      </c>
      <c r="D395">
        <v>3059</v>
      </c>
      <c r="E395">
        <v>448</v>
      </c>
      <c r="F395">
        <v>66.91</v>
      </c>
      <c r="G395">
        <v>37735</v>
      </c>
      <c r="H395">
        <v>39335</v>
      </c>
      <c r="I395">
        <v>8.0399999999999991</v>
      </c>
      <c r="J395" t="s">
        <v>16</v>
      </c>
      <c r="K395" t="s">
        <v>1562</v>
      </c>
      <c r="L395" s="25">
        <v>0.81300925925925926</v>
      </c>
      <c r="M395">
        <v>0.66909999999999992</v>
      </c>
      <c r="N395">
        <v>8.0399999999999985E-2</v>
      </c>
      <c r="O395">
        <v>9101</v>
      </c>
      <c r="P395">
        <v>0.23137155205287913</v>
      </c>
      <c r="Q395" t="s">
        <v>1238</v>
      </c>
      <c r="R395" t="s">
        <v>1239</v>
      </c>
      <c r="S395" t="s">
        <v>1232</v>
      </c>
      <c r="T395">
        <v>3</v>
      </c>
    </row>
    <row r="396" spans="1:20" x14ac:dyDescent="0.3">
      <c r="A396" t="s">
        <v>407</v>
      </c>
      <c r="B396" t="s">
        <v>408</v>
      </c>
      <c r="C396">
        <v>5594</v>
      </c>
      <c r="D396">
        <v>3059</v>
      </c>
      <c r="E396">
        <v>448</v>
      </c>
      <c r="F396">
        <v>66.91</v>
      </c>
      <c r="G396">
        <v>37735</v>
      </c>
      <c r="H396">
        <v>39335</v>
      </c>
      <c r="I396">
        <v>8.0399999999999991</v>
      </c>
      <c r="J396" t="s">
        <v>16</v>
      </c>
      <c r="K396" t="s">
        <v>1456</v>
      </c>
      <c r="L396" s="25">
        <v>0.81300925925925926</v>
      </c>
      <c r="M396">
        <v>0.66909999999999992</v>
      </c>
      <c r="N396">
        <v>8.0399999999999985E-2</v>
      </c>
      <c r="O396">
        <v>9101</v>
      </c>
      <c r="P396">
        <v>0.23137155205287913</v>
      </c>
      <c r="Q396" t="s">
        <v>1238</v>
      </c>
      <c r="R396" t="s">
        <v>1239</v>
      </c>
      <c r="S396" t="s">
        <v>1232</v>
      </c>
      <c r="T396">
        <v>3</v>
      </c>
    </row>
    <row r="397" spans="1:20" x14ac:dyDescent="0.3">
      <c r="A397" t="s">
        <v>407</v>
      </c>
      <c r="B397" t="s">
        <v>408</v>
      </c>
      <c r="C397">
        <v>5594</v>
      </c>
      <c r="D397">
        <v>3059</v>
      </c>
      <c r="E397">
        <v>448</v>
      </c>
      <c r="F397">
        <v>66.91</v>
      </c>
      <c r="G397">
        <v>37735</v>
      </c>
      <c r="H397">
        <v>39335</v>
      </c>
      <c r="I397">
        <v>8.0399999999999991</v>
      </c>
      <c r="J397" t="s">
        <v>16</v>
      </c>
      <c r="K397" t="s">
        <v>1563</v>
      </c>
      <c r="L397" s="25">
        <v>0.81300925925925926</v>
      </c>
      <c r="M397">
        <v>0.66909999999999992</v>
      </c>
      <c r="N397">
        <v>8.0399999999999985E-2</v>
      </c>
      <c r="O397">
        <v>9101</v>
      </c>
      <c r="P397">
        <v>0.23137155205287913</v>
      </c>
      <c r="Q397" t="s">
        <v>1238</v>
      </c>
      <c r="R397" t="s">
        <v>1239</v>
      </c>
      <c r="S397" t="s">
        <v>1232</v>
      </c>
      <c r="T397">
        <v>3</v>
      </c>
    </row>
    <row r="398" spans="1:20" x14ac:dyDescent="0.3">
      <c r="A398" t="s">
        <v>410</v>
      </c>
      <c r="B398" t="s">
        <v>411</v>
      </c>
      <c r="C398">
        <v>4107</v>
      </c>
      <c r="D398">
        <v>1141</v>
      </c>
      <c r="E398">
        <v>495</v>
      </c>
      <c r="F398">
        <v>6.55</v>
      </c>
      <c r="G398">
        <v>49492</v>
      </c>
      <c r="H398">
        <v>68903</v>
      </c>
      <c r="I398">
        <v>9.1199999999999992</v>
      </c>
      <c r="J398" t="s">
        <v>20</v>
      </c>
      <c r="K398" t="s">
        <v>1564</v>
      </c>
      <c r="L398" s="25">
        <v>0.3991898148148148</v>
      </c>
      <c r="M398">
        <v>6.5500000000000003E-2</v>
      </c>
      <c r="N398">
        <v>9.1199999999999989E-2</v>
      </c>
      <c r="O398">
        <v>5743</v>
      </c>
      <c r="P398">
        <v>8.3349055919190743E-2</v>
      </c>
      <c r="Q398" t="s">
        <v>1238</v>
      </c>
      <c r="R398" t="s">
        <v>1239</v>
      </c>
      <c r="S398" t="s">
        <v>1231</v>
      </c>
      <c r="T398">
        <v>3</v>
      </c>
    </row>
    <row r="399" spans="1:20" x14ac:dyDescent="0.3">
      <c r="A399" t="s">
        <v>410</v>
      </c>
      <c r="B399" t="s">
        <v>411</v>
      </c>
      <c r="C399">
        <v>4107</v>
      </c>
      <c r="D399">
        <v>1141</v>
      </c>
      <c r="E399">
        <v>495</v>
      </c>
      <c r="F399">
        <v>6.55</v>
      </c>
      <c r="G399">
        <v>49492</v>
      </c>
      <c r="H399">
        <v>68903</v>
      </c>
      <c r="I399">
        <v>9.1199999999999992</v>
      </c>
      <c r="J399" t="s">
        <v>20</v>
      </c>
      <c r="K399" t="s">
        <v>1565</v>
      </c>
      <c r="L399" s="25">
        <v>0.3991898148148148</v>
      </c>
      <c r="M399">
        <v>6.5500000000000003E-2</v>
      </c>
      <c r="N399">
        <v>9.1199999999999989E-2</v>
      </c>
      <c r="O399">
        <v>5743</v>
      </c>
      <c r="P399">
        <v>8.3349055919190743E-2</v>
      </c>
      <c r="Q399" t="s">
        <v>1238</v>
      </c>
      <c r="R399" t="s">
        <v>1239</v>
      </c>
      <c r="S399" t="s">
        <v>1231</v>
      </c>
      <c r="T399">
        <v>3</v>
      </c>
    </row>
    <row r="400" spans="1:20" x14ac:dyDescent="0.3">
      <c r="A400" t="s">
        <v>410</v>
      </c>
      <c r="B400" t="s">
        <v>411</v>
      </c>
      <c r="C400">
        <v>4107</v>
      </c>
      <c r="D400">
        <v>1141</v>
      </c>
      <c r="E400">
        <v>495</v>
      </c>
      <c r="F400">
        <v>6.55</v>
      </c>
      <c r="G400">
        <v>49492</v>
      </c>
      <c r="H400">
        <v>68903</v>
      </c>
      <c r="I400">
        <v>9.1199999999999992</v>
      </c>
      <c r="J400" t="s">
        <v>20</v>
      </c>
      <c r="K400" t="s">
        <v>1566</v>
      </c>
      <c r="L400" s="25">
        <v>0.3991898148148148</v>
      </c>
      <c r="M400">
        <v>6.5500000000000003E-2</v>
      </c>
      <c r="N400">
        <v>9.1199999999999989E-2</v>
      </c>
      <c r="O400">
        <v>5743</v>
      </c>
      <c r="P400">
        <v>8.3349055919190743E-2</v>
      </c>
      <c r="Q400" t="s">
        <v>1238</v>
      </c>
      <c r="R400" t="s">
        <v>1239</v>
      </c>
      <c r="S400" t="s">
        <v>1231</v>
      </c>
      <c r="T400">
        <v>3</v>
      </c>
    </row>
    <row r="401" spans="1:20" x14ac:dyDescent="0.3">
      <c r="A401" t="s">
        <v>413</v>
      </c>
      <c r="B401" t="s">
        <v>414</v>
      </c>
      <c r="C401">
        <v>8816</v>
      </c>
      <c r="D401">
        <v>4355</v>
      </c>
      <c r="E401">
        <v>1509</v>
      </c>
      <c r="F401">
        <v>40.520000000000003</v>
      </c>
      <c r="G401">
        <v>72174</v>
      </c>
      <c r="H401">
        <v>89385</v>
      </c>
      <c r="I401">
        <v>0.43</v>
      </c>
      <c r="J401" t="s">
        <v>42</v>
      </c>
      <c r="K401" t="s">
        <v>1469</v>
      </c>
      <c r="L401" s="25">
        <v>0.57703703703703701</v>
      </c>
      <c r="M401">
        <v>0.4052</v>
      </c>
      <c r="N401">
        <v>4.3E-3</v>
      </c>
      <c r="O401">
        <v>14680</v>
      </c>
      <c r="P401">
        <v>0.16423337248979136</v>
      </c>
      <c r="Q401" t="s">
        <v>1238</v>
      </c>
      <c r="R401" t="s">
        <v>1239</v>
      </c>
      <c r="S401" t="s">
        <v>1230</v>
      </c>
      <c r="T401">
        <v>3</v>
      </c>
    </row>
    <row r="402" spans="1:20" x14ac:dyDescent="0.3">
      <c r="A402" t="s">
        <v>413</v>
      </c>
      <c r="B402" t="s">
        <v>414</v>
      </c>
      <c r="C402">
        <v>8816</v>
      </c>
      <c r="D402">
        <v>4355</v>
      </c>
      <c r="E402">
        <v>1509</v>
      </c>
      <c r="F402">
        <v>40.520000000000003</v>
      </c>
      <c r="G402">
        <v>72174</v>
      </c>
      <c r="H402">
        <v>89385</v>
      </c>
      <c r="I402">
        <v>0.43</v>
      </c>
      <c r="J402" t="s">
        <v>42</v>
      </c>
      <c r="K402" t="s">
        <v>1271</v>
      </c>
      <c r="L402" s="25">
        <v>0.57703703703703701</v>
      </c>
      <c r="M402">
        <v>0.4052</v>
      </c>
      <c r="N402">
        <v>4.3E-3</v>
      </c>
      <c r="O402">
        <v>14680</v>
      </c>
      <c r="P402">
        <v>0.16423337248979136</v>
      </c>
      <c r="Q402" t="s">
        <v>1238</v>
      </c>
      <c r="R402" t="s">
        <v>1239</v>
      </c>
      <c r="S402" t="s">
        <v>1230</v>
      </c>
      <c r="T402">
        <v>3</v>
      </c>
    </row>
    <row r="403" spans="1:20" x14ac:dyDescent="0.3">
      <c r="A403" t="s">
        <v>413</v>
      </c>
      <c r="B403" t="s">
        <v>414</v>
      </c>
      <c r="C403">
        <v>8816</v>
      </c>
      <c r="D403">
        <v>4355</v>
      </c>
      <c r="E403">
        <v>1509</v>
      </c>
      <c r="F403">
        <v>40.520000000000003</v>
      </c>
      <c r="G403">
        <v>72174</v>
      </c>
      <c r="H403">
        <v>89385</v>
      </c>
      <c r="I403">
        <v>0.43</v>
      </c>
      <c r="J403" t="s">
        <v>42</v>
      </c>
      <c r="K403" t="s">
        <v>1413</v>
      </c>
      <c r="L403" s="25">
        <v>0.57703703703703701</v>
      </c>
      <c r="M403">
        <v>0.4052</v>
      </c>
      <c r="N403">
        <v>4.3E-3</v>
      </c>
      <c r="O403">
        <v>14680</v>
      </c>
      <c r="P403">
        <v>0.16423337248979136</v>
      </c>
      <c r="Q403" t="s">
        <v>1238</v>
      </c>
      <c r="R403" t="s">
        <v>1239</v>
      </c>
      <c r="S403" t="s">
        <v>1230</v>
      </c>
      <c r="T403">
        <v>3</v>
      </c>
    </row>
    <row r="404" spans="1:20" x14ac:dyDescent="0.3">
      <c r="A404" t="s">
        <v>416</v>
      </c>
      <c r="B404" t="s">
        <v>417</v>
      </c>
      <c r="C404">
        <v>9875</v>
      </c>
      <c r="D404">
        <v>424</v>
      </c>
      <c r="E404">
        <v>455</v>
      </c>
      <c r="F404">
        <v>83.26</v>
      </c>
      <c r="G404">
        <v>74522</v>
      </c>
      <c r="H404">
        <v>95365</v>
      </c>
      <c r="I404">
        <v>5.49</v>
      </c>
      <c r="J404" t="s">
        <v>20</v>
      </c>
      <c r="K404" t="s">
        <v>1567</v>
      </c>
      <c r="L404" s="25">
        <v>0.78561342592592598</v>
      </c>
      <c r="M404">
        <v>0.83260000000000001</v>
      </c>
      <c r="N404">
        <v>5.4900000000000004E-2</v>
      </c>
      <c r="O404">
        <v>10754</v>
      </c>
      <c r="P404">
        <v>0.11276673832118701</v>
      </c>
      <c r="Q404" t="s">
        <v>1238</v>
      </c>
      <c r="R404" t="s">
        <v>1239</v>
      </c>
      <c r="S404" t="s">
        <v>1232</v>
      </c>
      <c r="T404">
        <v>3</v>
      </c>
    </row>
    <row r="405" spans="1:20" x14ac:dyDescent="0.3">
      <c r="A405" t="s">
        <v>416</v>
      </c>
      <c r="B405" t="s">
        <v>417</v>
      </c>
      <c r="C405">
        <v>9875</v>
      </c>
      <c r="D405">
        <v>424</v>
      </c>
      <c r="E405">
        <v>455</v>
      </c>
      <c r="F405">
        <v>83.26</v>
      </c>
      <c r="G405">
        <v>74522</v>
      </c>
      <c r="H405">
        <v>95365</v>
      </c>
      <c r="I405">
        <v>5.49</v>
      </c>
      <c r="J405" t="s">
        <v>20</v>
      </c>
      <c r="K405" t="s">
        <v>1549</v>
      </c>
      <c r="L405" s="25">
        <v>0.78561342592592598</v>
      </c>
      <c r="M405">
        <v>0.83260000000000001</v>
      </c>
      <c r="N405">
        <v>5.4900000000000004E-2</v>
      </c>
      <c r="O405">
        <v>10754</v>
      </c>
      <c r="P405">
        <v>0.11276673832118701</v>
      </c>
      <c r="Q405" t="s">
        <v>1238</v>
      </c>
      <c r="R405" t="s">
        <v>1239</v>
      </c>
      <c r="S405" t="s">
        <v>1232</v>
      </c>
      <c r="T405">
        <v>3</v>
      </c>
    </row>
    <row r="406" spans="1:20" x14ac:dyDescent="0.3">
      <c r="A406" t="s">
        <v>416</v>
      </c>
      <c r="B406" t="s">
        <v>417</v>
      </c>
      <c r="C406">
        <v>9875</v>
      </c>
      <c r="D406">
        <v>424</v>
      </c>
      <c r="E406">
        <v>455</v>
      </c>
      <c r="F406">
        <v>83.26</v>
      </c>
      <c r="G406">
        <v>74522</v>
      </c>
      <c r="H406">
        <v>95365</v>
      </c>
      <c r="I406">
        <v>5.49</v>
      </c>
      <c r="J406" t="s">
        <v>20</v>
      </c>
      <c r="K406" t="s">
        <v>1568</v>
      </c>
      <c r="L406" s="25">
        <v>0.78561342592592598</v>
      </c>
      <c r="M406">
        <v>0.83260000000000001</v>
      </c>
      <c r="N406">
        <v>5.4900000000000004E-2</v>
      </c>
      <c r="O406">
        <v>10754</v>
      </c>
      <c r="P406">
        <v>0.11276673832118701</v>
      </c>
      <c r="Q406" t="s">
        <v>1238</v>
      </c>
      <c r="R406" t="s">
        <v>1239</v>
      </c>
      <c r="S406" t="s">
        <v>1232</v>
      </c>
      <c r="T406">
        <v>3</v>
      </c>
    </row>
    <row r="407" spans="1:20" x14ac:dyDescent="0.3">
      <c r="A407" t="s">
        <v>419</v>
      </c>
      <c r="B407" t="s">
        <v>420</v>
      </c>
      <c r="C407">
        <v>7241</v>
      </c>
      <c r="D407">
        <v>2131</v>
      </c>
      <c r="E407">
        <v>1240</v>
      </c>
      <c r="F407">
        <v>92.59</v>
      </c>
      <c r="G407">
        <v>24828</v>
      </c>
      <c r="H407">
        <v>14365</v>
      </c>
      <c r="I407">
        <v>1.7</v>
      </c>
      <c r="J407" t="s">
        <v>42</v>
      </c>
      <c r="K407" t="s">
        <v>1569</v>
      </c>
      <c r="L407" s="25">
        <v>0.33050925925925928</v>
      </c>
      <c r="M407">
        <v>0.92590000000000006</v>
      </c>
      <c r="N407">
        <v>1.7000000000000001E-2</v>
      </c>
      <c r="O407">
        <v>10612</v>
      </c>
      <c r="P407">
        <v>0.73873999303863558</v>
      </c>
      <c r="Q407" t="s">
        <v>1238</v>
      </c>
      <c r="R407" t="s">
        <v>1239</v>
      </c>
      <c r="S407" t="s">
        <v>1231</v>
      </c>
      <c r="T407">
        <v>3</v>
      </c>
    </row>
    <row r="408" spans="1:20" x14ac:dyDescent="0.3">
      <c r="A408" t="s">
        <v>419</v>
      </c>
      <c r="B408" t="s">
        <v>420</v>
      </c>
      <c r="C408">
        <v>7241</v>
      </c>
      <c r="D408">
        <v>2131</v>
      </c>
      <c r="E408">
        <v>1240</v>
      </c>
      <c r="F408">
        <v>92.59</v>
      </c>
      <c r="G408">
        <v>24828</v>
      </c>
      <c r="H408">
        <v>14365</v>
      </c>
      <c r="I408">
        <v>1.7</v>
      </c>
      <c r="J408" t="s">
        <v>42</v>
      </c>
      <c r="K408" t="s">
        <v>1570</v>
      </c>
      <c r="L408" s="25">
        <v>0.33050925925925928</v>
      </c>
      <c r="M408">
        <v>0.92590000000000006</v>
      </c>
      <c r="N408">
        <v>1.7000000000000001E-2</v>
      </c>
      <c r="O408">
        <v>10612</v>
      </c>
      <c r="P408">
        <v>0.73873999303863558</v>
      </c>
      <c r="Q408" t="s">
        <v>1238</v>
      </c>
      <c r="R408" t="s">
        <v>1239</v>
      </c>
      <c r="S408" t="s">
        <v>1231</v>
      </c>
      <c r="T408">
        <v>3</v>
      </c>
    </row>
    <row r="409" spans="1:20" x14ac:dyDescent="0.3">
      <c r="A409" t="s">
        <v>419</v>
      </c>
      <c r="B409" t="s">
        <v>420</v>
      </c>
      <c r="C409">
        <v>7241</v>
      </c>
      <c r="D409">
        <v>2131</v>
      </c>
      <c r="E409">
        <v>1240</v>
      </c>
      <c r="F409">
        <v>92.59</v>
      </c>
      <c r="G409">
        <v>24828</v>
      </c>
      <c r="H409">
        <v>14365</v>
      </c>
      <c r="I409">
        <v>1.7</v>
      </c>
      <c r="J409" t="s">
        <v>42</v>
      </c>
      <c r="K409" t="s">
        <v>1571</v>
      </c>
      <c r="L409" s="25">
        <v>0.33050925925925928</v>
      </c>
      <c r="M409">
        <v>0.92590000000000006</v>
      </c>
      <c r="N409">
        <v>1.7000000000000001E-2</v>
      </c>
      <c r="O409">
        <v>10612</v>
      </c>
      <c r="P409">
        <v>0.73873999303863558</v>
      </c>
      <c r="Q409" t="s">
        <v>1238</v>
      </c>
      <c r="R409" t="s">
        <v>1239</v>
      </c>
      <c r="S409" t="s">
        <v>1231</v>
      </c>
      <c r="T409">
        <v>3</v>
      </c>
    </row>
    <row r="410" spans="1:20" x14ac:dyDescent="0.3">
      <c r="A410" t="s">
        <v>422</v>
      </c>
      <c r="B410" t="s">
        <v>423</v>
      </c>
      <c r="C410">
        <v>9322</v>
      </c>
      <c r="D410">
        <v>2279</v>
      </c>
      <c r="E410">
        <v>1836</v>
      </c>
      <c r="F410">
        <v>59.17</v>
      </c>
      <c r="G410">
        <v>54439</v>
      </c>
      <c r="H410">
        <v>81207</v>
      </c>
      <c r="I410">
        <v>4.83</v>
      </c>
      <c r="J410" t="s">
        <v>16</v>
      </c>
      <c r="K410" t="s">
        <v>1328</v>
      </c>
      <c r="L410" s="25">
        <v>0.37516203703703704</v>
      </c>
      <c r="M410">
        <v>0.5917</v>
      </c>
      <c r="N410">
        <v>4.8300000000000003E-2</v>
      </c>
      <c r="O410">
        <v>13437</v>
      </c>
      <c r="P410">
        <v>0.16546603125346337</v>
      </c>
      <c r="Q410" t="s">
        <v>1238</v>
      </c>
      <c r="R410" t="s">
        <v>1239</v>
      </c>
      <c r="S410" t="s">
        <v>1231</v>
      </c>
      <c r="T410">
        <v>3</v>
      </c>
    </row>
    <row r="411" spans="1:20" x14ac:dyDescent="0.3">
      <c r="A411" t="s">
        <v>422</v>
      </c>
      <c r="B411" t="s">
        <v>423</v>
      </c>
      <c r="C411">
        <v>9322</v>
      </c>
      <c r="D411">
        <v>2279</v>
      </c>
      <c r="E411">
        <v>1836</v>
      </c>
      <c r="F411">
        <v>59.17</v>
      </c>
      <c r="G411">
        <v>54439</v>
      </c>
      <c r="H411">
        <v>81207</v>
      </c>
      <c r="I411">
        <v>4.83</v>
      </c>
      <c r="J411" t="s">
        <v>16</v>
      </c>
      <c r="K411" t="s">
        <v>1572</v>
      </c>
      <c r="L411" s="25">
        <v>0.37516203703703704</v>
      </c>
      <c r="M411">
        <v>0.5917</v>
      </c>
      <c r="N411">
        <v>4.8300000000000003E-2</v>
      </c>
      <c r="O411">
        <v>13437</v>
      </c>
      <c r="P411">
        <v>0.16546603125346337</v>
      </c>
      <c r="Q411" t="s">
        <v>1238</v>
      </c>
      <c r="R411" t="s">
        <v>1239</v>
      </c>
      <c r="S411" t="s">
        <v>1231</v>
      </c>
      <c r="T411">
        <v>3</v>
      </c>
    </row>
    <row r="412" spans="1:20" x14ac:dyDescent="0.3">
      <c r="A412" t="s">
        <v>422</v>
      </c>
      <c r="B412" t="s">
        <v>423</v>
      </c>
      <c r="C412">
        <v>9322</v>
      </c>
      <c r="D412">
        <v>2279</v>
      </c>
      <c r="E412">
        <v>1836</v>
      </c>
      <c r="F412">
        <v>59.17</v>
      </c>
      <c r="G412">
        <v>54439</v>
      </c>
      <c r="H412">
        <v>81207</v>
      </c>
      <c r="I412">
        <v>4.83</v>
      </c>
      <c r="J412" t="s">
        <v>16</v>
      </c>
      <c r="K412" t="s">
        <v>1573</v>
      </c>
      <c r="L412" s="25">
        <v>0.37516203703703704</v>
      </c>
      <c r="M412">
        <v>0.5917</v>
      </c>
      <c r="N412">
        <v>4.8300000000000003E-2</v>
      </c>
      <c r="O412">
        <v>13437</v>
      </c>
      <c r="P412">
        <v>0.16546603125346337</v>
      </c>
      <c r="Q412" t="s">
        <v>1238</v>
      </c>
      <c r="R412" t="s">
        <v>1239</v>
      </c>
      <c r="S412" t="s">
        <v>1231</v>
      </c>
      <c r="T412">
        <v>3</v>
      </c>
    </row>
    <row r="413" spans="1:20" x14ac:dyDescent="0.3">
      <c r="A413" t="s">
        <v>425</v>
      </c>
      <c r="B413" t="s">
        <v>426</v>
      </c>
      <c r="C413">
        <v>6463</v>
      </c>
      <c r="D413">
        <v>3452</v>
      </c>
      <c r="E413">
        <v>1467</v>
      </c>
      <c r="F413">
        <v>47.5</v>
      </c>
      <c r="G413">
        <v>4171</v>
      </c>
      <c r="H413">
        <v>8051</v>
      </c>
      <c r="I413">
        <v>5.1100000000000003</v>
      </c>
      <c r="J413" t="s">
        <v>20</v>
      </c>
      <c r="K413" t="s">
        <v>1574</v>
      </c>
      <c r="L413" s="25">
        <v>0.32642361111111112</v>
      </c>
      <c r="M413">
        <v>0.47499999999999998</v>
      </c>
      <c r="N413">
        <v>5.1100000000000007E-2</v>
      </c>
      <c r="O413">
        <v>11382</v>
      </c>
      <c r="P413">
        <v>1</v>
      </c>
      <c r="Q413" t="s">
        <v>1238</v>
      </c>
      <c r="R413" t="s">
        <v>1239</v>
      </c>
      <c r="S413" t="s">
        <v>1231</v>
      </c>
      <c r="T413">
        <v>3</v>
      </c>
    </row>
    <row r="414" spans="1:20" x14ac:dyDescent="0.3">
      <c r="A414" t="s">
        <v>425</v>
      </c>
      <c r="B414" t="s">
        <v>426</v>
      </c>
      <c r="C414">
        <v>6463</v>
      </c>
      <c r="D414">
        <v>3452</v>
      </c>
      <c r="E414">
        <v>1467</v>
      </c>
      <c r="F414">
        <v>47.5</v>
      </c>
      <c r="G414">
        <v>4171</v>
      </c>
      <c r="H414">
        <v>8051</v>
      </c>
      <c r="I414">
        <v>5.1100000000000003</v>
      </c>
      <c r="J414" t="s">
        <v>20</v>
      </c>
      <c r="K414" t="s">
        <v>1575</v>
      </c>
      <c r="L414" s="25">
        <v>0.32642361111111112</v>
      </c>
      <c r="M414">
        <v>0.47499999999999998</v>
      </c>
      <c r="N414">
        <v>5.1100000000000007E-2</v>
      </c>
      <c r="O414">
        <v>11382</v>
      </c>
      <c r="P414">
        <v>1</v>
      </c>
      <c r="Q414" t="s">
        <v>1238</v>
      </c>
      <c r="R414" t="s">
        <v>1239</v>
      </c>
      <c r="S414" t="s">
        <v>1231</v>
      </c>
      <c r="T414">
        <v>3</v>
      </c>
    </row>
    <row r="415" spans="1:20" x14ac:dyDescent="0.3">
      <c r="A415" t="s">
        <v>425</v>
      </c>
      <c r="B415" t="s">
        <v>426</v>
      </c>
      <c r="C415">
        <v>6463</v>
      </c>
      <c r="D415">
        <v>3452</v>
      </c>
      <c r="E415">
        <v>1467</v>
      </c>
      <c r="F415">
        <v>47.5</v>
      </c>
      <c r="G415">
        <v>4171</v>
      </c>
      <c r="H415">
        <v>8051</v>
      </c>
      <c r="I415">
        <v>5.1100000000000003</v>
      </c>
      <c r="J415" t="s">
        <v>20</v>
      </c>
      <c r="K415" t="s">
        <v>1576</v>
      </c>
      <c r="L415" s="25">
        <v>0.32642361111111112</v>
      </c>
      <c r="M415">
        <v>0.47499999999999998</v>
      </c>
      <c r="N415">
        <v>5.1100000000000007E-2</v>
      </c>
      <c r="O415">
        <v>11382</v>
      </c>
      <c r="P415">
        <v>1</v>
      </c>
      <c r="Q415" t="s">
        <v>1238</v>
      </c>
      <c r="R415" t="s">
        <v>1239</v>
      </c>
      <c r="S415" t="s">
        <v>1231</v>
      </c>
      <c r="T415">
        <v>3</v>
      </c>
    </row>
    <row r="416" spans="1:20" x14ac:dyDescent="0.3">
      <c r="A416" t="s">
        <v>428</v>
      </c>
      <c r="B416" t="s">
        <v>429</v>
      </c>
      <c r="C416">
        <v>2319</v>
      </c>
      <c r="D416">
        <v>2516</v>
      </c>
      <c r="E416">
        <v>454</v>
      </c>
      <c r="F416">
        <v>41.18</v>
      </c>
      <c r="G416">
        <v>30713</v>
      </c>
      <c r="H416">
        <v>48082</v>
      </c>
      <c r="I416">
        <v>4.7300000000000004</v>
      </c>
      <c r="J416" t="s">
        <v>20</v>
      </c>
      <c r="K416" t="s">
        <v>1577</v>
      </c>
      <c r="L416" s="25">
        <v>0.10930555555555556</v>
      </c>
      <c r="M416">
        <v>0.4118</v>
      </c>
      <c r="N416">
        <v>4.7300000000000002E-2</v>
      </c>
      <c r="O416">
        <v>5289</v>
      </c>
      <c r="P416">
        <v>0.10999958404392496</v>
      </c>
      <c r="Q416" t="s">
        <v>1238</v>
      </c>
      <c r="R416" t="s">
        <v>1239</v>
      </c>
      <c r="S416" t="s">
        <v>1231</v>
      </c>
      <c r="T416">
        <v>3</v>
      </c>
    </row>
    <row r="417" spans="1:20" x14ac:dyDescent="0.3">
      <c r="A417" t="s">
        <v>428</v>
      </c>
      <c r="B417" t="s">
        <v>429</v>
      </c>
      <c r="C417">
        <v>2319</v>
      </c>
      <c r="D417">
        <v>2516</v>
      </c>
      <c r="E417">
        <v>454</v>
      </c>
      <c r="F417">
        <v>41.18</v>
      </c>
      <c r="G417">
        <v>30713</v>
      </c>
      <c r="H417">
        <v>48082</v>
      </c>
      <c r="I417">
        <v>4.7300000000000004</v>
      </c>
      <c r="J417" t="s">
        <v>20</v>
      </c>
      <c r="K417" t="s">
        <v>1578</v>
      </c>
      <c r="L417" s="25">
        <v>0.10930555555555556</v>
      </c>
      <c r="M417">
        <v>0.4118</v>
      </c>
      <c r="N417">
        <v>4.7300000000000002E-2</v>
      </c>
      <c r="O417">
        <v>5289</v>
      </c>
      <c r="P417">
        <v>0.10999958404392496</v>
      </c>
      <c r="Q417" t="s">
        <v>1238</v>
      </c>
      <c r="R417" t="s">
        <v>1239</v>
      </c>
      <c r="S417" t="s">
        <v>1231</v>
      </c>
      <c r="T417">
        <v>3</v>
      </c>
    </row>
    <row r="418" spans="1:20" x14ac:dyDescent="0.3">
      <c r="A418" t="s">
        <v>428</v>
      </c>
      <c r="B418" t="s">
        <v>429</v>
      </c>
      <c r="C418">
        <v>2319</v>
      </c>
      <c r="D418">
        <v>2516</v>
      </c>
      <c r="E418">
        <v>454</v>
      </c>
      <c r="F418">
        <v>41.18</v>
      </c>
      <c r="G418">
        <v>30713</v>
      </c>
      <c r="H418">
        <v>48082</v>
      </c>
      <c r="I418">
        <v>4.7300000000000004</v>
      </c>
      <c r="J418" t="s">
        <v>20</v>
      </c>
      <c r="K418" t="s">
        <v>1579</v>
      </c>
      <c r="L418" s="25">
        <v>0.10930555555555556</v>
      </c>
      <c r="M418">
        <v>0.4118</v>
      </c>
      <c r="N418">
        <v>4.7300000000000002E-2</v>
      </c>
      <c r="O418">
        <v>5289</v>
      </c>
      <c r="P418">
        <v>0.10999958404392496</v>
      </c>
      <c r="Q418" t="s">
        <v>1238</v>
      </c>
      <c r="R418" t="s">
        <v>1239</v>
      </c>
      <c r="S418" t="s">
        <v>1231</v>
      </c>
      <c r="T418">
        <v>3</v>
      </c>
    </row>
    <row r="419" spans="1:20" x14ac:dyDescent="0.3">
      <c r="A419" t="s">
        <v>431</v>
      </c>
      <c r="B419" t="s">
        <v>432</v>
      </c>
      <c r="C419">
        <v>6654</v>
      </c>
      <c r="D419">
        <v>4979</v>
      </c>
      <c r="E419">
        <v>1202</v>
      </c>
      <c r="F419">
        <v>79.14</v>
      </c>
      <c r="G419">
        <v>22429</v>
      </c>
      <c r="H419">
        <v>58207</v>
      </c>
      <c r="I419">
        <v>2.3199999999999998</v>
      </c>
      <c r="J419" t="s">
        <v>42</v>
      </c>
      <c r="K419" t="s">
        <v>1580</v>
      </c>
      <c r="L419" s="25">
        <v>0.71090277777777777</v>
      </c>
      <c r="M419">
        <v>0.79139999999999999</v>
      </c>
      <c r="N419">
        <v>2.3199999999999998E-2</v>
      </c>
      <c r="O419">
        <v>12835</v>
      </c>
      <c r="P419">
        <v>0.22050612469290634</v>
      </c>
      <c r="Q419" t="s">
        <v>1238</v>
      </c>
      <c r="R419" t="s">
        <v>1239</v>
      </c>
      <c r="S419" t="s">
        <v>1232</v>
      </c>
      <c r="T419">
        <v>3</v>
      </c>
    </row>
    <row r="420" spans="1:20" x14ac:dyDescent="0.3">
      <c r="A420" t="s">
        <v>431</v>
      </c>
      <c r="B420" t="s">
        <v>432</v>
      </c>
      <c r="C420">
        <v>6654</v>
      </c>
      <c r="D420">
        <v>4979</v>
      </c>
      <c r="E420">
        <v>1202</v>
      </c>
      <c r="F420">
        <v>79.14</v>
      </c>
      <c r="G420">
        <v>22429</v>
      </c>
      <c r="H420">
        <v>58207</v>
      </c>
      <c r="I420">
        <v>2.3199999999999998</v>
      </c>
      <c r="J420" t="s">
        <v>42</v>
      </c>
      <c r="K420" t="s">
        <v>1581</v>
      </c>
      <c r="L420" s="25">
        <v>0.71090277777777777</v>
      </c>
      <c r="M420">
        <v>0.79139999999999999</v>
      </c>
      <c r="N420">
        <v>2.3199999999999998E-2</v>
      </c>
      <c r="O420">
        <v>12835</v>
      </c>
      <c r="P420">
        <v>0.22050612469290634</v>
      </c>
      <c r="Q420" t="s">
        <v>1238</v>
      </c>
      <c r="R420" t="s">
        <v>1239</v>
      </c>
      <c r="S420" t="s">
        <v>1232</v>
      </c>
      <c r="T420">
        <v>3</v>
      </c>
    </row>
    <row r="421" spans="1:20" x14ac:dyDescent="0.3">
      <c r="A421" t="s">
        <v>431</v>
      </c>
      <c r="B421" t="s">
        <v>432</v>
      </c>
      <c r="C421">
        <v>6654</v>
      </c>
      <c r="D421">
        <v>4979</v>
      </c>
      <c r="E421">
        <v>1202</v>
      </c>
      <c r="F421">
        <v>79.14</v>
      </c>
      <c r="G421">
        <v>22429</v>
      </c>
      <c r="H421">
        <v>58207</v>
      </c>
      <c r="I421">
        <v>2.3199999999999998</v>
      </c>
      <c r="J421" t="s">
        <v>42</v>
      </c>
      <c r="K421" t="s">
        <v>1582</v>
      </c>
      <c r="L421" s="25">
        <v>0.71090277777777777</v>
      </c>
      <c r="M421">
        <v>0.79139999999999999</v>
      </c>
      <c r="N421">
        <v>2.3199999999999998E-2</v>
      </c>
      <c r="O421">
        <v>12835</v>
      </c>
      <c r="P421">
        <v>0.22050612469290634</v>
      </c>
      <c r="Q421" t="s">
        <v>1238</v>
      </c>
      <c r="R421" t="s">
        <v>1239</v>
      </c>
      <c r="S421" t="s">
        <v>1232</v>
      </c>
      <c r="T421">
        <v>3</v>
      </c>
    </row>
    <row r="422" spans="1:20" x14ac:dyDescent="0.3">
      <c r="A422" t="s">
        <v>434</v>
      </c>
      <c r="B422" t="s">
        <v>435</v>
      </c>
      <c r="C422">
        <v>343</v>
      </c>
      <c r="D422">
        <v>563</v>
      </c>
      <c r="E422">
        <v>1717</v>
      </c>
      <c r="F422">
        <v>92.37</v>
      </c>
      <c r="G422">
        <v>97128</v>
      </c>
      <c r="H422">
        <v>55084</v>
      </c>
      <c r="I422">
        <v>6.09</v>
      </c>
      <c r="J422" t="s">
        <v>12</v>
      </c>
      <c r="K422" t="s">
        <v>1583</v>
      </c>
      <c r="L422" s="25">
        <v>0.83759259259259256</v>
      </c>
      <c r="M422">
        <v>0.92370000000000008</v>
      </c>
      <c r="N422">
        <v>6.0899999999999996E-2</v>
      </c>
      <c r="O422">
        <v>2623</v>
      </c>
      <c r="P422">
        <v>4.761818313847941E-2</v>
      </c>
      <c r="Q422" t="s">
        <v>1238</v>
      </c>
      <c r="R422" t="s">
        <v>1239</v>
      </c>
      <c r="S422" t="s">
        <v>1232</v>
      </c>
      <c r="T422">
        <v>3</v>
      </c>
    </row>
    <row r="423" spans="1:20" x14ac:dyDescent="0.3">
      <c r="A423" t="s">
        <v>434</v>
      </c>
      <c r="B423" t="s">
        <v>435</v>
      </c>
      <c r="C423">
        <v>343</v>
      </c>
      <c r="D423">
        <v>563</v>
      </c>
      <c r="E423">
        <v>1717</v>
      </c>
      <c r="F423">
        <v>92.37</v>
      </c>
      <c r="G423">
        <v>97128</v>
      </c>
      <c r="H423">
        <v>55084</v>
      </c>
      <c r="I423">
        <v>6.09</v>
      </c>
      <c r="J423" t="s">
        <v>12</v>
      </c>
      <c r="K423" t="s">
        <v>1584</v>
      </c>
      <c r="L423" s="25">
        <v>0.83759259259259256</v>
      </c>
      <c r="M423">
        <v>0.92370000000000008</v>
      </c>
      <c r="N423">
        <v>6.0899999999999996E-2</v>
      </c>
      <c r="O423">
        <v>2623</v>
      </c>
      <c r="P423">
        <v>4.761818313847941E-2</v>
      </c>
      <c r="Q423" t="s">
        <v>1238</v>
      </c>
      <c r="R423" t="s">
        <v>1239</v>
      </c>
      <c r="S423" t="s">
        <v>1232</v>
      </c>
      <c r="T423">
        <v>3</v>
      </c>
    </row>
    <row r="424" spans="1:20" x14ac:dyDescent="0.3">
      <c r="A424" t="s">
        <v>434</v>
      </c>
      <c r="B424" t="s">
        <v>435</v>
      </c>
      <c r="C424">
        <v>343</v>
      </c>
      <c r="D424">
        <v>563</v>
      </c>
      <c r="E424">
        <v>1717</v>
      </c>
      <c r="F424">
        <v>92.37</v>
      </c>
      <c r="G424">
        <v>97128</v>
      </c>
      <c r="H424">
        <v>55084</v>
      </c>
      <c r="I424">
        <v>6.09</v>
      </c>
      <c r="J424" t="s">
        <v>12</v>
      </c>
      <c r="K424" t="s">
        <v>1585</v>
      </c>
      <c r="L424" s="25">
        <v>0.83759259259259256</v>
      </c>
      <c r="M424">
        <v>0.92370000000000008</v>
      </c>
      <c r="N424">
        <v>6.0899999999999996E-2</v>
      </c>
      <c r="O424">
        <v>2623</v>
      </c>
      <c r="P424">
        <v>4.761818313847941E-2</v>
      </c>
      <c r="Q424" t="s">
        <v>1238</v>
      </c>
      <c r="R424" t="s">
        <v>1239</v>
      </c>
      <c r="S424" t="s">
        <v>1232</v>
      </c>
      <c r="T424">
        <v>3</v>
      </c>
    </row>
    <row r="425" spans="1:20" x14ac:dyDescent="0.3">
      <c r="A425" t="s">
        <v>437</v>
      </c>
      <c r="B425" t="s">
        <v>438</v>
      </c>
      <c r="C425">
        <v>7486</v>
      </c>
      <c r="D425">
        <v>3449</v>
      </c>
      <c r="E425">
        <v>86</v>
      </c>
      <c r="F425">
        <v>33.56</v>
      </c>
      <c r="G425">
        <v>73724</v>
      </c>
      <c r="H425">
        <v>92742</v>
      </c>
      <c r="I425">
        <v>9.92</v>
      </c>
      <c r="J425" t="s">
        <v>16</v>
      </c>
      <c r="K425" t="s">
        <v>1586</v>
      </c>
      <c r="L425" s="25">
        <v>0.60124999999999995</v>
      </c>
      <c r="M425">
        <v>0.33560000000000001</v>
      </c>
      <c r="N425">
        <v>9.9199999999999997E-2</v>
      </c>
      <c r="O425">
        <v>11021</v>
      </c>
      <c r="P425">
        <v>0.11883504776692329</v>
      </c>
      <c r="Q425" t="s">
        <v>1238</v>
      </c>
      <c r="R425" t="s">
        <v>1239</v>
      </c>
      <c r="S425" t="s">
        <v>1230</v>
      </c>
      <c r="T425">
        <v>3</v>
      </c>
    </row>
    <row r="426" spans="1:20" x14ac:dyDescent="0.3">
      <c r="A426" t="s">
        <v>437</v>
      </c>
      <c r="B426" t="s">
        <v>438</v>
      </c>
      <c r="C426">
        <v>7486</v>
      </c>
      <c r="D426">
        <v>3449</v>
      </c>
      <c r="E426">
        <v>86</v>
      </c>
      <c r="F426">
        <v>33.56</v>
      </c>
      <c r="G426">
        <v>73724</v>
      </c>
      <c r="H426">
        <v>92742</v>
      </c>
      <c r="I426">
        <v>9.92</v>
      </c>
      <c r="J426" t="s">
        <v>16</v>
      </c>
      <c r="K426" t="s">
        <v>1332</v>
      </c>
      <c r="L426" s="25">
        <v>0.60124999999999995</v>
      </c>
      <c r="M426">
        <v>0.33560000000000001</v>
      </c>
      <c r="N426">
        <v>9.9199999999999997E-2</v>
      </c>
      <c r="O426">
        <v>11021</v>
      </c>
      <c r="P426">
        <v>0.11883504776692329</v>
      </c>
      <c r="Q426" t="s">
        <v>1238</v>
      </c>
      <c r="R426" t="s">
        <v>1239</v>
      </c>
      <c r="S426" t="s">
        <v>1230</v>
      </c>
      <c r="T426">
        <v>3</v>
      </c>
    </row>
    <row r="427" spans="1:20" x14ac:dyDescent="0.3">
      <c r="A427" t="s">
        <v>437</v>
      </c>
      <c r="B427" t="s">
        <v>438</v>
      </c>
      <c r="C427">
        <v>7486</v>
      </c>
      <c r="D427">
        <v>3449</v>
      </c>
      <c r="E427">
        <v>86</v>
      </c>
      <c r="F427">
        <v>33.56</v>
      </c>
      <c r="G427">
        <v>73724</v>
      </c>
      <c r="H427">
        <v>92742</v>
      </c>
      <c r="I427">
        <v>9.92</v>
      </c>
      <c r="J427" t="s">
        <v>16</v>
      </c>
      <c r="K427" t="s">
        <v>1587</v>
      </c>
      <c r="L427" s="25">
        <v>0.60124999999999995</v>
      </c>
      <c r="M427">
        <v>0.33560000000000001</v>
      </c>
      <c r="N427">
        <v>9.9199999999999997E-2</v>
      </c>
      <c r="O427">
        <v>11021</v>
      </c>
      <c r="P427">
        <v>0.11883504776692329</v>
      </c>
      <c r="Q427" t="s">
        <v>1238</v>
      </c>
      <c r="R427" t="s">
        <v>1239</v>
      </c>
      <c r="S427" t="s">
        <v>1230</v>
      </c>
      <c r="T427">
        <v>3</v>
      </c>
    </row>
    <row r="428" spans="1:20" x14ac:dyDescent="0.3">
      <c r="A428" t="s">
        <v>440</v>
      </c>
      <c r="B428" t="s">
        <v>441</v>
      </c>
      <c r="C428">
        <v>5622</v>
      </c>
      <c r="D428">
        <v>203</v>
      </c>
      <c r="E428">
        <v>1826</v>
      </c>
      <c r="F428">
        <v>79.87</v>
      </c>
      <c r="G428">
        <v>10155</v>
      </c>
      <c r="H428">
        <v>68947</v>
      </c>
      <c r="I428">
        <v>7.88</v>
      </c>
      <c r="J428" t="s">
        <v>16</v>
      </c>
      <c r="K428" t="s">
        <v>1588</v>
      </c>
      <c r="L428" s="25">
        <v>0.21070601851851853</v>
      </c>
      <c r="M428">
        <v>0.79870000000000008</v>
      </c>
      <c r="N428">
        <v>7.8799999999999995E-2</v>
      </c>
      <c r="O428">
        <v>7651</v>
      </c>
      <c r="P428">
        <v>0.11096929525577617</v>
      </c>
      <c r="Q428" t="s">
        <v>1238</v>
      </c>
      <c r="R428" t="s">
        <v>1239</v>
      </c>
      <c r="S428" t="s">
        <v>1231</v>
      </c>
      <c r="T428">
        <v>3</v>
      </c>
    </row>
    <row r="429" spans="1:20" x14ac:dyDescent="0.3">
      <c r="A429" t="s">
        <v>440</v>
      </c>
      <c r="B429" t="s">
        <v>441</v>
      </c>
      <c r="C429">
        <v>5622</v>
      </c>
      <c r="D429">
        <v>203</v>
      </c>
      <c r="E429">
        <v>1826</v>
      </c>
      <c r="F429">
        <v>79.87</v>
      </c>
      <c r="G429">
        <v>10155</v>
      </c>
      <c r="H429">
        <v>68947</v>
      </c>
      <c r="I429">
        <v>7.88</v>
      </c>
      <c r="J429" t="s">
        <v>16</v>
      </c>
      <c r="K429" t="s">
        <v>1589</v>
      </c>
      <c r="L429" s="25">
        <v>0.21070601851851853</v>
      </c>
      <c r="M429">
        <v>0.79870000000000008</v>
      </c>
      <c r="N429">
        <v>7.8799999999999995E-2</v>
      </c>
      <c r="O429">
        <v>7651</v>
      </c>
      <c r="P429">
        <v>0.11096929525577617</v>
      </c>
      <c r="Q429" t="s">
        <v>1238</v>
      </c>
      <c r="R429" t="s">
        <v>1239</v>
      </c>
      <c r="S429" t="s">
        <v>1231</v>
      </c>
      <c r="T429">
        <v>3</v>
      </c>
    </row>
    <row r="430" spans="1:20" x14ac:dyDescent="0.3">
      <c r="A430" t="s">
        <v>440</v>
      </c>
      <c r="B430" t="s">
        <v>441</v>
      </c>
      <c r="C430">
        <v>5622</v>
      </c>
      <c r="D430">
        <v>203</v>
      </c>
      <c r="E430">
        <v>1826</v>
      </c>
      <c r="F430">
        <v>79.87</v>
      </c>
      <c r="G430">
        <v>10155</v>
      </c>
      <c r="H430">
        <v>68947</v>
      </c>
      <c r="I430">
        <v>7.88</v>
      </c>
      <c r="J430" t="s">
        <v>16</v>
      </c>
      <c r="K430" t="s">
        <v>1590</v>
      </c>
      <c r="L430" s="25">
        <v>0.21070601851851853</v>
      </c>
      <c r="M430">
        <v>0.79870000000000008</v>
      </c>
      <c r="N430">
        <v>7.8799999999999995E-2</v>
      </c>
      <c r="O430">
        <v>7651</v>
      </c>
      <c r="P430">
        <v>0.11096929525577617</v>
      </c>
      <c r="Q430" t="s">
        <v>1238</v>
      </c>
      <c r="R430" t="s">
        <v>1239</v>
      </c>
      <c r="S430" t="s">
        <v>1231</v>
      </c>
      <c r="T430">
        <v>3</v>
      </c>
    </row>
    <row r="431" spans="1:20" x14ac:dyDescent="0.3">
      <c r="A431" t="s">
        <v>443</v>
      </c>
      <c r="B431" t="s">
        <v>444</v>
      </c>
      <c r="C431">
        <v>9539</v>
      </c>
      <c r="D431">
        <v>4358</v>
      </c>
      <c r="E431">
        <v>478</v>
      </c>
      <c r="F431">
        <v>12.82</v>
      </c>
      <c r="G431">
        <v>27074</v>
      </c>
      <c r="H431">
        <v>75788</v>
      </c>
      <c r="I431">
        <v>9.59</v>
      </c>
      <c r="J431" t="s">
        <v>12</v>
      </c>
      <c r="K431" t="s">
        <v>1540</v>
      </c>
      <c r="L431" s="25">
        <v>0.89900462962962968</v>
      </c>
      <c r="M431">
        <v>0.12820000000000001</v>
      </c>
      <c r="N431">
        <v>9.5899999999999999E-2</v>
      </c>
      <c r="O431">
        <v>14375</v>
      </c>
      <c r="P431">
        <v>0.18967382699108037</v>
      </c>
      <c r="Q431" t="s">
        <v>1238</v>
      </c>
      <c r="R431" t="s">
        <v>1239</v>
      </c>
      <c r="S431" t="s">
        <v>1233</v>
      </c>
      <c r="T431">
        <v>3</v>
      </c>
    </row>
    <row r="432" spans="1:20" x14ac:dyDescent="0.3">
      <c r="A432" t="s">
        <v>443</v>
      </c>
      <c r="B432" t="s">
        <v>444</v>
      </c>
      <c r="C432">
        <v>9539</v>
      </c>
      <c r="D432">
        <v>4358</v>
      </c>
      <c r="E432">
        <v>478</v>
      </c>
      <c r="F432">
        <v>12.82</v>
      </c>
      <c r="G432">
        <v>27074</v>
      </c>
      <c r="H432">
        <v>75788</v>
      </c>
      <c r="I432">
        <v>9.59</v>
      </c>
      <c r="J432" t="s">
        <v>12</v>
      </c>
      <c r="K432" t="s">
        <v>1591</v>
      </c>
      <c r="L432" s="25">
        <v>0.89900462962962968</v>
      </c>
      <c r="M432">
        <v>0.12820000000000001</v>
      </c>
      <c r="N432">
        <v>9.5899999999999999E-2</v>
      </c>
      <c r="O432">
        <v>14375</v>
      </c>
      <c r="P432">
        <v>0.18967382699108037</v>
      </c>
      <c r="Q432" t="s">
        <v>1238</v>
      </c>
      <c r="R432" t="s">
        <v>1239</v>
      </c>
      <c r="S432" t="s">
        <v>1233</v>
      </c>
      <c r="T432">
        <v>3</v>
      </c>
    </row>
    <row r="433" spans="1:20" x14ac:dyDescent="0.3">
      <c r="A433" t="s">
        <v>443</v>
      </c>
      <c r="B433" t="s">
        <v>444</v>
      </c>
      <c r="C433">
        <v>9539</v>
      </c>
      <c r="D433">
        <v>4358</v>
      </c>
      <c r="E433">
        <v>478</v>
      </c>
      <c r="F433">
        <v>12.82</v>
      </c>
      <c r="G433">
        <v>27074</v>
      </c>
      <c r="H433">
        <v>75788</v>
      </c>
      <c r="I433">
        <v>9.59</v>
      </c>
      <c r="J433" t="s">
        <v>12</v>
      </c>
      <c r="K433" t="s">
        <v>1500</v>
      </c>
      <c r="L433" s="25">
        <v>0.89900462962962968</v>
      </c>
      <c r="M433">
        <v>0.12820000000000001</v>
      </c>
      <c r="N433">
        <v>9.5899999999999999E-2</v>
      </c>
      <c r="O433">
        <v>14375</v>
      </c>
      <c r="P433">
        <v>0.18967382699108037</v>
      </c>
      <c r="Q433" t="s">
        <v>1238</v>
      </c>
      <c r="R433" t="s">
        <v>1239</v>
      </c>
      <c r="S433" t="s">
        <v>1233</v>
      </c>
      <c r="T433">
        <v>3</v>
      </c>
    </row>
    <row r="434" spans="1:20" x14ac:dyDescent="0.3">
      <c r="A434" t="s">
        <v>446</v>
      </c>
      <c r="B434" t="s">
        <v>447</v>
      </c>
      <c r="C434">
        <v>864</v>
      </c>
      <c r="D434">
        <v>2817</v>
      </c>
      <c r="E434">
        <v>1767</v>
      </c>
      <c r="F434">
        <v>65.95</v>
      </c>
      <c r="G434">
        <v>8301</v>
      </c>
      <c r="H434">
        <v>63846</v>
      </c>
      <c r="I434">
        <v>0.16</v>
      </c>
      <c r="J434" t="s">
        <v>12</v>
      </c>
      <c r="K434" t="s">
        <v>1324</v>
      </c>
      <c r="L434" s="25">
        <v>0.36846064814814816</v>
      </c>
      <c r="M434">
        <v>0.65949999999999998</v>
      </c>
      <c r="N434">
        <v>1.6000000000000001E-3</v>
      </c>
      <c r="O434">
        <v>5448</v>
      </c>
      <c r="P434">
        <v>8.5330326097171325E-2</v>
      </c>
      <c r="Q434" t="s">
        <v>1238</v>
      </c>
      <c r="R434" t="s">
        <v>1239</v>
      </c>
      <c r="S434" t="s">
        <v>1231</v>
      </c>
      <c r="T434">
        <v>3</v>
      </c>
    </row>
    <row r="435" spans="1:20" x14ac:dyDescent="0.3">
      <c r="A435" t="s">
        <v>446</v>
      </c>
      <c r="B435" t="s">
        <v>447</v>
      </c>
      <c r="C435">
        <v>864</v>
      </c>
      <c r="D435">
        <v>2817</v>
      </c>
      <c r="E435">
        <v>1767</v>
      </c>
      <c r="F435">
        <v>65.95</v>
      </c>
      <c r="G435">
        <v>8301</v>
      </c>
      <c r="H435">
        <v>63846</v>
      </c>
      <c r="I435">
        <v>0.16</v>
      </c>
      <c r="J435" t="s">
        <v>12</v>
      </c>
      <c r="K435" t="s">
        <v>1592</v>
      </c>
      <c r="L435" s="25">
        <v>0.36846064814814816</v>
      </c>
      <c r="M435">
        <v>0.65949999999999998</v>
      </c>
      <c r="N435">
        <v>1.6000000000000001E-3</v>
      </c>
      <c r="O435">
        <v>5448</v>
      </c>
      <c r="P435">
        <v>8.5330326097171325E-2</v>
      </c>
      <c r="Q435" t="s">
        <v>1238</v>
      </c>
      <c r="R435" t="s">
        <v>1239</v>
      </c>
      <c r="S435" t="s">
        <v>1231</v>
      </c>
      <c r="T435">
        <v>3</v>
      </c>
    </row>
    <row r="436" spans="1:20" x14ac:dyDescent="0.3">
      <c r="A436" t="s">
        <v>446</v>
      </c>
      <c r="B436" t="s">
        <v>447</v>
      </c>
      <c r="C436">
        <v>864</v>
      </c>
      <c r="D436">
        <v>2817</v>
      </c>
      <c r="E436">
        <v>1767</v>
      </c>
      <c r="F436">
        <v>65.95</v>
      </c>
      <c r="G436">
        <v>8301</v>
      </c>
      <c r="H436">
        <v>63846</v>
      </c>
      <c r="I436">
        <v>0.16</v>
      </c>
      <c r="J436" t="s">
        <v>12</v>
      </c>
      <c r="K436" t="s">
        <v>1438</v>
      </c>
      <c r="L436" s="25">
        <v>0.36846064814814816</v>
      </c>
      <c r="M436">
        <v>0.65949999999999998</v>
      </c>
      <c r="N436">
        <v>1.6000000000000001E-3</v>
      </c>
      <c r="O436">
        <v>5448</v>
      </c>
      <c r="P436">
        <v>8.5330326097171325E-2</v>
      </c>
      <c r="Q436" t="s">
        <v>1238</v>
      </c>
      <c r="R436" t="s">
        <v>1239</v>
      </c>
      <c r="S436" t="s">
        <v>1231</v>
      </c>
      <c r="T436">
        <v>3</v>
      </c>
    </row>
    <row r="437" spans="1:20" x14ac:dyDescent="0.3">
      <c r="A437" t="s">
        <v>449</v>
      </c>
      <c r="B437" t="s">
        <v>450</v>
      </c>
      <c r="C437">
        <v>3845</v>
      </c>
      <c r="D437">
        <v>4928</v>
      </c>
      <c r="E437">
        <v>722</v>
      </c>
      <c r="F437">
        <v>24.88</v>
      </c>
      <c r="G437">
        <v>26509</v>
      </c>
      <c r="H437">
        <v>70592</v>
      </c>
      <c r="I437">
        <v>4.7300000000000004</v>
      </c>
      <c r="J437" t="s">
        <v>12</v>
      </c>
      <c r="K437" t="s">
        <v>1593</v>
      </c>
      <c r="L437" s="25">
        <v>0.69918981481481479</v>
      </c>
      <c r="M437">
        <v>0.24879999999999999</v>
      </c>
      <c r="N437">
        <v>4.7300000000000002E-2</v>
      </c>
      <c r="O437">
        <v>9495</v>
      </c>
      <c r="P437">
        <v>0.13450532638259294</v>
      </c>
      <c r="Q437" t="s">
        <v>1238</v>
      </c>
      <c r="R437" t="s">
        <v>1239</v>
      </c>
      <c r="S437" t="s">
        <v>1230</v>
      </c>
      <c r="T437">
        <v>3</v>
      </c>
    </row>
    <row r="438" spans="1:20" x14ac:dyDescent="0.3">
      <c r="A438" t="s">
        <v>449</v>
      </c>
      <c r="B438" t="s">
        <v>450</v>
      </c>
      <c r="C438">
        <v>3845</v>
      </c>
      <c r="D438">
        <v>4928</v>
      </c>
      <c r="E438">
        <v>722</v>
      </c>
      <c r="F438">
        <v>24.88</v>
      </c>
      <c r="G438">
        <v>26509</v>
      </c>
      <c r="H438">
        <v>70592</v>
      </c>
      <c r="I438">
        <v>4.7300000000000004</v>
      </c>
      <c r="J438" t="s">
        <v>12</v>
      </c>
      <c r="K438" t="s">
        <v>1474</v>
      </c>
      <c r="L438" s="25">
        <v>0.69918981481481479</v>
      </c>
      <c r="M438">
        <v>0.24879999999999999</v>
      </c>
      <c r="N438">
        <v>4.7300000000000002E-2</v>
      </c>
      <c r="O438">
        <v>9495</v>
      </c>
      <c r="P438">
        <v>0.13450532638259294</v>
      </c>
      <c r="Q438" t="s">
        <v>1238</v>
      </c>
      <c r="R438" t="s">
        <v>1239</v>
      </c>
      <c r="S438" t="s">
        <v>1230</v>
      </c>
      <c r="T438">
        <v>3</v>
      </c>
    </row>
    <row r="439" spans="1:20" x14ac:dyDescent="0.3">
      <c r="A439" t="s">
        <v>449</v>
      </c>
      <c r="B439" t="s">
        <v>450</v>
      </c>
      <c r="C439">
        <v>3845</v>
      </c>
      <c r="D439">
        <v>4928</v>
      </c>
      <c r="E439">
        <v>722</v>
      </c>
      <c r="F439">
        <v>24.88</v>
      </c>
      <c r="G439">
        <v>26509</v>
      </c>
      <c r="H439">
        <v>70592</v>
      </c>
      <c r="I439">
        <v>4.7300000000000004</v>
      </c>
      <c r="J439" t="s">
        <v>12</v>
      </c>
      <c r="K439" t="s">
        <v>1594</v>
      </c>
      <c r="L439" s="25">
        <v>0.69918981481481479</v>
      </c>
      <c r="M439">
        <v>0.24879999999999999</v>
      </c>
      <c r="N439">
        <v>4.7300000000000002E-2</v>
      </c>
      <c r="O439">
        <v>9495</v>
      </c>
      <c r="P439">
        <v>0.13450532638259294</v>
      </c>
      <c r="Q439" t="s">
        <v>1238</v>
      </c>
      <c r="R439" t="s">
        <v>1239</v>
      </c>
      <c r="S439" t="s">
        <v>1230</v>
      </c>
      <c r="T439">
        <v>3</v>
      </c>
    </row>
    <row r="440" spans="1:20" x14ac:dyDescent="0.3">
      <c r="A440" t="s">
        <v>452</v>
      </c>
      <c r="B440" t="s">
        <v>453</v>
      </c>
      <c r="C440">
        <v>8502</v>
      </c>
      <c r="D440">
        <v>2822</v>
      </c>
      <c r="E440">
        <v>366</v>
      </c>
      <c r="F440">
        <v>42.6</v>
      </c>
      <c r="G440">
        <v>55061</v>
      </c>
      <c r="H440">
        <v>31874</v>
      </c>
      <c r="I440">
        <v>6.38</v>
      </c>
      <c r="J440" t="s">
        <v>12</v>
      </c>
      <c r="K440" t="s">
        <v>1418</v>
      </c>
      <c r="L440" s="25">
        <v>0.36481481481481481</v>
      </c>
      <c r="M440">
        <v>0.42599999999999999</v>
      </c>
      <c r="N440">
        <v>6.3799999999999996E-2</v>
      </c>
      <c r="O440">
        <v>11690</v>
      </c>
      <c r="P440">
        <v>0.36675660412875699</v>
      </c>
      <c r="Q440" t="s">
        <v>1238</v>
      </c>
      <c r="R440" t="s">
        <v>1239</v>
      </c>
      <c r="S440" t="s">
        <v>1231</v>
      </c>
      <c r="T440">
        <v>3</v>
      </c>
    </row>
    <row r="441" spans="1:20" x14ac:dyDescent="0.3">
      <c r="A441" t="s">
        <v>452</v>
      </c>
      <c r="B441" t="s">
        <v>453</v>
      </c>
      <c r="C441">
        <v>8502</v>
      </c>
      <c r="D441">
        <v>2822</v>
      </c>
      <c r="E441">
        <v>366</v>
      </c>
      <c r="F441">
        <v>42.6</v>
      </c>
      <c r="G441">
        <v>55061</v>
      </c>
      <c r="H441">
        <v>31874</v>
      </c>
      <c r="I441">
        <v>6.38</v>
      </c>
      <c r="J441" t="s">
        <v>12</v>
      </c>
      <c r="K441" t="s">
        <v>1595</v>
      </c>
      <c r="L441" s="25">
        <v>0.36481481481481481</v>
      </c>
      <c r="M441">
        <v>0.42599999999999999</v>
      </c>
      <c r="N441">
        <v>6.3799999999999996E-2</v>
      </c>
      <c r="O441">
        <v>11690</v>
      </c>
      <c r="P441">
        <v>0.36675660412875699</v>
      </c>
      <c r="Q441" t="s">
        <v>1238</v>
      </c>
      <c r="R441" t="s">
        <v>1239</v>
      </c>
      <c r="S441" t="s">
        <v>1231</v>
      </c>
      <c r="T441">
        <v>3</v>
      </c>
    </row>
    <row r="442" spans="1:20" x14ac:dyDescent="0.3">
      <c r="A442" t="s">
        <v>452</v>
      </c>
      <c r="B442" t="s">
        <v>453</v>
      </c>
      <c r="C442">
        <v>8502</v>
      </c>
      <c r="D442">
        <v>2822</v>
      </c>
      <c r="E442">
        <v>366</v>
      </c>
      <c r="F442">
        <v>42.6</v>
      </c>
      <c r="G442">
        <v>55061</v>
      </c>
      <c r="H442">
        <v>31874</v>
      </c>
      <c r="I442">
        <v>6.38</v>
      </c>
      <c r="J442" t="s">
        <v>12</v>
      </c>
      <c r="K442" t="s">
        <v>1596</v>
      </c>
      <c r="L442" s="25">
        <v>0.36481481481481481</v>
      </c>
      <c r="M442">
        <v>0.42599999999999999</v>
      </c>
      <c r="N442">
        <v>6.3799999999999996E-2</v>
      </c>
      <c r="O442">
        <v>11690</v>
      </c>
      <c r="P442">
        <v>0.36675660412875699</v>
      </c>
      <c r="Q442" t="s">
        <v>1238</v>
      </c>
      <c r="R442" t="s">
        <v>1239</v>
      </c>
      <c r="S442" t="s">
        <v>1231</v>
      </c>
      <c r="T442">
        <v>3</v>
      </c>
    </row>
    <row r="443" spans="1:20" x14ac:dyDescent="0.3">
      <c r="A443" t="s">
        <v>455</v>
      </c>
      <c r="B443" t="s">
        <v>456</v>
      </c>
      <c r="C443">
        <v>1972</v>
      </c>
      <c r="D443">
        <v>1054</v>
      </c>
      <c r="E443">
        <v>1172</v>
      </c>
      <c r="F443">
        <v>89.79</v>
      </c>
      <c r="G443">
        <v>30148</v>
      </c>
      <c r="H443">
        <v>58395</v>
      </c>
      <c r="I443">
        <v>7.22</v>
      </c>
      <c r="J443" t="s">
        <v>20</v>
      </c>
      <c r="K443" t="s">
        <v>1597</v>
      </c>
      <c r="L443" s="25">
        <v>0.60069444444444442</v>
      </c>
      <c r="M443">
        <v>0.89790000000000003</v>
      </c>
      <c r="N443">
        <v>7.22E-2</v>
      </c>
      <c r="O443">
        <v>4198</v>
      </c>
      <c r="P443">
        <v>7.1889716585324087E-2</v>
      </c>
      <c r="Q443" t="s">
        <v>1238</v>
      </c>
      <c r="R443" t="s">
        <v>1239</v>
      </c>
      <c r="S443" t="s">
        <v>1230</v>
      </c>
      <c r="T443">
        <v>3</v>
      </c>
    </row>
    <row r="444" spans="1:20" x14ac:dyDescent="0.3">
      <c r="A444" t="s">
        <v>455</v>
      </c>
      <c r="B444" t="s">
        <v>456</v>
      </c>
      <c r="C444">
        <v>1972</v>
      </c>
      <c r="D444">
        <v>1054</v>
      </c>
      <c r="E444">
        <v>1172</v>
      </c>
      <c r="F444">
        <v>89.79</v>
      </c>
      <c r="G444">
        <v>30148</v>
      </c>
      <c r="H444">
        <v>58395</v>
      </c>
      <c r="I444">
        <v>7.22</v>
      </c>
      <c r="J444" t="s">
        <v>20</v>
      </c>
      <c r="K444" t="s">
        <v>1598</v>
      </c>
      <c r="L444" s="25">
        <v>0.60069444444444442</v>
      </c>
      <c r="M444">
        <v>0.89790000000000003</v>
      </c>
      <c r="N444">
        <v>7.22E-2</v>
      </c>
      <c r="O444">
        <v>4198</v>
      </c>
      <c r="P444">
        <v>7.1889716585324087E-2</v>
      </c>
      <c r="Q444" t="s">
        <v>1238</v>
      </c>
      <c r="R444" t="s">
        <v>1239</v>
      </c>
      <c r="S444" t="s">
        <v>1230</v>
      </c>
      <c r="T444">
        <v>3</v>
      </c>
    </row>
    <row r="445" spans="1:20" x14ac:dyDescent="0.3">
      <c r="A445" t="s">
        <v>455</v>
      </c>
      <c r="B445" t="s">
        <v>456</v>
      </c>
      <c r="C445">
        <v>1972</v>
      </c>
      <c r="D445">
        <v>1054</v>
      </c>
      <c r="E445">
        <v>1172</v>
      </c>
      <c r="F445">
        <v>89.79</v>
      </c>
      <c r="G445">
        <v>30148</v>
      </c>
      <c r="H445">
        <v>58395</v>
      </c>
      <c r="I445">
        <v>7.22</v>
      </c>
      <c r="J445" t="s">
        <v>20</v>
      </c>
      <c r="K445" t="s">
        <v>1599</v>
      </c>
      <c r="L445" s="25">
        <v>0.60069444444444442</v>
      </c>
      <c r="M445">
        <v>0.89790000000000003</v>
      </c>
      <c r="N445">
        <v>7.22E-2</v>
      </c>
      <c r="O445">
        <v>4198</v>
      </c>
      <c r="P445">
        <v>7.1889716585324087E-2</v>
      </c>
      <c r="Q445" t="s">
        <v>1238</v>
      </c>
      <c r="R445" t="s">
        <v>1239</v>
      </c>
      <c r="S445" t="s">
        <v>1230</v>
      </c>
      <c r="T445">
        <v>3</v>
      </c>
    </row>
    <row r="446" spans="1:20" x14ac:dyDescent="0.3">
      <c r="A446" t="s">
        <v>458</v>
      </c>
      <c r="B446" t="s">
        <v>459</v>
      </c>
      <c r="C446">
        <v>3801</v>
      </c>
      <c r="D446">
        <v>2013</v>
      </c>
      <c r="E446">
        <v>305</v>
      </c>
      <c r="F446">
        <v>84.98</v>
      </c>
      <c r="G446">
        <v>88087</v>
      </c>
      <c r="H446">
        <v>66896</v>
      </c>
      <c r="I446">
        <v>9.0299999999999994</v>
      </c>
      <c r="J446" t="s">
        <v>12</v>
      </c>
      <c r="K446" t="s">
        <v>1579</v>
      </c>
      <c r="L446" s="25">
        <v>0.50103009259259257</v>
      </c>
      <c r="M446">
        <v>0.8498</v>
      </c>
      <c r="N446">
        <v>9.0299999999999991E-2</v>
      </c>
      <c r="O446">
        <v>6119</v>
      </c>
      <c r="P446">
        <v>9.1470342023439372E-2</v>
      </c>
      <c r="Q446" t="s">
        <v>1238</v>
      </c>
      <c r="R446" t="s">
        <v>1239</v>
      </c>
      <c r="S446" t="s">
        <v>1230</v>
      </c>
      <c r="T446">
        <v>3</v>
      </c>
    </row>
    <row r="447" spans="1:20" x14ac:dyDescent="0.3">
      <c r="A447" t="s">
        <v>458</v>
      </c>
      <c r="B447" t="s">
        <v>459</v>
      </c>
      <c r="C447">
        <v>3801</v>
      </c>
      <c r="D447">
        <v>2013</v>
      </c>
      <c r="E447">
        <v>305</v>
      </c>
      <c r="F447">
        <v>84.98</v>
      </c>
      <c r="G447">
        <v>88087</v>
      </c>
      <c r="H447">
        <v>66896</v>
      </c>
      <c r="I447">
        <v>9.0299999999999994</v>
      </c>
      <c r="J447" t="s">
        <v>12</v>
      </c>
      <c r="K447" t="s">
        <v>1600</v>
      </c>
      <c r="L447" s="25">
        <v>0.50103009259259257</v>
      </c>
      <c r="M447">
        <v>0.8498</v>
      </c>
      <c r="N447">
        <v>9.0299999999999991E-2</v>
      </c>
      <c r="O447">
        <v>6119</v>
      </c>
      <c r="P447">
        <v>9.1470342023439372E-2</v>
      </c>
      <c r="Q447" t="s">
        <v>1238</v>
      </c>
      <c r="R447" t="s">
        <v>1239</v>
      </c>
      <c r="S447" t="s">
        <v>1230</v>
      </c>
      <c r="T447">
        <v>3</v>
      </c>
    </row>
    <row r="448" spans="1:20" x14ac:dyDescent="0.3">
      <c r="A448" t="s">
        <v>458</v>
      </c>
      <c r="B448" t="s">
        <v>459</v>
      </c>
      <c r="C448">
        <v>3801</v>
      </c>
      <c r="D448">
        <v>2013</v>
      </c>
      <c r="E448">
        <v>305</v>
      </c>
      <c r="F448">
        <v>84.98</v>
      </c>
      <c r="G448">
        <v>88087</v>
      </c>
      <c r="H448">
        <v>66896</v>
      </c>
      <c r="I448">
        <v>9.0299999999999994</v>
      </c>
      <c r="J448" t="s">
        <v>12</v>
      </c>
      <c r="K448" t="s">
        <v>1601</v>
      </c>
      <c r="L448" s="25">
        <v>0.50103009259259257</v>
      </c>
      <c r="M448">
        <v>0.8498</v>
      </c>
      <c r="N448">
        <v>9.0299999999999991E-2</v>
      </c>
      <c r="O448">
        <v>6119</v>
      </c>
      <c r="P448">
        <v>9.1470342023439372E-2</v>
      </c>
      <c r="Q448" t="s">
        <v>1238</v>
      </c>
      <c r="R448" t="s">
        <v>1239</v>
      </c>
      <c r="S448" t="s">
        <v>1230</v>
      </c>
      <c r="T448">
        <v>3</v>
      </c>
    </row>
    <row r="449" spans="1:20" x14ac:dyDescent="0.3">
      <c r="A449" t="s">
        <v>461</v>
      </c>
      <c r="B449" t="s">
        <v>462</v>
      </c>
      <c r="C449">
        <v>5500</v>
      </c>
      <c r="D449">
        <v>4865</v>
      </c>
      <c r="E449">
        <v>981</v>
      </c>
      <c r="F449">
        <v>51.26</v>
      </c>
      <c r="G449">
        <v>44933</v>
      </c>
      <c r="H449">
        <v>85471</v>
      </c>
      <c r="I449">
        <v>6.8</v>
      </c>
      <c r="J449" t="s">
        <v>20</v>
      </c>
      <c r="K449" t="s">
        <v>1602</v>
      </c>
      <c r="L449" s="25">
        <v>0.40487268518518521</v>
      </c>
      <c r="M449">
        <v>0.51259999999999994</v>
      </c>
      <c r="N449">
        <v>6.8000000000000005E-2</v>
      </c>
      <c r="O449">
        <v>11346</v>
      </c>
      <c r="P449">
        <v>0.13274677960945819</v>
      </c>
      <c r="Q449" t="s">
        <v>1238</v>
      </c>
      <c r="R449" t="s">
        <v>1239</v>
      </c>
      <c r="S449" t="s">
        <v>1231</v>
      </c>
      <c r="T449">
        <v>3</v>
      </c>
    </row>
    <row r="450" spans="1:20" x14ac:dyDescent="0.3">
      <c r="A450" t="s">
        <v>461</v>
      </c>
      <c r="B450" t="s">
        <v>462</v>
      </c>
      <c r="C450">
        <v>5500</v>
      </c>
      <c r="D450">
        <v>4865</v>
      </c>
      <c r="E450">
        <v>981</v>
      </c>
      <c r="F450">
        <v>51.26</v>
      </c>
      <c r="G450">
        <v>44933</v>
      </c>
      <c r="H450">
        <v>85471</v>
      </c>
      <c r="I450">
        <v>6.8</v>
      </c>
      <c r="J450" t="s">
        <v>20</v>
      </c>
      <c r="K450" t="s">
        <v>1603</v>
      </c>
      <c r="L450" s="25">
        <v>0.40487268518518521</v>
      </c>
      <c r="M450">
        <v>0.51259999999999994</v>
      </c>
      <c r="N450">
        <v>6.8000000000000005E-2</v>
      </c>
      <c r="O450">
        <v>11346</v>
      </c>
      <c r="P450">
        <v>0.13274677960945819</v>
      </c>
      <c r="Q450" t="s">
        <v>1238</v>
      </c>
      <c r="R450" t="s">
        <v>1239</v>
      </c>
      <c r="S450" t="s">
        <v>1231</v>
      </c>
      <c r="T450">
        <v>3</v>
      </c>
    </row>
    <row r="451" spans="1:20" x14ac:dyDescent="0.3">
      <c r="A451" t="s">
        <v>461</v>
      </c>
      <c r="B451" t="s">
        <v>462</v>
      </c>
      <c r="C451">
        <v>5500</v>
      </c>
      <c r="D451">
        <v>4865</v>
      </c>
      <c r="E451">
        <v>981</v>
      </c>
      <c r="F451">
        <v>51.26</v>
      </c>
      <c r="G451">
        <v>44933</v>
      </c>
      <c r="H451">
        <v>85471</v>
      </c>
      <c r="I451">
        <v>6.8</v>
      </c>
      <c r="J451" t="s">
        <v>20</v>
      </c>
      <c r="K451" t="s">
        <v>1283</v>
      </c>
      <c r="L451" s="25">
        <v>0.40487268518518521</v>
      </c>
      <c r="M451">
        <v>0.51259999999999994</v>
      </c>
      <c r="N451">
        <v>6.8000000000000005E-2</v>
      </c>
      <c r="O451">
        <v>11346</v>
      </c>
      <c r="P451">
        <v>0.13274677960945819</v>
      </c>
      <c r="Q451" t="s">
        <v>1238</v>
      </c>
      <c r="R451" t="s">
        <v>1239</v>
      </c>
      <c r="S451" t="s">
        <v>1231</v>
      </c>
      <c r="T451">
        <v>3</v>
      </c>
    </row>
    <row r="452" spans="1:20" x14ac:dyDescent="0.3">
      <c r="A452" t="s">
        <v>464</v>
      </c>
      <c r="B452" t="s">
        <v>465</v>
      </c>
      <c r="C452">
        <v>1422</v>
      </c>
      <c r="D452">
        <v>1593</v>
      </c>
      <c r="E452">
        <v>1120</v>
      </c>
      <c r="F452">
        <v>22.65</v>
      </c>
      <c r="G452">
        <v>98465</v>
      </c>
      <c r="H452">
        <v>25834</v>
      </c>
      <c r="I452">
        <v>4.97</v>
      </c>
      <c r="J452" t="s">
        <v>16</v>
      </c>
      <c r="K452" t="s">
        <v>1604</v>
      </c>
      <c r="L452" s="25">
        <v>0.29349537037037038</v>
      </c>
      <c r="M452">
        <v>0.22649999999999998</v>
      </c>
      <c r="N452">
        <v>4.9699999999999994E-2</v>
      </c>
      <c r="O452">
        <v>4135</v>
      </c>
      <c r="P452">
        <v>0.16006038553843771</v>
      </c>
      <c r="Q452" t="s">
        <v>1238</v>
      </c>
      <c r="R452" t="s">
        <v>1239</v>
      </c>
      <c r="S452" t="s">
        <v>1231</v>
      </c>
      <c r="T452">
        <v>3</v>
      </c>
    </row>
    <row r="453" spans="1:20" x14ac:dyDescent="0.3">
      <c r="A453" t="s">
        <v>464</v>
      </c>
      <c r="B453" t="s">
        <v>465</v>
      </c>
      <c r="C453">
        <v>1422</v>
      </c>
      <c r="D453">
        <v>1593</v>
      </c>
      <c r="E453">
        <v>1120</v>
      </c>
      <c r="F453">
        <v>22.65</v>
      </c>
      <c r="G453">
        <v>98465</v>
      </c>
      <c r="H453">
        <v>25834</v>
      </c>
      <c r="I453">
        <v>4.97</v>
      </c>
      <c r="J453" t="s">
        <v>16</v>
      </c>
      <c r="K453" t="s">
        <v>1605</v>
      </c>
      <c r="L453" s="25">
        <v>0.29349537037037038</v>
      </c>
      <c r="M453">
        <v>0.22649999999999998</v>
      </c>
      <c r="N453">
        <v>4.9699999999999994E-2</v>
      </c>
      <c r="O453">
        <v>4135</v>
      </c>
      <c r="P453">
        <v>0.16006038553843771</v>
      </c>
      <c r="Q453" t="s">
        <v>1238</v>
      </c>
      <c r="R453" t="s">
        <v>1239</v>
      </c>
      <c r="S453" t="s">
        <v>1231</v>
      </c>
      <c r="T453">
        <v>3</v>
      </c>
    </row>
    <row r="454" spans="1:20" x14ac:dyDescent="0.3">
      <c r="A454" t="s">
        <v>464</v>
      </c>
      <c r="B454" t="s">
        <v>465</v>
      </c>
      <c r="C454">
        <v>1422</v>
      </c>
      <c r="D454">
        <v>1593</v>
      </c>
      <c r="E454">
        <v>1120</v>
      </c>
      <c r="F454">
        <v>22.65</v>
      </c>
      <c r="G454">
        <v>98465</v>
      </c>
      <c r="H454">
        <v>25834</v>
      </c>
      <c r="I454">
        <v>4.97</v>
      </c>
      <c r="J454" t="s">
        <v>16</v>
      </c>
      <c r="K454" t="s">
        <v>1606</v>
      </c>
      <c r="L454" s="25">
        <v>0.29349537037037038</v>
      </c>
      <c r="M454">
        <v>0.22649999999999998</v>
      </c>
      <c r="N454">
        <v>4.9699999999999994E-2</v>
      </c>
      <c r="O454">
        <v>4135</v>
      </c>
      <c r="P454">
        <v>0.16006038553843771</v>
      </c>
      <c r="Q454" t="s">
        <v>1238</v>
      </c>
      <c r="R454" t="s">
        <v>1239</v>
      </c>
      <c r="S454" t="s">
        <v>1231</v>
      </c>
      <c r="T454">
        <v>3</v>
      </c>
    </row>
    <row r="455" spans="1:20" x14ac:dyDescent="0.3">
      <c r="A455" t="s">
        <v>467</v>
      </c>
      <c r="B455" t="s">
        <v>468</v>
      </c>
      <c r="C455">
        <v>634</v>
      </c>
      <c r="D455">
        <v>503</v>
      </c>
      <c r="E455">
        <v>1869</v>
      </c>
      <c r="F455">
        <v>80.69</v>
      </c>
      <c r="G455">
        <v>10777</v>
      </c>
      <c r="H455">
        <v>53490</v>
      </c>
      <c r="I455">
        <v>8.15</v>
      </c>
      <c r="J455" t="s">
        <v>20</v>
      </c>
      <c r="K455" t="s">
        <v>1573</v>
      </c>
      <c r="L455" s="25">
        <v>0.79767361111111112</v>
      </c>
      <c r="M455">
        <v>0.80689999999999995</v>
      </c>
      <c r="N455">
        <v>8.1500000000000003E-2</v>
      </c>
      <c r="O455">
        <v>3006</v>
      </c>
      <c r="P455">
        <v>5.6197420078519349E-2</v>
      </c>
      <c r="Q455" t="s">
        <v>1238</v>
      </c>
      <c r="R455" t="s">
        <v>1239</v>
      </c>
      <c r="S455" t="s">
        <v>1232</v>
      </c>
      <c r="T455">
        <v>3</v>
      </c>
    </row>
    <row r="456" spans="1:20" x14ac:dyDescent="0.3">
      <c r="A456" t="s">
        <v>467</v>
      </c>
      <c r="B456" t="s">
        <v>468</v>
      </c>
      <c r="C456">
        <v>634</v>
      </c>
      <c r="D456">
        <v>503</v>
      </c>
      <c r="E456">
        <v>1869</v>
      </c>
      <c r="F456">
        <v>80.69</v>
      </c>
      <c r="G456">
        <v>10777</v>
      </c>
      <c r="H456">
        <v>53490</v>
      </c>
      <c r="I456">
        <v>8.15</v>
      </c>
      <c r="J456" t="s">
        <v>20</v>
      </c>
      <c r="K456" t="s">
        <v>1607</v>
      </c>
      <c r="L456" s="25">
        <v>0.79767361111111112</v>
      </c>
      <c r="M456">
        <v>0.80689999999999995</v>
      </c>
      <c r="N456">
        <v>8.1500000000000003E-2</v>
      </c>
      <c r="O456">
        <v>3006</v>
      </c>
      <c r="P456">
        <v>5.6197420078519349E-2</v>
      </c>
      <c r="Q456" t="s">
        <v>1238</v>
      </c>
      <c r="R456" t="s">
        <v>1239</v>
      </c>
      <c r="S456" t="s">
        <v>1232</v>
      </c>
      <c r="T456">
        <v>3</v>
      </c>
    </row>
    <row r="457" spans="1:20" x14ac:dyDescent="0.3">
      <c r="A457" t="s">
        <v>467</v>
      </c>
      <c r="B457" t="s">
        <v>468</v>
      </c>
      <c r="C457">
        <v>634</v>
      </c>
      <c r="D457">
        <v>503</v>
      </c>
      <c r="E457">
        <v>1869</v>
      </c>
      <c r="F457">
        <v>80.69</v>
      </c>
      <c r="G457">
        <v>10777</v>
      </c>
      <c r="H457">
        <v>53490</v>
      </c>
      <c r="I457">
        <v>8.15</v>
      </c>
      <c r="J457" t="s">
        <v>20</v>
      </c>
      <c r="K457" t="s">
        <v>1608</v>
      </c>
      <c r="L457" s="25">
        <v>0.79767361111111112</v>
      </c>
      <c r="M457">
        <v>0.80689999999999995</v>
      </c>
      <c r="N457">
        <v>8.1500000000000003E-2</v>
      </c>
      <c r="O457">
        <v>3006</v>
      </c>
      <c r="P457">
        <v>5.6197420078519349E-2</v>
      </c>
      <c r="Q457" t="s">
        <v>1238</v>
      </c>
      <c r="R457" t="s">
        <v>1239</v>
      </c>
      <c r="S457" t="s">
        <v>1232</v>
      </c>
      <c r="T457">
        <v>3</v>
      </c>
    </row>
    <row r="458" spans="1:20" x14ac:dyDescent="0.3">
      <c r="A458" t="s">
        <v>470</v>
      </c>
      <c r="B458" t="s">
        <v>471</v>
      </c>
      <c r="C458">
        <v>6588</v>
      </c>
      <c r="D458">
        <v>32</v>
      </c>
      <c r="E458">
        <v>954</v>
      </c>
      <c r="F458">
        <v>64.66</v>
      </c>
      <c r="G458">
        <v>84876</v>
      </c>
      <c r="H458">
        <v>27021</v>
      </c>
      <c r="I458">
        <v>0.05</v>
      </c>
      <c r="J458" t="s">
        <v>12</v>
      </c>
      <c r="K458" t="s">
        <v>1351</v>
      </c>
      <c r="L458" s="25">
        <v>0.5131944444444444</v>
      </c>
      <c r="M458">
        <v>0.64659999999999995</v>
      </c>
      <c r="N458">
        <v>5.0000000000000001E-4</v>
      </c>
      <c r="O458">
        <v>7574</v>
      </c>
      <c r="P458">
        <v>0.28030050701306392</v>
      </c>
      <c r="Q458" t="s">
        <v>1379</v>
      </c>
      <c r="R458" t="s">
        <v>1239</v>
      </c>
      <c r="S458" t="s">
        <v>1230</v>
      </c>
      <c r="T458">
        <v>3</v>
      </c>
    </row>
    <row r="459" spans="1:20" x14ac:dyDescent="0.3">
      <c r="A459" t="s">
        <v>470</v>
      </c>
      <c r="B459" t="s">
        <v>471</v>
      </c>
      <c r="C459">
        <v>6588</v>
      </c>
      <c r="D459">
        <v>32</v>
      </c>
      <c r="E459">
        <v>954</v>
      </c>
      <c r="F459">
        <v>64.66</v>
      </c>
      <c r="G459">
        <v>84876</v>
      </c>
      <c r="H459">
        <v>27021</v>
      </c>
      <c r="I459">
        <v>0.05</v>
      </c>
      <c r="J459" t="s">
        <v>12</v>
      </c>
      <c r="K459" t="s">
        <v>1416</v>
      </c>
      <c r="L459" s="25">
        <v>0.5131944444444444</v>
      </c>
      <c r="M459">
        <v>0.64659999999999995</v>
      </c>
      <c r="N459">
        <v>5.0000000000000001E-4</v>
      </c>
      <c r="O459">
        <v>7574</v>
      </c>
      <c r="P459">
        <v>0.28030050701306392</v>
      </c>
      <c r="Q459" t="s">
        <v>1379</v>
      </c>
      <c r="R459" t="s">
        <v>1239</v>
      </c>
      <c r="S459" t="s">
        <v>1230</v>
      </c>
      <c r="T459">
        <v>3</v>
      </c>
    </row>
    <row r="460" spans="1:20" x14ac:dyDescent="0.3">
      <c r="A460" t="s">
        <v>470</v>
      </c>
      <c r="B460" t="s">
        <v>471</v>
      </c>
      <c r="C460">
        <v>6588</v>
      </c>
      <c r="D460">
        <v>32</v>
      </c>
      <c r="E460">
        <v>954</v>
      </c>
      <c r="F460">
        <v>64.66</v>
      </c>
      <c r="G460">
        <v>84876</v>
      </c>
      <c r="H460">
        <v>27021</v>
      </c>
      <c r="I460">
        <v>0.05</v>
      </c>
      <c r="J460" t="s">
        <v>12</v>
      </c>
      <c r="K460" t="s">
        <v>1255</v>
      </c>
      <c r="L460" s="25">
        <v>0.5131944444444444</v>
      </c>
      <c r="M460">
        <v>0.64659999999999995</v>
      </c>
      <c r="N460">
        <v>5.0000000000000001E-4</v>
      </c>
      <c r="O460">
        <v>7574</v>
      </c>
      <c r="P460">
        <v>0.28030050701306392</v>
      </c>
      <c r="Q460" t="s">
        <v>1379</v>
      </c>
      <c r="R460" t="s">
        <v>1239</v>
      </c>
      <c r="S460" t="s">
        <v>1230</v>
      </c>
      <c r="T460">
        <v>3</v>
      </c>
    </row>
    <row r="461" spans="1:20" x14ac:dyDescent="0.3">
      <c r="A461" t="s">
        <v>473</v>
      </c>
      <c r="B461" t="s">
        <v>474</v>
      </c>
      <c r="C461">
        <v>5923</v>
      </c>
      <c r="D461">
        <v>4960</v>
      </c>
      <c r="E461">
        <v>1298</v>
      </c>
      <c r="F461">
        <v>76.86</v>
      </c>
      <c r="G461">
        <v>13979</v>
      </c>
      <c r="H461">
        <v>89079</v>
      </c>
      <c r="I461">
        <v>8.94</v>
      </c>
      <c r="J461" t="s">
        <v>42</v>
      </c>
      <c r="K461" t="s">
        <v>1609</v>
      </c>
      <c r="L461" s="25">
        <v>0.42723379629629632</v>
      </c>
      <c r="M461">
        <v>0.76859999999999995</v>
      </c>
      <c r="N461">
        <v>8.9399999999999993E-2</v>
      </c>
      <c r="O461">
        <v>12181</v>
      </c>
      <c r="P461">
        <v>0.13674378922080402</v>
      </c>
      <c r="Q461" t="s">
        <v>1238</v>
      </c>
      <c r="R461" t="s">
        <v>1239</v>
      </c>
      <c r="S461" t="s">
        <v>1231</v>
      </c>
      <c r="T461">
        <v>3</v>
      </c>
    </row>
    <row r="462" spans="1:20" x14ac:dyDescent="0.3">
      <c r="A462" t="s">
        <v>473</v>
      </c>
      <c r="B462" t="s">
        <v>474</v>
      </c>
      <c r="C462">
        <v>5923</v>
      </c>
      <c r="D462">
        <v>4960</v>
      </c>
      <c r="E462">
        <v>1298</v>
      </c>
      <c r="F462">
        <v>76.86</v>
      </c>
      <c r="G462">
        <v>13979</v>
      </c>
      <c r="H462">
        <v>89079</v>
      </c>
      <c r="I462">
        <v>8.94</v>
      </c>
      <c r="J462" t="s">
        <v>42</v>
      </c>
      <c r="K462" t="s">
        <v>1260</v>
      </c>
      <c r="L462" s="25">
        <v>0.42723379629629632</v>
      </c>
      <c r="M462">
        <v>0.76859999999999995</v>
      </c>
      <c r="N462">
        <v>8.9399999999999993E-2</v>
      </c>
      <c r="O462">
        <v>12181</v>
      </c>
      <c r="P462">
        <v>0.13674378922080402</v>
      </c>
      <c r="Q462" t="s">
        <v>1238</v>
      </c>
      <c r="R462" t="s">
        <v>1239</v>
      </c>
      <c r="S462" t="s">
        <v>1231</v>
      </c>
      <c r="T462">
        <v>3</v>
      </c>
    </row>
    <row r="463" spans="1:20" x14ac:dyDescent="0.3">
      <c r="A463" t="s">
        <v>473</v>
      </c>
      <c r="B463" t="s">
        <v>474</v>
      </c>
      <c r="C463">
        <v>5923</v>
      </c>
      <c r="D463">
        <v>4960</v>
      </c>
      <c r="E463">
        <v>1298</v>
      </c>
      <c r="F463">
        <v>76.86</v>
      </c>
      <c r="G463">
        <v>13979</v>
      </c>
      <c r="H463">
        <v>89079</v>
      </c>
      <c r="I463">
        <v>8.94</v>
      </c>
      <c r="J463" t="s">
        <v>42</v>
      </c>
      <c r="K463" t="s">
        <v>1610</v>
      </c>
      <c r="L463" s="25">
        <v>0.42723379629629632</v>
      </c>
      <c r="M463">
        <v>0.76859999999999995</v>
      </c>
      <c r="N463">
        <v>8.9399999999999993E-2</v>
      </c>
      <c r="O463">
        <v>12181</v>
      </c>
      <c r="P463">
        <v>0.13674378922080402</v>
      </c>
      <c r="Q463" t="s">
        <v>1238</v>
      </c>
      <c r="R463" t="s">
        <v>1239</v>
      </c>
      <c r="S463" t="s">
        <v>1231</v>
      </c>
      <c r="T463">
        <v>3</v>
      </c>
    </row>
    <row r="464" spans="1:20" x14ac:dyDescent="0.3">
      <c r="A464" t="s">
        <v>476</v>
      </c>
      <c r="B464" t="s">
        <v>477</v>
      </c>
      <c r="C464">
        <v>6195</v>
      </c>
      <c r="D464">
        <v>1909</v>
      </c>
      <c r="E464">
        <v>36</v>
      </c>
      <c r="F464">
        <v>0.67</v>
      </c>
      <c r="G464">
        <v>25297</v>
      </c>
      <c r="H464">
        <v>88522</v>
      </c>
      <c r="I464">
        <v>7.35</v>
      </c>
      <c r="J464" t="s">
        <v>42</v>
      </c>
      <c r="K464" t="s">
        <v>1611</v>
      </c>
      <c r="L464" s="25">
        <v>0.36299768518518516</v>
      </c>
      <c r="M464">
        <v>6.7000000000000002E-3</v>
      </c>
      <c r="N464">
        <v>7.3499999999999996E-2</v>
      </c>
      <c r="O464">
        <v>8140</v>
      </c>
      <c r="P464">
        <v>9.1954542373647224E-2</v>
      </c>
      <c r="Q464" t="s">
        <v>1238</v>
      </c>
      <c r="R464" t="s">
        <v>1239</v>
      </c>
      <c r="S464" t="s">
        <v>1231</v>
      </c>
      <c r="T464">
        <v>3</v>
      </c>
    </row>
    <row r="465" spans="1:20" x14ac:dyDescent="0.3">
      <c r="A465" t="s">
        <v>476</v>
      </c>
      <c r="B465" t="s">
        <v>477</v>
      </c>
      <c r="C465">
        <v>6195</v>
      </c>
      <c r="D465">
        <v>1909</v>
      </c>
      <c r="E465">
        <v>36</v>
      </c>
      <c r="F465">
        <v>0.67</v>
      </c>
      <c r="G465">
        <v>25297</v>
      </c>
      <c r="H465">
        <v>88522</v>
      </c>
      <c r="I465">
        <v>7.35</v>
      </c>
      <c r="J465" t="s">
        <v>42</v>
      </c>
      <c r="K465" t="s">
        <v>1612</v>
      </c>
      <c r="L465" s="25">
        <v>0.36299768518518516</v>
      </c>
      <c r="M465">
        <v>6.7000000000000002E-3</v>
      </c>
      <c r="N465">
        <v>7.3499999999999996E-2</v>
      </c>
      <c r="O465">
        <v>8140</v>
      </c>
      <c r="P465">
        <v>9.1954542373647224E-2</v>
      </c>
      <c r="Q465" t="s">
        <v>1238</v>
      </c>
      <c r="R465" t="s">
        <v>1239</v>
      </c>
      <c r="S465" t="s">
        <v>1231</v>
      </c>
      <c r="T465">
        <v>3</v>
      </c>
    </row>
    <row r="466" spans="1:20" x14ac:dyDescent="0.3">
      <c r="A466" t="s">
        <v>476</v>
      </c>
      <c r="B466" t="s">
        <v>477</v>
      </c>
      <c r="C466">
        <v>6195</v>
      </c>
      <c r="D466">
        <v>1909</v>
      </c>
      <c r="E466">
        <v>36</v>
      </c>
      <c r="F466">
        <v>0.67</v>
      </c>
      <c r="G466">
        <v>25297</v>
      </c>
      <c r="H466">
        <v>88522</v>
      </c>
      <c r="I466">
        <v>7.35</v>
      </c>
      <c r="J466" t="s">
        <v>42</v>
      </c>
      <c r="K466" t="s">
        <v>1613</v>
      </c>
      <c r="L466" s="25">
        <v>0.36299768518518516</v>
      </c>
      <c r="M466">
        <v>6.7000000000000002E-3</v>
      </c>
      <c r="N466">
        <v>7.3499999999999996E-2</v>
      </c>
      <c r="O466">
        <v>8140</v>
      </c>
      <c r="P466">
        <v>9.1954542373647224E-2</v>
      </c>
      <c r="Q466" t="s">
        <v>1238</v>
      </c>
      <c r="R466" t="s">
        <v>1239</v>
      </c>
      <c r="S466" t="s">
        <v>1231</v>
      </c>
      <c r="T466">
        <v>3</v>
      </c>
    </row>
    <row r="467" spans="1:20" x14ac:dyDescent="0.3">
      <c r="A467" t="s">
        <v>479</v>
      </c>
      <c r="B467" t="s">
        <v>480</v>
      </c>
      <c r="C467">
        <v>7547</v>
      </c>
      <c r="D467">
        <v>3680</v>
      </c>
      <c r="E467">
        <v>1691</v>
      </c>
      <c r="F467">
        <v>16.760000000000002</v>
      </c>
      <c r="G467">
        <v>21766</v>
      </c>
      <c r="H467">
        <v>40764</v>
      </c>
      <c r="I467">
        <v>4.17</v>
      </c>
      <c r="J467" t="s">
        <v>42</v>
      </c>
      <c r="K467" t="s">
        <v>1614</v>
      </c>
      <c r="L467" s="25">
        <v>0.8636342592592593</v>
      </c>
      <c r="M467">
        <v>0.16760000000000003</v>
      </c>
      <c r="N467">
        <v>4.1700000000000001E-2</v>
      </c>
      <c r="O467">
        <v>12918</v>
      </c>
      <c r="P467">
        <v>0.31689726229025611</v>
      </c>
      <c r="Q467" t="s">
        <v>1238</v>
      </c>
      <c r="R467" t="s">
        <v>1239</v>
      </c>
      <c r="S467" t="s">
        <v>1232</v>
      </c>
      <c r="T467">
        <v>3</v>
      </c>
    </row>
    <row r="468" spans="1:20" x14ac:dyDescent="0.3">
      <c r="A468" t="s">
        <v>479</v>
      </c>
      <c r="B468" t="s">
        <v>480</v>
      </c>
      <c r="C468">
        <v>7547</v>
      </c>
      <c r="D468">
        <v>3680</v>
      </c>
      <c r="E468">
        <v>1691</v>
      </c>
      <c r="F468">
        <v>16.760000000000002</v>
      </c>
      <c r="G468">
        <v>21766</v>
      </c>
      <c r="H468">
        <v>40764</v>
      </c>
      <c r="I468">
        <v>4.17</v>
      </c>
      <c r="J468" t="s">
        <v>42</v>
      </c>
      <c r="K468" t="s">
        <v>1615</v>
      </c>
      <c r="L468" s="25">
        <v>0.8636342592592593</v>
      </c>
      <c r="M468">
        <v>0.16760000000000003</v>
      </c>
      <c r="N468">
        <v>4.1700000000000001E-2</v>
      </c>
      <c r="O468">
        <v>12918</v>
      </c>
      <c r="P468">
        <v>0.31689726229025611</v>
      </c>
      <c r="Q468" t="s">
        <v>1238</v>
      </c>
      <c r="R468" t="s">
        <v>1239</v>
      </c>
      <c r="S468" t="s">
        <v>1232</v>
      </c>
      <c r="T468">
        <v>3</v>
      </c>
    </row>
    <row r="469" spans="1:20" x14ac:dyDescent="0.3">
      <c r="A469" t="s">
        <v>479</v>
      </c>
      <c r="B469" t="s">
        <v>480</v>
      </c>
      <c r="C469">
        <v>7547</v>
      </c>
      <c r="D469">
        <v>3680</v>
      </c>
      <c r="E469">
        <v>1691</v>
      </c>
      <c r="F469">
        <v>16.760000000000002</v>
      </c>
      <c r="G469">
        <v>21766</v>
      </c>
      <c r="H469">
        <v>40764</v>
      </c>
      <c r="I469">
        <v>4.17</v>
      </c>
      <c r="J469" t="s">
        <v>42</v>
      </c>
      <c r="K469" t="s">
        <v>1616</v>
      </c>
      <c r="L469" s="25">
        <v>0.8636342592592593</v>
      </c>
      <c r="M469">
        <v>0.16760000000000003</v>
      </c>
      <c r="N469">
        <v>4.1700000000000001E-2</v>
      </c>
      <c r="O469">
        <v>12918</v>
      </c>
      <c r="P469">
        <v>0.31689726229025611</v>
      </c>
      <c r="Q469" t="s">
        <v>1238</v>
      </c>
      <c r="R469" t="s">
        <v>1239</v>
      </c>
      <c r="S469" t="s">
        <v>1232</v>
      </c>
      <c r="T469">
        <v>3</v>
      </c>
    </row>
    <row r="470" spans="1:20" x14ac:dyDescent="0.3">
      <c r="A470" t="s">
        <v>482</v>
      </c>
      <c r="B470" t="s">
        <v>483</v>
      </c>
      <c r="C470">
        <v>4577</v>
      </c>
      <c r="D470">
        <v>573</v>
      </c>
      <c r="E470">
        <v>456</v>
      </c>
      <c r="F470">
        <v>52.41</v>
      </c>
      <c r="G470">
        <v>70649</v>
      </c>
      <c r="H470">
        <v>37902</v>
      </c>
      <c r="I470">
        <v>2.16</v>
      </c>
      <c r="J470" t="s">
        <v>16</v>
      </c>
      <c r="K470" t="s">
        <v>1440</v>
      </c>
      <c r="L470" s="25">
        <v>0.17958333333333334</v>
      </c>
      <c r="M470">
        <v>0.52410000000000001</v>
      </c>
      <c r="N470">
        <v>2.1600000000000001E-2</v>
      </c>
      <c r="O470">
        <v>5606</v>
      </c>
      <c r="P470">
        <v>0.14790776212337081</v>
      </c>
      <c r="Q470" t="s">
        <v>1238</v>
      </c>
      <c r="R470" t="s">
        <v>1239</v>
      </c>
      <c r="S470" t="s">
        <v>1231</v>
      </c>
      <c r="T470">
        <v>3</v>
      </c>
    </row>
    <row r="471" spans="1:20" x14ac:dyDescent="0.3">
      <c r="A471" t="s">
        <v>482</v>
      </c>
      <c r="B471" t="s">
        <v>483</v>
      </c>
      <c r="C471">
        <v>4577</v>
      </c>
      <c r="D471">
        <v>573</v>
      </c>
      <c r="E471">
        <v>456</v>
      </c>
      <c r="F471">
        <v>52.41</v>
      </c>
      <c r="G471">
        <v>70649</v>
      </c>
      <c r="H471">
        <v>37902</v>
      </c>
      <c r="I471">
        <v>2.16</v>
      </c>
      <c r="J471" t="s">
        <v>16</v>
      </c>
      <c r="K471" t="s">
        <v>1562</v>
      </c>
      <c r="L471" s="25">
        <v>0.17958333333333334</v>
      </c>
      <c r="M471">
        <v>0.52410000000000001</v>
      </c>
      <c r="N471">
        <v>2.1600000000000001E-2</v>
      </c>
      <c r="O471">
        <v>5606</v>
      </c>
      <c r="P471">
        <v>0.14790776212337081</v>
      </c>
      <c r="Q471" t="s">
        <v>1238</v>
      </c>
      <c r="R471" t="s">
        <v>1239</v>
      </c>
      <c r="S471" t="s">
        <v>1231</v>
      </c>
      <c r="T471">
        <v>3</v>
      </c>
    </row>
    <row r="472" spans="1:20" x14ac:dyDescent="0.3">
      <c r="A472" t="s">
        <v>482</v>
      </c>
      <c r="B472" t="s">
        <v>483</v>
      </c>
      <c r="C472">
        <v>4577</v>
      </c>
      <c r="D472">
        <v>573</v>
      </c>
      <c r="E472">
        <v>456</v>
      </c>
      <c r="F472">
        <v>52.41</v>
      </c>
      <c r="G472">
        <v>70649</v>
      </c>
      <c r="H472">
        <v>37902</v>
      </c>
      <c r="I472">
        <v>2.16</v>
      </c>
      <c r="J472" t="s">
        <v>16</v>
      </c>
      <c r="K472" t="s">
        <v>1248</v>
      </c>
      <c r="L472" s="25">
        <v>0.17958333333333334</v>
      </c>
      <c r="M472">
        <v>0.52410000000000001</v>
      </c>
      <c r="N472">
        <v>2.1600000000000001E-2</v>
      </c>
      <c r="O472">
        <v>5606</v>
      </c>
      <c r="P472">
        <v>0.14790776212337081</v>
      </c>
      <c r="Q472" t="s">
        <v>1238</v>
      </c>
      <c r="R472" t="s">
        <v>1239</v>
      </c>
      <c r="S472" t="s">
        <v>1231</v>
      </c>
      <c r="T472">
        <v>3</v>
      </c>
    </row>
    <row r="473" spans="1:20" x14ac:dyDescent="0.3">
      <c r="A473" t="s">
        <v>485</v>
      </c>
      <c r="B473" t="s">
        <v>486</v>
      </c>
      <c r="C473">
        <v>8571</v>
      </c>
      <c r="D473">
        <v>4579</v>
      </c>
      <c r="E473">
        <v>1140</v>
      </c>
      <c r="F473">
        <v>86.33</v>
      </c>
      <c r="G473">
        <v>68711</v>
      </c>
      <c r="H473">
        <v>72580</v>
      </c>
      <c r="I473">
        <v>3.66</v>
      </c>
      <c r="J473" t="s">
        <v>42</v>
      </c>
      <c r="K473" t="s">
        <v>1617</v>
      </c>
      <c r="L473" s="25">
        <v>0.55105324074074069</v>
      </c>
      <c r="M473">
        <v>0.86329999999999996</v>
      </c>
      <c r="N473">
        <v>3.6600000000000001E-2</v>
      </c>
      <c r="O473">
        <v>14290</v>
      </c>
      <c r="P473">
        <v>0.19688619454395151</v>
      </c>
      <c r="Q473" t="s">
        <v>1238</v>
      </c>
      <c r="R473" t="s">
        <v>1239</v>
      </c>
      <c r="S473" t="s">
        <v>1230</v>
      </c>
      <c r="T473">
        <v>3</v>
      </c>
    </row>
    <row r="474" spans="1:20" x14ac:dyDescent="0.3">
      <c r="A474" t="s">
        <v>485</v>
      </c>
      <c r="B474" t="s">
        <v>486</v>
      </c>
      <c r="C474">
        <v>8571</v>
      </c>
      <c r="D474">
        <v>4579</v>
      </c>
      <c r="E474">
        <v>1140</v>
      </c>
      <c r="F474">
        <v>86.33</v>
      </c>
      <c r="G474">
        <v>68711</v>
      </c>
      <c r="H474">
        <v>72580</v>
      </c>
      <c r="I474">
        <v>3.66</v>
      </c>
      <c r="J474" t="s">
        <v>42</v>
      </c>
      <c r="K474" t="s">
        <v>1618</v>
      </c>
      <c r="L474" s="25">
        <v>0.55105324074074069</v>
      </c>
      <c r="M474">
        <v>0.86329999999999996</v>
      </c>
      <c r="N474">
        <v>3.6600000000000001E-2</v>
      </c>
      <c r="O474">
        <v>14290</v>
      </c>
      <c r="P474">
        <v>0.19688619454395151</v>
      </c>
      <c r="Q474" t="s">
        <v>1238</v>
      </c>
      <c r="R474" t="s">
        <v>1239</v>
      </c>
      <c r="S474" t="s">
        <v>1230</v>
      </c>
      <c r="T474">
        <v>3</v>
      </c>
    </row>
    <row r="475" spans="1:20" x14ac:dyDescent="0.3">
      <c r="A475" t="s">
        <v>485</v>
      </c>
      <c r="B475" t="s">
        <v>486</v>
      </c>
      <c r="C475">
        <v>8571</v>
      </c>
      <c r="D475">
        <v>4579</v>
      </c>
      <c r="E475">
        <v>1140</v>
      </c>
      <c r="F475">
        <v>86.33</v>
      </c>
      <c r="G475">
        <v>68711</v>
      </c>
      <c r="H475">
        <v>72580</v>
      </c>
      <c r="I475">
        <v>3.66</v>
      </c>
      <c r="J475" t="s">
        <v>42</v>
      </c>
      <c r="K475" t="s">
        <v>1619</v>
      </c>
      <c r="L475" s="25">
        <v>0.55105324074074069</v>
      </c>
      <c r="M475">
        <v>0.86329999999999996</v>
      </c>
      <c r="N475">
        <v>3.6600000000000001E-2</v>
      </c>
      <c r="O475">
        <v>14290</v>
      </c>
      <c r="P475">
        <v>0.19688619454395151</v>
      </c>
      <c r="Q475" t="s">
        <v>1238</v>
      </c>
      <c r="R475" t="s">
        <v>1239</v>
      </c>
      <c r="S475" t="s">
        <v>1230</v>
      </c>
      <c r="T475">
        <v>3</v>
      </c>
    </row>
    <row r="476" spans="1:20" x14ac:dyDescent="0.3">
      <c r="A476" t="s">
        <v>488</v>
      </c>
      <c r="B476" t="s">
        <v>489</v>
      </c>
      <c r="C476">
        <v>8443</v>
      </c>
      <c r="D476">
        <v>196</v>
      </c>
      <c r="E476">
        <v>864</v>
      </c>
      <c r="F476">
        <v>54.16</v>
      </c>
      <c r="G476">
        <v>26404</v>
      </c>
      <c r="H476">
        <v>16098</v>
      </c>
      <c r="I476">
        <v>3.72</v>
      </c>
      <c r="J476" t="s">
        <v>12</v>
      </c>
      <c r="K476" t="s">
        <v>1620</v>
      </c>
      <c r="L476" s="25">
        <v>2.6516203703703705E-2</v>
      </c>
      <c r="M476">
        <v>0.54159999999999997</v>
      </c>
      <c r="N476">
        <v>3.7200000000000004E-2</v>
      </c>
      <c r="O476">
        <v>9503</v>
      </c>
      <c r="P476">
        <v>0.59032177910299422</v>
      </c>
      <c r="Q476" t="s">
        <v>1238</v>
      </c>
      <c r="R476" t="s">
        <v>1239</v>
      </c>
      <c r="S476" t="s">
        <v>1231</v>
      </c>
      <c r="T476">
        <v>3</v>
      </c>
    </row>
    <row r="477" spans="1:20" x14ac:dyDescent="0.3">
      <c r="A477" t="s">
        <v>488</v>
      </c>
      <c r="B477" t="s">
        <v>489</v>
      </c>
      <c r="C477">
        <v>8443</v>
      </c>
      <c r="D477">
        <v>196</v>
      </c>
      <c r="E477">
        <v>864</v>
      </c>
      <c r="F477">
        <v>54.16</v>
      </c>
      <c r="G477">
        <v>26404</v>
      </c>
      <c r="H477">
        <v>16098</v>
      </c>
      <c r="I477">
        <v>3.72</v>
      </c>
      <c r="J477" t="s">
        <v>12</v>
      </c>
      <c r="K477" t="s">
        <v>1529</v>
      </c>
      <c r="L477" s="25">
        <v>2.6516203703703705E-2</v>
      </c>
      <c r="M477">
        <v>0.54159999999999997</v>
      </c>
      <c r="N477">
        <v>3.7200000000000004E-2</v>
      </c>
      <c r="O477">
        <v>9503</v>
      </c>
      <c r="P477">
        <v>0.59032177910299422</v>
      </c>
      <c r="Q477" t="s">
        <v>1238</v>
      </c>
      <c r="R477" t="s">
        <v>1239</v>
      </c>
      <c r="S477" t="s">
        <v>1231</v>
      </c>
      <c r="T477">
        <v>3</v>
      </c>
    </row>
    <row r="478" spans="1:20" x14ac:dyDescent="0.3">
      <c r="A478" t="s">
        <v>488</v>
      </c>
      <c r="B478" t="s">
        <v>489</v>
      </c>
      <c r="C478">
        <v>8443</v>
      </c>
      <c r="D478">
        <v>196</v>
      </c>
      <c r="E478">
        <v>864</v>
      </c>
      <c r="F478">
        <v>54.16</v>
      </c>
      <c r="G478">
        <v>26404</v>
      </c>
      <c r="H478">
        <v>16098</v>
      </c>
      <c r="I478">
        <v>3.72</v>
      </c>
      <c r="J478" t="s">
        <v>12</v>
      </c>
      <c r="K478" t="s">
        <v>1621</v>
      </c>
      <c r="L478" s="25">
        <v>2.6516203703703705E-2</v>
      </c>
      <c r="M478">
        <v>0.54159999999999997</v>
      </c>
      <c r="N478">
        <v>3.7200000000000004E-2</v>
      </c>
      <c r="O478">
        <v>9503</v>
      </c>
      <c r="P478">
        <v>0.59032177910299422</v>
      </c>
      <c r="Q478" t="s">
        <v>1238</v>
      </c>
      <c r="R478" t="s">
        <v>1239</v>
      </c>
      <c r="S478" t="s">
        <v>1231</v>
      </c>
      <c r="T478">
        <v>3</v>
      </c>
    </row>
    <row r="479" spans="1:20" x14ac:dyDescent="0.3">
      <c r="A479" t="s">
        <v>491</v>
      </c>
      <c r="B479" t="s">
        <v>492</v>
      </c>
      <c r="C479">
        <v>612</v>
      </c>
      <c r="D479">
        <v>4967</v>
      </c>
      <c r="E479">
        <v>874</v>
      </c>
      <c r="F479">
        <v>81.42</v>
      </c>
      <c r="G479">
        <v>68566</v>
      </c>
      <c r="H479">
        <v>30742</v>
      </c>
      <c r="I479">
        <v>2.06</v>
      </c>
      <c r="J479" t="s">
        <v>16</v>
      </c>
      <c r="K479" t="s">
        <v>1622</v>
      </c>
      <c r="L479" s="25">
        <v>0.18532407407407409</v>
      </c>
      <c r="M479">
        <v>0.81420000000000003</v>
      </c>
      <c r="N479">
        <v>2.06E-2</v>
      </c>
      <c r="O479">
        <v>6453</v>
      </c>
      <c r="P479">
        <v>0.20990826881790384</v>
      </c>
      <c r="Q479" t="s">
        <v>1238</v>
      </c>
      <c r="R479" t="s">
        <v>1239</v>
      </c>
      <c r="S479" t="s">
        <v>1231</v>
      </c>
      <c r="T479">
        <v>3</v>
      </c>
    </row>
    <row r="480" spans="1:20" x14ac:dyDescent="0.3">
      <c r="A480" t="s">
        <v>491</v>
      </c>
      <c r="B480" t="s">
        <v>492</v>
      </c>
      <c r="C480">
        <v>612</v>
      </c>
      <c r="D480">
        <v>4967</v>
      </c>
      <c r="E480">
        <v>874</v>
      </c>
      <c r="F480">
        <v>81.42</v>
      </c>
      <c r="G480">
        <v>68566</v>
      </c>
      <c r="H480">
        <v>30742</v>
      </c>
      <c r="I480">
        <v>2.06</v>
      </c>
      <c r="J480" t="s">
        <v>16</v>
      </c>
      <c r="K480" t="s">
        <v>1623</v>
      </c>
      <c r="L480" s="25">
        <v>0.18532407407407409</v>
      </c>
      <c r="M480">
        <v>0.81420000000000003</v>
      </c>
      <c r="N480">
        <v>2.06E-2</v>
      </c>
      <c r="O480">
        <v>6453</v>
      </c>
      <c r="P480">
        <v>0.20990826881790384</v>
      </c>
      <c r="Q480" t="s">
        <v>1238</v>
      </c>
      <c r="R480" t="s">
        <v>1239</v>
      </c>
      <c r="S480" t="s">
        <v>1231</v>
      </c>
      <c r="T480">
        <v>3</v>
      </c>
    </row>
    <row r="481" spans="1:20" x14ac:dyDescent="0.3">
      <c r="A481" t="s">
        <v>491</v>
      </c>
      <c r="B481" t="s">
        <v>492</v>
      </c>
      <c r="C481">
        <v>612</v>
      </c>
      <c r="D481">
        <v>4967</v>
      </c>
      <c r="E481">
        <v>874</v>
      </c>
      <c r="F481">
        <v>81.42</v>
      </c>
      <c r="G481">
        <v>68566</v>
      </c>
      <c r="H481">
        <v>30742</v>
      </c>
      <c r="I481">
        <v>2.06</v>
      </c>
      <c r="J481" t="s">
        <v>16</v>
      </c>
      <c r="K481" t="s">
        <v>1532</v>
      </c>
      <c r="L481" s="25">
        <v>0.18532407407407409</v>
      </c>
      <c r="M481">
        <v>0.81420000000000003</v>
      </c>
      <c r="N481">
        <v>2.06E-2</v>
      </c>
      <c r="O481">
        <v>6453</v>
      </c>
      <c r="P481">
        <v>0.20990826881790384</v>
      </c>
      <c r="Q481" t="s">
        <v>1238</v>
      </c>
      <c r="R481" t="s">
        <v>1239</v>
      </c>
      <c r="S481" t="s">
        <v>1231</v>
      </c>
      <c r="T481">
        <v>3</v>
      </c>
    </row>
    <row r="482" spans="1:20" x14ac:dyDescent="0.3">
      <c r="A482" t="s">
        <v>494</v>
      </c>
      <c r="B482" t="s">
        <v>495</v>
      </c>
      <c r="C482">
        <v>7191</v>
      </c>
      <c r="D482">
        <v>4827</v>
      </c>
      <c r="E482">
        <v>239</v>
      </c>
      <c r="F482">
        <v>94.85</v>
      </c>
      <c r="G482">
        <v>96964</v>
      </c>
      <c r="H482">
        <v>74257</v>
      </c>
      <c r="I482">
        <v>9.67</v>
      </c>
      <c r="J482" t="s">
        <v>16</v>
      </c>
      <c r="K482" t="s">
        <v>1624</v>
      </c>
      <c r="L482" s="25">
        <v>7.7870370370370368E-2</v>
      </c>
      <c r="M482">
        <v>0.9484999999999999</v>
      </c>
      <c r="N482">
        <v>9.6699999999999994E-2</v>
      </c>
      <c r="O482">
        <v>12257</v>
      </c>
      <c r="P482">
        <v>0.1650618796881102</v>
      </c>
      <c r="Q482" t="s">
        <v>1238</v>
      </c>
      <c r="R482" t="s">
        <v>1239</v>
      </c>
      <c r="S482" t="s">
        <v>1231</v>
      </c>
      <c r="T482">
        <v>3</v>
      </c>
    </row>
    <row r="483" spans="1:20" x14ac:dyDescent="0.3">
      <c r="A483" t="s">
        <v>494</v>
      </c>
      <c r="B483" t="s">
        <v>495</v>
      </c>
      <c r="C483">
        <v>7191</v>
      </c>
      <c r="D483">
        <v>4827</v>
      </c>
      <c r="E483">
        <v>239</v>
      </c>
      <c r="F483">
        <v>94.85</v>
      </c>
      <c r="G483">
        <v>96964</v>
      </c>
      <c r="H483">
        <v>74257</v>
      </c>
      <c r="I483">
        <v>9.67</v>
      </c>
      <c r="J483" t="s">
        <v>16</v>
      </c>
      <c r="K483" t="s">
        <v>1625</v>
      </c>
      <c r="L483" s="25">
        <v>7.7870370370370368E-2</v>
      </c>
      <c r="M483">
        <v>0.9484999999999999</v>
      </c>
      <c r="N483">
        <v>9.6699999999999994E-2</v>
      </c>
      <c r="O483">
        <v>12257</v>
      </c>
      <c r="P483">
        <v>0.1650618796881102</v>
      </c>
      <c r="Q483" t="s">
        <v>1238</v>
      </c>
      <c r="R483" t="s">
        <v>1239</v>
      </c>
      <c r="S483" t="s">
        <v>1231</v>
      </c>
      <c r="T483">
        <v>3</v>
      </c>
    </row>
    <row r="484" spans="1:20" x14ac:dyDescent="0.3">
      <c r="A484" t="s">
        <v>494</v>
      </c>
      <c r="B484" t="s">
        <v>495</v>
      </c>
      <c r="C484">
        <v>7191</v>
      </c>
      <c r="D484">
        <v>4827</v>
      </c>
      <c r="E484">
        <v>239</v>
      </c>
      <c r="F484">
        <v>94.85</v>
      </c>
      <c r="G484">
        <v>96964</v>
      </c>
      <c r="H484">
        <v>74257</v>
      </c>
      <c r="I484">
        <v>9.67</v>
      </c>
      <c r="J484" t="s">
        <v>16</v>
      </c>
      <c r="K484" t="s">
        <v>1626</v>
      </c>
      <c r="L484" s="25">
        <v>7.7870370370370368E-2</v>
      </c>
      <c r="M484">
        <v>0.9484999999999999</v>
      </c>
      <c r="N484">
        <v>9.6699999999999994E-2</v>
      </c>
      <c r="O484">
        <v>12257</v>
      </c>
      <c r="P484">
        <v>0.1650618796881102</v>
      </c>
      <c r="Q484" t="s">
        <v>1238</v>
      </c>
      <c r="R484" t="s">
        <v>1239</v>
      </c>
      <c r="S484" t="s">
        <v>1231</v>
      </c>
      <c r="T484">
        <v>3</v>
      </c>
    </row>
    <row r="485" spans="1:20" x14ac:dyDescent="0.3">
      <c r="A485" t="s">
        <v>497</v>
      </c>
      <c r="B485" t="s">
        <v>498</v>
      </c>
      <c r="C485">
        <v>7000</v>
      </c>
      <c r="D485">
        <v>4493</v>
      </c>
      <c r="E485">
        <v>192</v>
      </c>
      <c r="F485">
        <v>98.7</v>
      </c>
      <c r="G485">
        <v>47582</v>
      </c>
      <c r="H485">
        <v>33601</v>
      </c>
      <c r="I485">
        <v>0.4</v>
      </c>
      <c r="J485" t="s">
        <v>16</v>
      </c>
      <c r="K485" t="s">
        <v>1561</v>
      </c>
      <c r="L485" s="25">
        <v>0.50701388888888888</v>
      </c>
      <c r="M485">
        <v>0.98699999999999999</v>
      </c>
      <c r="N485">
        <v>4.0000000000000001E-3</v>
      </c>
      <c r="O485">
        <v>11685</v>
      </c>
      <c r="P485">
        <v>0.34775750721704712</v>
      </c>
      <c r="Q485" t="s">
        <v>1238</v>
      </c>
      <c r="R485" t="s">
        <v>1239</v>
      </c>
      <c r="S485" t="s">
        <v>1230</v>
      </c>
      <c r="T485">
        <v>3</v>
      </c>
    </row>
    <row r="486" spans="1:20" x14ac:dyDescent="0.3">
      <c r="A486" t="s">
        <v>497</v>
      </c>
      <c r="B486" t="s">
        <v>498</v>
      </c>
      <c r="C486">
        <v>7000</v>
      </c>
      <c r="D486">
        <v>4493</v>
      </c>
      <c r="E486">
        <v>192</v>
      </c>
      <c r="F486">
        <v>98.7</v>
      </c>
      <c r="G486">
        <v>47582</v>
      </c>
      <c r="H486">
        <v>33601</v>
      </c>
      <c r="I486">
        <v>0.4</v>
      </c>
      <c r="J486" t="s">
        <v>16</v>
      </c>
      <c r="K486" t="s">
        <v>1527</v>
      </c>
      <c r="L486" s="25">
        <v>0.50701388888888888</v>
      </c>
      <c r="M486">
        <v>0.98699999999999999</v>
      </c>
      <c r="N486">
        <v>4.0000000000000001E-3</v>
      </c>
      <c r="O486">
        <v>11685</v>
      </c>
      <c r="P486">
        <v>0.34775750721704712</v>
      </c>
      <c r="Q486" t="s">
        <v>1238</v>
      </c>
      <c r="R486" t="s">
        <v>1239</v>
      </c>
      <c r="S486" t="s">
        <v>1230</v>
      </c>
      <c r="T486">
        <v>3</v>
      </c>
    </row>
    <row r="487" spans="1:20" x14ac:dyDescent="0.3">
      <c r="A487" t="s">
        <v>497</v>
      </c>
      <c r="B487" t="s">
        <v>498</v>
      </c>
      <c r="C487">
        <v>7000</v>
      </c>
      <c r="D487">
        <v>4493</v>
      </c>
      <c r="E487">
        <v>192</v>
      </c>
      <c r="F487">
        <v>98.7</v>
      </c>
      <c r="G487">
        <v>47582</v>
      </c>
      <c r="H487">
        <v>33601</v>
      </c>
      <c r="I487">
        <v>0.4</v>
      </c>
      <c r="J487" t="s">
        <v>16</v>
      </c>
      <c r="K487" t="s">
        <v>1627</v>
      </c>
      <c r="L487" s="25">
        <v>0.50701388888888888</v>
      </c>
      <c r="M487">
        <v>0.98699999999999999</v>
      </c>
      <c r="N487">
        <v>4.0000000000000001E-3</v>
      </c>
      <c r="O487">
        <v>11685</v>
      </c>
      <c r="P487">
        <v>0.34775750721704712</v>
      </c>
      <c r="Q487" t="s">
        <v>1238</v>
      </c>
      <c r="R487" t="s">
        <v>1239</v>
      </c>
      <c r="S487" t="s">
        <v>1230</v>
      </c>
      <c r="T487">
        <v>3</v>
      </c>
    </row>
    <row r="488" spans="1:20" x14ac:dyDescent="0.3">
      <c r="A488" t="s">
        <v>500</v>
      </c>
      <c r="B488" t="s">
        <v>501</v>
      </c>
      <c r="C488">
        <v>7394</v>
      </c>
      <c r="D488">
        <v>1836</v>
      </c>
      <c r="E488">
        <v>1134</v>
      </c>
      <c r="F488">
        <v>61.02</v>
      </c>
      <c r="G488">
        <v>62919</v>
      </c>
      <c r="H488">
        <v>29064</v>
      </c>
      <c r="I488">
        <v>0.05</v>
      </c>
      <c r="J488" t="s">
        <v>20</v>
      </c>
      <c r="K488" t="s">
        <v>1628</v>
      </c>
      <c r="L488" s="25">
        <v>0.13106481481481483</v>
      </c>
      <c r="M488">
        <v>0.61020000000000008</v>
      </c>
      <c r="N488">
        <v>5.0000000000000001E-4</v>
      </c>
      <c r="O488">
        <v>10364</v>
      </c>
      <c r="P488">
        <v>0.3565923479218277</v>
      </c>
      <c r="Q488" t="s">
        <v>1379</v>
      </c>
      <c r="R488" t="s">
        <v>1239</v>
      </c>
      <c r="S488" t="s">
        <v>1231</v>
      </c>
      <c r="T488">
        <v>3</v>
      </c>
    </row>
    <row r="489" spans="1:20" x14ac:dyDescent="0.3">
      <c r="A489" t="s">
        <v>500</v>
      </c>
      <c r="B489" t="s">
        <v>501</v>
      </c>
      <c r="C489">
        <v>7394</v>
      </c>
      <c r="D489">
        <v>1836</v>
      </c>
      <c r="E489">
        <v>1134</v>
      </c>
      <c r="F489">
        <v>61.02</v>
      </c>
      <c r="G489">
        <v>62919</v>
      </c>
      <c r="H489">
        <v>29064</v>
      </c>
      <c r="I489">
        <v>0.05</v>
      </c>
      <c r="J489" t="s">
        <v>20</v>
      </c>
      <c r="K489" t="s">
        <v>1416</v>
      </c>
      <c r="L489" s="25">
        <v>0.13106481481481483</v>
      </c>
      <c r="M489">
        <v>0.61020000000000008</v>
      </c>
      <c r="N489">
        <v>5.0000000000000001E-4</v>
      </c>
      <c r="O489">
        <v>10364</v>
      </c>
      <c r="P489">
        <v>0.3565923479218277</v>
      </c>
      <c r="Q489" t="s">
        <v>1379</v>
      </c>
      <c r="R489" t="s">
        <v>1239</v>
      </c>
      <c r="S489" t="s">
        <v>1231</v>
      </c>
      <c r="T489">
        <v>3</v>
      </c>
    </row>
    <row r="490" spans="1:20" x14ac:dyDescent="0.3">
      <c r="A490" t="s">
        <v>500</v>
      </c>
      <c r="B490" t="s">
        <v>501</v>
      </c>
      <c r="C490">
        <v>7394</v>
      </c>
      <c r="D490">
        <v>1836</v>
      </c>
      <c r="E490">
        <v>1134</v>
      </c>
      <c r="F490">
        <v>61.02</v>
      </c>
      <c r="G490">
        <v>62919</v>
      </c>
      <c r="H490">
        <v>29064</v>
      </c>
      <c r="I490">
        <v>0.05</v>
      </c>
      <c r="J490" t="s">
        <v>20</v>
      </c>
      <c r="K490" t="s">
        <v>1613</v>
      </c>
      <c r="L490" s="25">
        <v>0.13106481481481483</v>
      </c>
      <c r="M490">
        <v>0.61020000000000008</v>
      </c>
      <c r="N490">
        <v>5.0000000000000001E-4</v>
      </c>
      <c r="O490">
        <v>10364</v>
      </c>
      <c r="P490">
        <v>0.3565923479218277</v>
      </c>
      <c r="Q490" t="s">
        <v>1379</v>
      </c>
      <c r="R490" t="s">
        <v>1239</v>
      </c>
      <c r="S490" t="s">
        <v>1231</v>
      </c>
      <c r="T490">
        <v>3</v>
      </c>
    </row>
    <row r="491" spans="1:20" x14ac:dyDescent="0.3">
      <c r="A491" t="s">
        <v>503</v>
      </c>
      <c r="B491" t="s">
        <v>504</v>
      </c>
      <c r="C491">
        <v>9841</v>
      </c>
      <c r="D491">
        <v>130</v>
      </c>
      <c r="E491">
        <v>803</v>
      </c>
      <c r="F491">
        <v>10.16</v>
      </c>
      <c r="G491">
        <v>30975</v>
      </c>
      <c r="H491">
        <v>78434</v>
      </c>
      <c r="I491">
        <v>5.69</v>
      </c>
      <c r="J491" t="s">
        <v>20</v>
      </c>
      <c r="K491" t="s">
        <v>1629</v>
      </c>
      <c r="L491" s="25">
        <v>0.73466435185185186</v>
      </c>
      <c r="M491">
        <v>0.1016</v>
      </c>
      <c r="N491">
        <v>5.6900000000000006E-2</v>
      </c>
      <c r="O491">
        <v>10774</v>
      </c>
      <c r="P491">
        <v>0.13736389830940662</v>
      </c>
      <c r="Q491" t="s">
        <v>1238</v>
      </c>
      <c r="R491" t="s">
        <v>1239</v>
      </c>
      <c r="S491" t="s">
        <v>1232</v>
      </c>
      <c r="T491">
        <v>3</v>
      </c>
    </row>
    <row r="492" spans="1:20" x14ac:dyDescent="0.3">
      <c r="A492" t="s">
        <v>503</v>
      </c>
      <c r="B492" t="s">
        <v>504</v>
      </c>
      <c r="C492">
        <v>9841</v>
      </c>
      <c r="D492">
        <v>130</v>
      </c>
      <c r="E492">
        <v>803</v>
      </c>
      <c r="F492">
        <v>10.16</v>
      </c>
      <c r="G492">
        <v>30975</v>
      </c>
      <c r="H492">
        <v>78434</v>
      </c>
      <c r="I492">
        <v>5.69</v>
      </c>
      <c r="J492" t="s">
        <v>20</v>
      </c>
      <c r="K492" t="s">
        <v>1298</v>
      </c>
      <c r="L492" s="25">
        <v>0.73466435185185186</v>
      </c>
      <c r="M492">
        <v>0.1016</v>
      </c>
      <c r="N492">
        <v>5.6900000000000006E-2</v>
      </c>
      <c r="O492">
        <v>10774</v>
      </c>
      <c r="P492">
        <v>0.13736389830940662</v>
      </c>
      <c r="Q492" t="s">
        <v>1238</v>
      </c>
      <c r="R492" t="s">
        <v>1239</v>
      </c>
      <c r="S492" t="s">
        <v>1232</v>
      </c>
      <c r="T492">
        <v>3</v>
      </c>
    </row>
    <row r="493" spans="1:20" x14ac:dyDescent="0.3">
      <c r="A493" t="s">
        <v>503</v>
      </c>
      <c r="B493" t="s">
        <v>504</v>
      </c>
      <c r="C493">
        <v>9841</v>
      </c>
      <c r="D493">
        <v>130</v>
      </c>
      <c r="E493">
        <v>803</v>
      </c>
      <c r="F493">
        <v>10.16</v>
      </c>
      <c r="G493">
        <v>30975</v>
      </c>
      <c r="H493">
        <v>78434</v>
      </c>
      <c r="I493">
        <v>5.69</v>
      </c>
      <c r="J493" t="s">
        <v>20</v>
      </c>
      <c r="K493" t="s">
        <v>1305</v>
      </c>
      <c r="L493" s="25">
        <v>0.73466435185185186</v>
      </c>
      <c r="M493">
        <v>0.1016</v>
      </c>
      <c r="N493">
        <v>5.6900000000000006E-2</v>
      </c>
      <c r="O493">
        <v>10774</v>
      </c>
      <c r="P493">
        <v>0.13736389830940662</v>
      </c>
      <c r="Q493" t="s">
        <v>1238</v>
      </c>
      <c r="R493" t="s">
        <v>1239</v>
      </c>
      <c r="S493" t="s">
        <v>1232</v>
      </c>
      <c r="T493">
        <v>3</v>
      </c>
    </row>
    <row r="494" spans="1:20" x14ac:dyDescent="0.3">
      <c r="A494" t="s">
        <v>506</v>
      </c>
      <c r="B494" t="s">
        <v>507</v>
      </c>
      <c r="C494">
        <v>9332</v>
      </c>
      <c r="D494">
        <v>3173</v>
      </c>
      <c r="E494">
        <v>122</v>
      </c>
      <c r="F494">
        <v>31.54</v>
      </c>
      <c r="G494">
        <v>55446</v>
      </c>
      <c r="H494">
        <v>10893</v>
      </c>
      <c r="I494">
        <v>5.97</v>
      </c>
      <c r="J494" t="s">
        <v>16</v>
      </c>
      <c r="K494" t="s">
        <v>1630</v>
      </c>
      <c r="L494" s="25">
        <v>3.8217592592592595E-2</v>
      </c>
      <c r="M494">
        <v>0.31540000000000001</v>
      </c>
      <c r="N494">
        <v>5.9699999999999996E-2</v>
      </c>
      <c r="O494">
        <v>12627</v>
      </c>
      <c r="P494">
        <v>1</v>
      </c>
      <c r="Q494" t="s">
        <v>1238</v>
      </c>
      <c r="R494" t="s">
        <v>1239</v>
      </c>
      <c r="S494" t="s">
        <v>1231</v>
      </c>
      <c r="T494">
        <v>3</v>
      </c>
    </row>
    <row r="495" spans="1:20" x14ac:dyDescent="0.3">
      <c r="A495" t="s">
        <v>506</v>
      </c>
      <c r="B495" t="s">
        <v>507</v>
      </c>
      <c r="C495">
        <v>9332</v>
      </c>
      <c r="D495">
        <v>3173</v>
      </c>
      <c r="E495">
        <v>122</v>
      </c>
      <c r="F495">
        <v>31.54</v>
      </c>
      <c r="G495">
        <v>55446</v>
      </c>
      <c r="H495">
        <v>10893</v>
      </c>
      <c r="I495">
        <v>5.97</v>
      </c>
      <c r="J495" t="s">
        <v>16</v>
      </c>
      <c r="K495" t="s">
        <v>1631</v>
      </c>
      <c r="L495" s="25">
        <v>3.8217592592592595E-2</v>
      </c>
      <c r="M495">
        <v>0.31540000000000001</v>
      </c>
      <c r="N495">
        <v>5.9699999999999996E-2</v>
      </c>
      <c r="O495">
        <v>12627</v>
      </c>
      <c r="P495">
        <v>1</v>
      </c>
      <c r="Q495" t="s">
        <v>1238</v>
      </c>
      <c r="R495" t="s">
        <v>1239</v>
      </c>
      <c r="S495" t="s">
        <v>1231</v>
      </c>
      <c r="T495">
        <v>3</v>
      </c>
    </row>
    <row r="496" spans="1:20" x14ac:dyDescent="0.3">
      <c r="A496" t="s">
        <v>506</v>
      </c>
      <c r="B496" t="s">
        <v>507</v>
      </c>
      <c r="C496">
        <v>9332</v>
      </c>
      <c r="D496">
        <v>3173</v>
      </c>
      <c r="E496">
        <v>122</v>
      </c>
      <c r="F496">
        <v>31.54</v>
      </c>
      <c r="G496">
        <v>55446</v>
      </c>
      <c r="H496">
        <v>10893</v>
      </c>
      <c r="I496">
        <v>5.97</v>
      </c>
      <c r="J496" t="s">
        <v>16</v>
      </c>
      <c r="K496" t="s">
        <v>1627</v>
      </c>
      <c r="L496" s="25">
        <v>3.8217592592592595E-2</v>
      </c>
      <c r="M496">
        <v>0.31540000000000001</v>
      </c>
      <c r="N496">
        <v>5.9699999999999996E-2</v>
      </c>
      <c r="O496">
        <v>12627</v>
      </c>
      <c r="P496">
        <v>1</v>
      </c>
      <c r="Q496" t="s">
        <v>1238</v>
      </c>
      <c r="R496" t="s">
        <v>1239</v>
      </c>
      <c r="S496" t="s">
        <v>1231</v>
      </c>
      <c r="T496">
        <v>3</v>
      </c>
    </row>
    <row r="497" spans="1:20" x14ac:dyDescent="0.3">
      <c r="A497" t="s">
        <v>509</v>
      </c>
      <c r="B497" t="s">
        <v>510</v>
      </c>
      <c r="C497">
        <v>745</v>
      </c>
      <c r="D497">
        <v>1700</v>
      </c>
      <c r="E497">
        <v>919</v>
      </c>
      <c r="F497">
        <v>25.06</v>
      </c>
      <c r="G497">
        <v>89097</v>
      </c>
      <c r="H497">
        <v>15452</v>
      </c>
      <c r="I497">
        <v>4.8600000000000003</v>
      </c>
      <c r="J497" t="s">
        <v>20</v>
      </c>
      <c r="K497" t="s">
        <v>1632</v>
      </c>
      <c r="L497" s="25">
        <v>0.18961805555555555</v>
      </c>
      <c r="M497">
        <v>0.25059999999999999</v>
      </c>
      <c r="N497">
        <v>4.8600000000000004E-2</v>
      </c>
      <c r="O497">
        <v>3364</v>
      </c>
      <c r="P497">
        <v>0.21770644576753817</v>
      </c>
      <c r="Q497" t="s">
        <v>1238</v>
      </c>
      <c r="R497" t="s">
        <v>1239</v>
      </c>
      <c r="S497" t="s">
        <v>1231</v>
      </c>
      <c r="T497">
        <v>3</v>
      </c>
    </row>
    <row r="498" spans="1:20" x14ac:dyDescent="0.3">
      <c r="A498" t="s">
        <v>509</v>
      </c>
      <c r="B498" t="s">
        <v>510</v>
      </c>
      <c r="C498">
        <v>745</v>
      </c>
      <c r="D498">
        <v>1700</v>
      </c>
      <c r="E498">
        <v>919</v>
      </c>
      <c r="F498">
        <v>25.06</v>
      </c>
      <c r="G498">
        <v>89097</v>
      </c>
      <c r="H498">
        <v>15452</v>
      </c>
      <c r="I498">
        <v>4.8600000000000003</v>
      </c>
      <c r="J498" t="s">
        <v>20</v>
      </c>
      <c r="K498" t="s">
        <v>1633</v>
      </c>
      <c r="L498" s="25">
        <v>0.18961805555555555</v>
      </c>
      <c r="M498">
        <v>0.25059999999999999</v>
      </c>
      <c r="N498">
        <v>4.8600000000000004E-2</v>
      </c>
      <c r="O498">
        <v>3364</v>
      </c>
      <c r="P498">
        <v>0.21770644576753817</v>
      </c>
      <c r="Q498" t="s">
        <v>1238</v>
      </c>
      <c r="R498" t="s">
        <v>1239</v>
      </c>
      <c r="S498" t="s">
        <v>1231</v>
      </c>
      <c r="T498">
        <v>3</v>
      </c>
    </row>
    <row r="499" spans="1:20" x14ac:dyDescent="0.3">
      <c r="A499" t="s">
        <v>509</v>
      </c>
      <c r="B499" t="s">
        <v>510</v>
      </c>
      <c r="C499">
        <v>745</v>
      </c>
      <c r="D499">
        <v>1700</v>
      </c>
      <c r="E499">
        <v>919</v>
      </c>
      <c r="F499">
        <v>25.06</v>
      </c>
      <c r="G499">
        <v>89097</v>
      </c>
      <c r="H499">
        <v>15452</v>
      </c>
      <c r="I499">
        <v>4.8600000000000003</v>
      </c>
      <c r="J499" t="s">
        <v>20</v>
      </c>
      <c r="K499" t="s">
        <v>1237</v>
      </c>
      <c r="L499" s="25">
        <v>0.18961805555555555</v>
      </c>
      <c r="M499">
        <v>0.25059999999999999</v>
      </c>
      <c r="N499">
        <v>4.8600000000000004E-2</v>
      </c>
      <c r="O499">
        <v>3364</v>
      </c>
      <c r="P499">
        <v>0.21770644576753817</v>
      </c>
      <c r="Q499" t="s">
        <v>1238</v>
      </c>
      <c r="R499" t="s">
        <v>1239</v>
      </c>
      <c r="S499" t="s">
        <v>1231</v>
      </c>
      <c r="T499">
        <v>3</v>
      </c>
    </row>
    <row r="500" spans="1:20" x14ac:dyDescent="0.3">
      <c r="A500" t="s">
        <v>512</v>
      </c>
      <c r="B500" t="s">
        <v>513</v>
      </c>
      <c r="C500">
        <v>3218</v>
      </c>
      <c r="D500">
        <v>1001</v>
      </c>
      <c r="E500">
        <v>546</v>
      </c>
      <c r="F500">
        <v>29.49</v>
      </c>
      <c r="G500">
        <v>60348</v>
      </c>
      <c r="H500">
        <v>64522</v>
      </c>
      <c r="I500">
        <v>6.95</v>
      </c>
      <c r="J500" t="s">
        <v>20</v>
      </c>
      <c r="K500" t="s">
        <v>1634</v>
      </c>
      <c r="L500" s="25">
        <v>0.25696759259259261</v>
      </c>
      <c r="M500">
        <v>0.2949</v>
      </c>
      <c r="N500">
        <v>6.9500000000000006E-2</v>
      </c>
      <c r="O500">
        <v>4765</v>
      </c>
      <c r="P500">
        <v>7.3850779579058307E-2</v>
      </c>
      <c r="Q500" t="s">
        <v>1238</v>
      </c>
      <c r="R500" t="s">
        <v>1239</v>
      </c>
      <c r="S500" t="s">
        <v>1231</v>
      </c>
      <c r="T500">
        <v>3</v>
      </c>
    </row>
    <row r="501" spans="1:20" x14ac:dyDescent="0.3">
      <c r="A501" t="s">
        <v>512</v>
      </c>
      <c r="B501" t="s">
        <v>513</v>
      </c>
      <c r="C501">
        <v>3218</v>
      </c>
      <c r="D501">
        <v>1001</v>
      </c>
      <c r="E501">
        <v>546</v>
      </c>
      <c r="F501">
        <v>29.49</v>
      </c>
      <c r="G501">
        <v>60348</v>
      </c>
      <c r="H501">
        <v>64522</v>
      </c>
      <c r="I501">
        <v>6.95</v>
      </c>
      <c r="J501" t="s">
        <v>20</v>
      </c>
      <c r="K501" t="s">
        <v>1506</v>
      </c>
      <c r="L501" s="25">
        <v>0.25696759259259261</v>
      </c>
      <c r="M501">
        <v>0.2949</v>
      </c>
      <c r="N501">
        <v>6.9500000000000006E-2</v>
      </c>
      <c r="O501">
        <v>4765</v>
      </c>
      <c r="P501">
        <v>7.3850779579058307E-2</v>
      </c>
      <c r="Q501" t="s">
        <v>1238</v>
      </c>
      <c r="R501" t="s">
        <v>1239</v>
      </c>
      <c r="S501" t="s">
        <v>1231</v>
      </c>
      <c r="T501">
        <v>3</v>
      </c>
    </row>
    <row r="502" spans="1:20" x14ac:dyDescent="0.3">
      <c r="A502" t="s">
        <v>512</v>
      </c>
      <c r="B502" t="s">
        <v>513</v>
      </c>
      <c r="C502">
        <v>3218</v>
      </c>
      <c r="D502">
        <v>1001</v>
      </c>
      <c r="E502">
        <v>546</v>
      </c>
      <c r="F502">
        <v>29.49</v>
      </c>
      <c r="G502">
        <v>60348</v>
      </c>
      <c r="H502">
        <v>64522</v>
      </c>
      <c r="I502">
        <v>6.95</v>
      </c>
      <c r="J502" t="s">
        <v>20</v>
      </c>
      <c r="K502" t="s">
        <v>1343</v>
      </c>
      <c r="L502" s="25">
        <v>0.25696759259259261</v>
      </c>
      <c r="M502">
        <v>0.2949</v>
      </c>
      <c r="N502">
        <v>6.9500000000000006E-2</v>
      </c>
      <c r="O502">
        <v>4765</v>
      </c>
      <c r="P502">
        <v>7.3850779579058307E-2</v>
      </c>
      <c r="Q502" t="s">
        <v>1238</v>
      </c>
      <c r="R502" t="s">
        <v>1239</v>
      </c>
      <c r="S502" t="s">
        <v>1231</v>
      </c>
      <c r="T502">
        <v>3</v>
      </c>
    </row>
    <row r="503" spans="1:20" x14ac:dyDescent="0.3">
      <c r="A503" t="s">
        <v>515</v>
      </c>
      <c r="B503" t="s">
        <v>516</v>
      </c>
      <c r="C503">
        <v>9376</v>
      </c>
      <c r="D503">
        <v>2546</v>
      </c>
      <c r="E503">
        <v>417</v>
      </c>
      <c r="F503">
        <v>30.33</v>
      </c>
      <c r="G503">
        <v>85435</v>
      </c>
      <c r="H503">
        <v>56712</v>
      </c>
      <c r="I503">
        <v>7.62</v>
      </c>
      <c r="J503" t="s">
        <v>16</v>
      </c>
      <c r="K503" t="s">
        <v>1349</v>
      </c>
      <c r="L503" s="25">
        <v>0.52534722222222219</v>
      </c>
      <c r="M503">
        <v>0.30329999999999996</v>
      </c>
      <c r="N503">
        <v>7.6200000000000004E-2</v>
      </c>
      <c r="O503">
        <v>12339</v>
      </c>
      <c r="P503">
        <v>0.21757300042319086</v>
      </c>
      <c r="Q503" t="s">
        <v>1238</v>
      </c>
      <c r="R503" t="s">
        <v>1239</v>
      </c>
      <c r="S503" t="s">
        <v>1230</v>
      </c>
      <c r="T503">
        <v>3</v>
      </c>
    </row>
    <row r="504" spans="1:20" x14ac:dyDescent="0.3">
      <c r="A504" t="s">
        <v>515</v>
      </c>
      <c r="B504" t="s">
        <v>516</v>
      </c>
      <c r="C504">
        <v>9376</v>
      </c>
      <c r="D504">
        <v>2546</v>
      </c>
      <c r="E504">
        <v>417</v>
      </c>
      <c r="F504">
        <v>30.33</v>
      </c>
      <c r="G504">
        <v>85435</v>
      </c>
      <c r="H504">
        <v>56712</v>
      </c>
      <c r="I504">
        <v>7.62</v>
      </c>
      <c r="J504" t="s">
        <v>16</v>
      </c>
      <c r="K504" t="s">
        <v>1635</v>
      </c>
      <c r="L504" s="25">
        <v>0.52534722222222219</v>
      </c>
      <c r="M504">
        <v>0.30329999999999996</v>
      </c>
      <c r="N504">
        <v>7.6200000000000004E-2</v>
      </c>
      <c r="O504">
        <v>12339</v>
      </c>
      <c r="P504">
        <v>0.21757300042319086</v>
      </c>
      <c r="Q504" t="s">
        <v>1238</v>
      </c>
      <c r="R504" t="s">
        <v>1239</v>
      </c>
      <c r="S504" t="s">
        <v>1230</v>
      </c>
      <c r="T504">
        <v>3</v>
      </c>
    </row>
    <row r="505" spans="1:20" x14ac:dyDescent="0.3">
      <c r="A505" t="s">
        <v>515</v>
      </c>
      <c r="B505" t="s">
        <v>516</v>
      </c>
      <c r="C505">
        <v>9376</v>
      </c>
      <c r="D505">
        <v>2546</v>
      </c>
      <c r="E505">
        <v>417</v>
      </c>
      <c r="F505">
        <v>30.33</v>
      </c>
      <c r="G505">
        <v>85435</v>
      </c>
      <c r="H505">
        <v>56712</v>
      </c>
      <c r="I505">
        <v>7.62</v>
      </c>
      <c r="J505" t="s">
        <v>16</v>
      </c>
      <c r="K505" t="s">
        <v>1636</v>
      </c>
      <c r="L505" s="25">
        <v>0.52534722222222219</v>
      </c>
      <c r="M505">
        <v>0.30329999999999996</v>
      </c>
      <c r="N505">
        <v>7.6200000000000004E-2</v>
      </c>
      <c r="O505">
        <v>12339</v>
      </c>
      <c r="P505">
        <v>0.21757300042319086</v>
      </c>
      <c r="Q505" t="s">
        <v>1238</v>
      </c>
      <c r="R505" t="s">
        <v>1239</v>
      </c>
      <c r="S505" t="s">
        <v>1230</v>
      </c>
      <c r="T505">
        <v>3</v>
      </c>
    </row>
    <row r="506" spans="1:20" x14ac:dyDescent="0.3">
      <c r="A506" t="s">
        <v>518</v>
      </c>
      <c r="B506" t="s">
        <v>519</v>
      </c>
      <c r="C506">
        <v>4752</v>
      </c>
      <c r="D506">
        <v>2588</v>
      </c>
      <c r="E506">
        <v>1584</v>
      </c>
      <c r="F506">
        <v>13.58</v>
      </c>
      <c r="G506">
        <v>91677</v>
      </c>
      <c r="H506">
        <v>58168</v>
      </c>
      <c r="I506">
        <v>2.4</v>
      </c>
      <c r="J506" t="s">
        <v>16</v>
      </c>
      <c r="K506" t="s">
        <v>1637</v>
      </c>
      <c r="L506" s="25">
        <v>0.97974537037037035</v>
      </c>
      <c r="M506">
        <v>0.1358</v>
      </c>
      <c r="N506">
        <v>2.4E-2</v>
      </c>
      <c r="O506">
        <v>8924</v>
      </c>
      <c r="P506">
        <v>0.15341768670059139</v>
      </c>
      <c r="Q506" t="s">
        <v>1238</v>
      </c>
      <c r="R506" t="s">
        <v>1239</v>
      </c>
      <c r="S506" t="s">
        <v>1233</v>
      </c>
      <c r="T506">
        <v>3</v>
      </c>
    </row>
    <row r="507" spans="1:20" x14ac:dyDescent="0.3">
      <c r="A507" t="s">
        <v>518</v>
      </c>
      <c r="B507" t="s">
        <v>519</v>
      </c>
      <c r="C507">
        <v>4752</v>
      </c>
      <c r="D507">
        <v>2588</v>
      </c>
      <c r="E507">
        <v>1584</v>
      </c>
      <c r="F507">
        <v>13.58</v>
      </c>
      <c r="G507">
        <v>91677</v>
      </c>
      <c r="H507">
        <v>58168</v>
      </c>
      <c r="I507">
        <v>2.4</v>
      </c>
      <c r="J507" t="s">
        <v>16</v>
      </c>
      <c r="K507" t="s">
        <v>1638</v>
      </c>
      <c r="L507" s="25">
        <v>0.97974537037037035</v>
      </c>
      <c r="M507">
        <v>0.1358</v>
      </c>
      <c r="N507">
        <v>2.4E-2</v>
      </c>
      <c r="O507">
        <v>8924</v>
      </c>
      <c r="P507">
        <v>0.15341768670059139</v>
      </c>
      <c r="Q507" t="s">
        <v>1238</v>
      </c>
      <c r="R507" t="s">
        <v>1239</v>
      </c>
      <c r="S507" t="s">
        <v>1233</v>
      </c>
      <c r="T507">
        <v>3</v>
      </c>
    </row>
    <row r="508" spans="1:20" x14ac:dyDescent="0.3">
      <c r="A508" t="s">
        <v>518</v>
      </c>
      <c r="B508" t="s">
        <v>519</v>
      </c>
      <c r="C508">
        <v>4752</v>
      </c>
      <c r="D508">
        <v>2588</v>
      </c>
      <c r="E508">
        <v>1584</v>
      </c>
      <c r="F508">
        <v>13.58</v>
      </c>
      <c r="G508">
        <v>91677</v>
      </c>
      <c r="H508">
        <v>58168</v>
      </c>
      <c r="I508">
        <v>2.4</v>
      </c>
      <c r="J508" t="s">
        <v>16</v>
      </c>
      <c r="K508" t="s">
        <v>1286</v>
      </c>
      <c r="L508" s="25">
        <v>0.97974537037037035</v>
      </c>
      <c r="M508">
        <v>0.1358</v>
      </c>
      <c r="N508">
        <v>2.4E-2</v>
      </c>
      <c r="O508">
        <v>8924</v>
      </c>
      <c r="P508">
        <v>0.15341768670059139</v>
      </c>
      <c r="Q508" t="s">
        <v>1238</v>
      </c>
      <c r="R508" t="s">
        <v>1239</v>
      </c>
      <c r="S508" t="s">
        <v>1233</v>
      </c>
      <c r="T508">
        <v>3</v>
      </c>
    </row>
    <row r="509" spans="1:20" x14ac:dyDescent="0.3">
      <c r="A509" t="s">
        <v>521</v>
      </c>
      <c r="B509" t="s">
        <v>522</v>
      </c>
      <c r="C509">
        <v>2881</v>
      </c>
      <c r="D509">
        <v>3430</v>
      </c>
      <c r="E509">
        <v>429</v>
      </c>
      <c r="F509">
        <v>18</v>
      </c>
      <c r="G509">
        <v>60679</v>
      </c>
      <c r="H509">
        <v>70654</v>
      </c>
      <c r="I509">
        <v>6.5</v>
      </c>
      <c r="J509" t="s">
        <v>42</v>
      </c>
      <c r="K509" t="s">
        <v>1639</v>
      </c>
      <c r="L509" s="25">
        <v>0.91836805555555556</v>
      </c>
      <c r="M509">
        <v>0.18</v>
      </c>
      <c r="N509">
        <v>6.5000000000000002E-2</v>
      </c>
      <c r="O509">
        <v>6740</v>
      </c>
      <c r="P509">
        <v>9.5394457497098531E-2</v>
      </c>
      <c r="Q509" t="s">
        <v>1238</v>
      </c>
      <c r="R509" t="s">
        <v>1239</v>
      </c>
      <c r="S509" t="s">
        <v>1233</v>
      </c>
      <c r="T509">
        <v>3</v>
      </c>
    </row>
    <row r="510" spans="1:20" x14ac:dyDescent="0.3">
      <c r="A510" t="s">
        <v>521</v>
      </c>
      <c r="B510" t="s">
        <v>522</v>
      </c>
      <c r="C510">
        <v>2881</v>
      </c>
      <c r="D510">
        <v>3430</v>
      </c>
      <c r="E510">
        <v>429</v>
      </c>
      <c r="F510">
        <v>18</v>
      </c>
      <c r="G510">
        <v>60679</v>
      </c>
      <c r="H510">
        <v>70654</v>
      </c>
      <c r="I510">
        <v>6.5</v>
      </c>
      <c r="J510" t="s">
        <v>42</v>
      </c>
      <c r="K510" t="s">
        <v>1451</v>
      </c>
      <c r="L510" s="25">
        <v>0.91836805555555556</v>
      </c>
      <c r="M510">
        <v>0.18</v>
      </c>
      <c r="N510">
        <v>6.5000000000000002E-2</v>
      </c>
      <c r="O510">
        <v>6740</v>
      </c>
      <c r="P510">
        <v>9.5394457497098531E-2</v>
      </c>
      <c r="Q510" t="s">
        <v>1238</v>
      </c>
      <c r="R510" t="s">
        <v>1239</v>
      </c>
      <c r="S510" t="s">
        <v>1233</v>
      </c>
      <c r="T510">
        <v>3</v>
      </c>
    </row>
    <row r="511" spans="1:20" x14ac:dyDescent="0.3">
      <c r="A511" t="s">
        <v>521</v>
      </c>
      <c r="B511" t="s">
        <v>522</v>
      </c>
      <c r="C511">
        <v>2881</v>
      </c>
      <c r="D511">
        <v>3430</v>
      </c>
      <c r="E511">
        <v>429</v>
      </c>
      <c r="F511">
        <v>18</v>
      </c>
      <c r="G511">
        <v>60679</v>
      </c>
      <c r="H511">
        <v>70654</v>
      </c>
      <c r="I511">
        <v>6.5</v>
      </c>
      <c r="J511" t="s">
        <v>42</v>
      </c>
      <c r="K511" t="s">
        <v>1640</v>
      </c>
      <c r="L511" s="25">
        <v>0.91836805555555556</v>
      </c>
      <c r="M511">
        <v>0.18</v>
      </c>
      <c r="N511">
        <v>6.5000000000000002E-2</v>
      </c>
      <c r="O511">
        <v>6740</v>
      </c>
      <c r="P511">
        <v>9.5394457497098531E-2</v>
      </c>
      <c r="Q511" t="s">
        <v>1238</v>
      </c>
      <c r="R511" t="s">
        <v>1239</v>
      </c>
      <c r="S511" t="s">
        <v>1233</v>
      </c>
      <c r="T511">
        <v>3</v>
      </c>
    </row>
    <row r="512" spans="1:20" x14ac:dyDescent="0.3">
      <c r="A512" t="s">
        <v>524</v>
      </c>
      <c r="B512" t="s">
        <v>525</v>
      </c>
      <c r="C512">
        <v>7851</v>
      </c>
      <c r="D512">
        <v>2377</v>
      </c>
      <c r="E512">
        <v>1742</v>
      </c>
      <c r="F512">
        <v>83</v>
      </c>
      <c r="G512">
        <v>72066</v>
      </c>
      <c r="H512">
        <v>34480</v>
      </c>
      <c r="I512">
        <v>6.75</v>
      </c>
      <c r="J512" t="s">
        <v>42</v>
      </c>
      <c r="K512" t="s">
        <v>1641</v>
      </c>
      <c r="L512" s="25">
        <v>8.1932870370370364E-2</v>
      </c>
      <c r="M512">
        <v>0.83</v>
      </c>
      <c r="N512">
        <v>6.7500000000000004E-2</v>
      </c>
      <c r="O512">
        <v>11970</v>
      </c>
      <c r="P512">
        <v>0.34715777262180975</v>
      </c>
      <c r="Q512" t="s">
        <v>1238</v>
      </c>
      <c r="R512" t="s">
        <v>1239</v>
      </c>
      <c r="S512" t="s">
        <v>1231</v>
      </c>
      <c r="T512">
        <v>3</v>
      </c>
    </row>
    <row r="513" spans="1:20" x14ac:dyDescent="0.3">
      <c r="A513" t="s">
        <v>524</v>
      </c>
      <c r="B513" t="s">
        <v>525</v>
      </c>
      <c r="C513">
        <v>7851</v>
      </c>
      <c r="D513">
        <v>2377</v>
      </c>
      <c r="E513">
        <v>1742</v>
      </c>
      <c r="F513">
        <v>83</v>
      </c>
      <c r="G513">
        <v>72066</v>
      </c>
      <c r="H513">
        <v>34480</v>
      </c>
      <c r="I513">
        <v>6.75</v>
      </c>
      <c r="J513" t="s">
        <v>42</v>
      </c>
      <c r="K513" t="s">
        <v>1440</v>
      </c>
      <c r="L513" s="25">
        <v>8.1932870370370364E-2</v>
      </c>
      <c r="M513">
        <v>0.83</v>
      </c>
      <c r="N513">
        <v>6.7500000000000004E-2</v>
      </c>
      <c r="O513">
        <v>11970</v>
      </c>
      <c r="P513">
        <v>0.34715777262180975</v>
      </c>
      <c r="Q513" t="s">
        <v>1238</v>
      </c>
      <c r="R513" t="s">
        <v>1239</v>
      </c>
      <c r="S513" t="s">
        <v>1231</v>
      </c>
      <c r="T513">
        <v>3</v>
      </c>
    </row>
    <row r="514" spans="1:20" x14ac:dyDescent="0.3">
      <c r="A514" t="s">
        <v>524</v>
      </c>
      <c r="B514" t="s">
        <v>525</v>
      </c>
      <c r="C514">
        <v>7851</v>
      </c>
      <c r="D514">
        <v>2377</v>
      </c>
      <c r="E514">
        <v>1742</v>
      </c>
      <c r="F514">
        <v>83</v>
      </c>
      <c r="G514">
        <v>72066</v>
      </c>
      <c r="H514">
        <v>34480</v>
      </c>
      <c r="I514">
        <v>6.75</v>
      </c>
      <c r="J514" t="s">
        <v>42</v>
      </c>
      <c r="K514" t="s">
        <v>1642</v>
      </c>
      <c r="L514" s="25">
        <v>8.1932870370370364E-2</v>
      </c>
      <c r="M514">
        <v>0.83</v>
      </c>
      <c r="N514">
        <v>6.7500000000000004E-2</v>
      </c>
      <c r="O514">
        <v>11970</v>
      </c>
      <c r="P514">
        <v>0.34715777262180975</v>
      </c>
      <c r="Q514" t="s">
        <v>1238</v>
      </c>
      <c r="R514" t="s">
        <v>1239</v>
      </c>
      <c r="S514" t="s">
        <v>1231</v>
      </c>
      <c r="T514">
        <v>3</v>
      </c>
    </row>
    <row r="515" spans="1:20" x14ac:dyDescent="0.3">
      <c r="A515" t="s">
        <v>527</v>
      </c>
      <c r="B515" t="s">
        <v>528</v>
      </c>
      <c r="C515">
        <v>127</v>
      </c>
      <c r="D515">
        <v>2056</v>
      </c>
      <c r="E515">
        <v>1540</v>
      </c>
      <c r="F515">
        <v>45.22</v>
      </c>
      <c r="G515">
        <v>51551</v>
      </c>
      <c r="H515">
        <v>40653</v>
      </c>
      <c r="I515">
        <v>8.19</v>
      </c>
      <c r="J515" t="s">
        <v>12</v>
      </c>
      <c r="K515" t="s">
        <v>1561</v>
      </c>
      <c r="L515" s="25">
        <v>0.1958101851851852</v>
      </c>
      <c r="M515">
        <v>0.45219999999999999</v>
      </c>
      <c r="N515">
        <v>8.1900000000000001E-2</v>
      </c>
      <c r="O515">
        <v>3723</v>
      </c>
      <c r="P515">
        <v>9.1579957198730716E-2</v>
      </c>
      <c r="Q515" t="s">
        <v>1238</v>
      </c>
      <c r="R515" t="s">
        <v>1239</v>
      </c>
      <c r="S515" t="s">
        <v>1231</v>
      </c>
      <c r="T515">
        <v>3</v>
      </c>
    </row>
    <row r="516" spans="1:20" x14ac:dyDescent="0.3">
      <c r="A516" t="s">
        <v>527</v>
      </c>
      <c r="B516" t="s">
        <v>528</v>
      </c>
      <c r="C516">
        <v>127</v>
      </c>
      <c r="D516">
        <v>2056</v>
      </c>
      <c r="E516">
        <v>1540</v>
      </c>
      <c r="F516">
        <v>45.22</v>
      </c>
      <c r="G516">
        <v>51551</v>
      </c>
      <c r="H516">
        <v>40653</v>
      </c>
      <c r="I516">
        <v>8.19</v>
      </c>
      <c r="J516" t="s">
        <v>12</v>
      </c>
      <c r="K516" t="s">
        <v>1397</v>
      </c>
      <c r="L516" s="25">
        <v>0.1958101851851852</v>
      </c>
      <c r="M516">
        <v>0.45219999999999999</v>
      </c>
      <c r="N516">
        <v>8.1900000000000001E-2</v>
      </c>
      <c r="O516">
        <v>3723</v>
      </c>
      <c r="P516">
        <v>9.1579957198730716E-2</v>
      </c>
      <c r="Q516" t="s">
        <v>1238</v>
      </c>
      <c r="R516" t="s">
        <v>1239</v>
      </c>
      <c r="S516" t="s">
        <v>1231</v>
      </c>
      <c r="T516">
        <v>3</v>
      </c>
    </row>
    <row r="517" spans="1:20" x14ac:dyDescent="0.3">
      <c r="A517" t="s">
        <v>527</v>
      </c>
      <c r="B517" t="s">
        <v>528</v>
      </c>
      <c r="C517">
        <v>127</v>
      </c>
      <c r="D517">
        <v>2056</v>
      </c>
      <c r="E517">
        <v>1540</v>
      </c>
      <c r="F517">
        <v>45.22</v>
      </c>
      <c r="G517">
        <v>51551</v>
      </c>
      <c r="H517">
        <v>40653</v>
      </c>
      <c r="I517">
        <v>8.19</v>
      </c>
      <c r="J517" t="s">
        <v>12</v>
      </c>
      <c r="K517" t="s">
        <v>1643</v>
      </c>
      <c r="L517" s="25">
        <v>0.1958101851851852</v>
      </c>
      <c r="M517">
        <v>0.45219999999999999</v>
      </c>
      <c r="N517">
        <v>8.1900000000000001E-2</v>
      </c>
      <c r="O517">
        <v>3723</v>
      </c>
      <c r="P517">
        <v>9.1579957198730716E-2</v>
      </c>
      <c r="Q517" t="s">
        <v>1238</v>
      </c>
      <c r="R517" t="s">
        <v>1239</v>
      </c>
      <c r="S517" t="s">
        <v>1231</v>
      </c>
      <c r="T517">
        <v>3</v>
      </c>
    </row>
    <row r="518" spans="1:20" x14ac:dyDescent="0.3">
      <c r="A518" t="s">
        <v>530</v>
      </c>
      <c r="B518" t="s">
        <v>531</v>
      </c>
      <c r="C518">
        <v>7625</v>
      </c>
      <c r="D518">
        <v>1336</v>
      </c>
      <c r="E518">
        <v>1410</v>
      </c>
      <c r="F518">
        <v>66.59</v>
      </c>
      <c r="G518">
        <v>84665</v>
      </c>
      <c r="H518">
        <v>80457</v>
      </c>
      <c r="I518">
        <v>0.85</v>
      </c>
      <c r="J518" t="s">
        <v>42</v>
      </c>
      <c r="K518" t="s">
        <v>1287</v>
      </c>
      <c r="L518" s="25">
        <v>0.48420138888888886</v>
      </c>
      <c r="M518">
        <v>0.66590000000000005</v>
      </c>
      <c r="N518">
        <v>8.5000000000000006E-3</v>
      </c>
      <c r="O518">
        <v>10371</v>
      </c>
      <c r="P518">
        <v>0.12890115216823894</v>
      </c>
      <c r="Q518" t="s">
        <v>1238</v>
      </c>
      <c r="R518" t="s">
        <v>1239</v>
      </c>
      <c r="S518" t="s">
        <v>1231</v>
      </c>
      <c r="T518">
        <v>3</v>
      </c>
    </row>
    <row r="519" spans="1:20" x14ac:dyDescent="0.3">
      <c r="A519" t="s">
        <v>530</v>
      </c>
      <c r="B519" t="s">
        <v>531</v>
      </c>
      <c r="C519">
        <v>7625</v>
      </c>
      <c r="D519">
        <v>1336</v>
      </c>
      <c r="E519">
        <v>1410</v>
      </c>
      <c r="F519">
        <v>66.59</v>
      </c>
      <c r="G519">
        <v>84665</v>
      </c>
      <c r="H519">
        <v>80457</v>
      </c>
      <c r="I519">
        <v>0.85</v>
      </c>
      <c r="J519" t="s">
        <v>42</v>
      </c>
      <c r="K519" t="s">
        <v>1443</v>
      </c>
      <c r="L519" s="25">
        <v>0.48420138888888886</v>
      </c>
      <c r="M519">
        <v>0.66590000000000005</v>
      </c>
      <c r="N519">
        <v>8.5000000000000006E-3</v>
      </c>
      <c r="O519">
        <v>10371</v>
      </c>
      <c r="P519">
        <v>0.12890115216823894</v>
      </c>
      <c r="Q519" t="s">
        <v>1238</v>
      </c>
      <c r="R519" t="s">
        <v>1239</v>
      </c>
      <c r="S519" t="s">
        <v>1231</v>
      </c>
      <c r="T519">
        <v>3</v>
      </c>
    </row>
    <row r="520" spans="1:20" x14ac:dyDescent="0.3">
      <c r="A520" t="s">
        <v>530</v>
      </c>
      <c r="B520" t="s">
        <v>531</v>
      </c>
      <c r="C520">
        <v>7625</v>
      </c>
      <c r="D520">
        <v>1336</v>
      </c>
      <c r="E520">
        <v>1410</v>
      </c>
      <c r="F520">
        <v>66.59</v>
      </c>
      <c r="G520">
        <v>84665</v>
      </c>
      <c r="H520">
        <v>80457</v>
      </c>
      <c r="I520">
        <v>0.85</v>
      </c>
      <c r="J520" t="s">
        <v>42</v>
      </c>
      <c r="K520" t="s">
        <v>1644</v>
      </c>
      <c r="L520" s="25">
        <v>0.48420138888888886</v>
      </c>
      <c r="M520">
        <v>0.66590000000000005</v>
      </c>
      <c r="N520">
        <v>8.5000000000000006E-3</v>
      </c>
      <c r="O520">
        <v>10371</v>
      </c>
      <c r="P520">
        <v>0.12890115216823894</v>
      </c>
      <c r="Q520" t="s">
        <v>1238</v>
      </c>
      <c r="R520" t="s">
        <v>1239</v>
      </c>
      <c r="S520" t="s">
        <v>1231</v>
      </c>
      <c r="T520">
        <v>3</v>
      </c>
    </row>
    <row r="521" spans="1:20" x14ac:dyDescent="0.3">
      <c r="A521" t="s">
        <v>533</v>
      </c>
      <c r="B521" t="s">
        <v>534</v>
      </c>
      <c r="C521">
        <v>6541</v>
      </c>
      <c r="D521">
        <v>3338</v>
      </c>
      <c r="E521">
        <v>549</v>
      </c>
      <c r="F521">
        <v>38.049999999999997</v>
      </c>
      <c r="G521">
        <v>42313</v>
      </c>
      <c r="H521">
        <v>26310</v>
      </c>
      <c r="I521">
        <v>1.1100000000000001</v>
      </c>
      <c r="J521" t="s">
        <v>20</v>
      </c>
      <c r="K521" t="s">
        <v>1347</v>
      </c>
      <c r="L521" s="25">
        <v>0.84854166666666664</v>
      </c>
      <c r="M521">
        <v>0.38049999999999995</v>
      </c>
      <c r="N521">
        <v>1.11E-2</v>
      </c>
      <c r="O521">
        <v>10428</v>
      </c>
      <c r="P521">
        <v>0.39635119726339796</v>
      </c>
      <c r="Q521" t="s">
        <v>1238</v>
      </c>
      <c r="R521" t="s">
        <v>1239</v>
      </c>
      <c r="S521" t="s">
        <v>1232</v>
      </c>
      <c r="T521">
        <v>3</v>
      </c>
    </row>
    <row r="522" spans="1:20" x14ac:dyDescent="0.3">
      <c r="A522" t="s">
        <v>533</v>
      </c>
      <c r="B522" t="s">
        <v>534</v>
      </c>
      <c r="C522">
        <v>6541</v>
      </c>
      <c r="D522">
        <v>3338</v>
      </c>
      <c r="E522">
        <v>549</v>
      </c>
      <c r="F522">
        <v>38.049999999999997</v>
      </c>
      <c r="G522">
        <v>42313</v>
      </c>
      <c r="H522">
        <v>26310</v>
      </c>
      <c r="I522">
        <v>1.1100000000000001</v>
      </c>
      <c r="J522" t="s">
        <v>20</v>
      </c>
      <c r="K522" t="s">
        <v>1284</v>
      </c>
      <c r="L522" s="25">
        <v>0.84854166666666664</v>
      </c>
      <c r="M522">
        <v>0.38049999999999995</v>
      </c>
      <c r="N522">
        <v>1.11E-2</v>
      </c>
      <c r="O522">
        <v>10428</v>
      </c>
      <c r="P522">
        <v>0.39635119726339796</v>
      </c>
      <c r="Q522" t="s">
        <v>1238</v>
      </c>
      <c r="R522" t="s">
        <v>1239</v>
      </c>
      <c r="S522" t="s">
        <v>1232</v>
      </c>
      <c r="T522">
        <v>3</v>
      </c>
    </row>
    <row r="523" spans="1:20" x14ac:dyDescent="0.3">
      <c r="A523" t="s">
        <v>533</v>
      </c>
      <c r="B523" t="s">
        <v>534</v>
      </c>
      <c r="C523">
        <v>6541</v>
      </c>
      <c r="D523">
        <v>3338</v>
      </c>
      <c r="E523">
        <v>549</v>
      </c>
      <c r="F523">
        <v>38.049999999999997</v>
      </c>
      <c r="G523">
        <v>42313</v>
      </c>
      <c r="H523">
        <v>26310</v>
      </c>
      <c r="I523">
        <v>1.1100000000000001</v>
      </c>
      <c r="J523" t="s">
        <v>20</v>
      </c>
      <c r="K523" t="s">
        <v>1291</v>
      </c>
      <c r="L523" s="25">
        <v>0.84854166666666664</v>
      </c>
      <c r="M523">
        <v>0.38049999999999995</v>
      </c>
      <c r="N523">
        <v>1.11E-2</v>
      </c>
      <c r="O523">
        <v>10428</v>
      </c>
      <c r="P523">
        <v>0.39635119726339796</v>
      </c>
      <c r="Q523" t="s">
        <v>1238</v>
      </c>
      <c r="R523" t="s">
        <v>1239</v>
      </c>
      <c r="S523" t="s">
        <v>1232</v>
      </c>
      <c r="T523">
        <v>3</v>
      </c>
    </row>
    <row r="524" spans="1:20" x14ac:dyDescent="0.3">
      <c r="A524" t="s">
        <v>536</v>
      </c>
      <c r="B524" t="s">
        <v>537</v>
      </c>
      <c r="C524">
        <v>2336</v>
      </c>
      <c r="D524">
        <v>224</v>
      </c>
      <c r="E524">
        <v>1661</v>
      </c>
      <c r="F524">
        <v>63.44</v>
      </c>
      <c r="G524">
        <v>8517</v>
      </c>
      <c r="H524">
        <v>58007</v>
      </c>
      <c r="I524">
        <v>0.97</v>
      </c>
      <c r="J524" t="s">
        <v>12</v>
      </c>
      <c r="K524" t="s">
        <v>1310</v>
      </c>
      <c r="L524" s="25">
        <v>0.91605324074074079</v>
      </c>
      <c r="M524">
        <v>0.63439999999999996</v>
      </c>
      <c r="N524">
        <v>9.7000000000000003E-3</v>
      </c>
      <c r="O524">
        <v>4221</v>
      </c>
      <c r="P524">
        <v>7.2767079835192303E-2</v>
      </c>
      <c r="Q524" t="s">
        <v>1238</v>
      </c>
      <c r="R524" t="s">
        <v>1239</v>
      </c>
      <c r="S524" t="s">
        <v>1233</v>
      </c>
      <c r="T524">
        <v>3</v>
      </c>
    </row>
    <row r="525" spans="1:20" x14ac:dyDescent="0.3">
      <c r="A525" t="s">
        <v>536</v>
      </c>
      <c r="B525" t="s">
        <v>537</v>
      </c>
      <c r="C525">
        <v>2336</v>
      </c>
      <c r="D525">
        <v>224</v>
      </c>
      <c r="E525">
        <v>1661</v>
      </c>
      <c r="F525">
        <v>63.44</v>
      </c>
      <c r="G525">
        <v>8517</v>
      </c>
      <c r="H525">
        <v>58007</v>
      </c>
      <c r="I525">
        <v>0.97</v>
      </c>
      <c r="J525" t="s">
        <v>12</v>
      </c>
      <c r="K525" t="s">
        <v>1645</v>
      </c>
      <c r="L525" s="25">
        <v>0.91605324074074079</v>
      </c>
      <c r="M525">
        <v>0.63439999999999996</v>
      </c>
      <c r="N525">
        <v>9.7000000000000003E-3</v>
      </c>
      <c r="O525">
        <v>4221</v>
      </c>
      <c r="P525">
        <v>7.2767079835192303E-2</v>
      </c>
      <c r="Q525" t="s">
        <v>1238</v>
      </c>
      <c r="R525" t="s">
        <v>1239</v>
      </c>
      <c r="S525" t="s">
        <v>1233</v>
      </c>
      <c r="T525">
        <v>3</v>
      </c>
    </row>
    <row r="526" spans="1:20" x14ac:dyDescent="0.3">
      <c r="A526" t="s">
        <v>536</v>
      </c>
      <c r="B526" t="s">
        <v>537</v>
      </c>
      <c r="C526">
        <v>2336</v>
      </c>
      <c r="D526">
        <v>224</v>
      </c>
      <c r="E526">
        <v>1661</v>
      </c>
      <c r="F526">
        <v>63.44</v>
      </c>
      <c r="G526">
        <v>8517</v>
      </c>
      <c r="H526">
        <v>58007</v>
      </c>
      <c r="I526">
        <v>0.97</v>
      </c>
      <c r="J526" t="s">
        <v>12</v>
      </c>
      <c r="K526" t="s">
        <v>1303</v>
      </c>
      <c r="L526" s="25">
        <v>0.91605324074074079</v>
      </c>
      <c r="M526">
        <v>0.63439999999999996</v>
      </c>
      <c r="N526">
        <v>9.7000000000000003E-3</v>
      </c>
      <c r="O526">
        <v>4221</v>
      </c>
      <c r="P526">
        <v>7.2767079835192303E-2</v>
      </c>
      <c r="Q526" t="s">
        <v>1238</v>
      </c>
      <c r="R526" t="s">
        <v>1239</v>
      </c>
      <c r="S526" t="s">
        <v>1233</v>
      </c>
      <c r="T526">
        <v>3</v>
      </c>
    </row>
    <row r="527" spans="1:20" x14ac:dyDescent="0.3">
      <c r="A527" t="s">
        <v>539</v>
      </c>
      <c r="B527" t="s">
        <v>540</v>
      </c>
      <c r="C527">
        <v>4875</v>
      </c>
      <c r="D527">
        <v>2561</v>
      </c>
      <c r="E527">
        <v>36</v>
      </c>
      <c r="F527">
        <v>59.63</v>
      </c>
      <c r="G527">
        <v>12377</v>
      </c>
      <c r="H527">
        <v>46833</v>
      </c>
      <c r="I527">
        <v>7.59</v>
      </c>
      <c r="J527" t="s">
        <v>16</v>
      </c>
      <c r="K527" t="s">
        <v>1459</v>
      </c>
      <c r="L527" s="25">
        <v>0.67659722222222218</v>
      </c>
      <c r="M527">
        <v>0.59630000000000005</v>
      </c>
      <c r="N527">
        <v>7.5899999999999995E-2</v>
      </c>
      <c r="O527">
        <v>7472</v>
      </c>
      <c r="P527">
        <v>0.1595456195417761</v>
      </c>
      <c r="Q527" t="s">
        <v>1238</v>
      </c>
      <c r="R527" t="s">
        <v>1239</v>
      </c>
      <c r="S527" t="s">
        <v>1230</v>
      </c>
      <c r="T527">
        <v>3</v>
      </c>
    </row>
    <row r="528" spans="1:20" x14ac:dyDescent="0.3">
      <c r="A528" t="s">
        <v>539</v>
      </c>
      <c r="B528" t="s">
        <v>540</v>
      </c>
      <c r="C528">
        <v>4875</v>
      </c>
      <c r="D528">
        <v>2561</v>
      </c>
      <c r="E528">
        <v>36</v>
      </c>
      <c r="F528">
        <v>59.63</v>
      </c>
      <c r="G528">
        <v>12377</v>
      </c>
      <c r="H528">
        <v>46833</v>
      </c>
      <c r="I528">
        <v>7.59</v>
      </c>
      <c r="J528" t="s">
        <v>16</v>
      </c>
      <c r="K528" t="s">
        <v>1410</v>
      </c>
      <c r="L528" s="25">
        <v>0.67659722222222218</v>
      </c>
      <c r="M528">
        <v>0.59630000000000005</v>
      </c>
      <c r="N528">
        <v>7.5899999999999995E-2</v>
      </c>
      <c r="O528">
        <v>7472</v>
      </c>
      <c r="P528">
        <v>0.1595456195417761</v>
      </c>
      <c r="Q528" t="s">
        <v>1238</v>
      </c>
      <c r="R528" t="s">
        <v>1239</v>
      </c>
      <c r="S528" t="s">
        <v>1230</v>
      </c>
      <c r="T528">
        <v>3</v>
      </c>
    </row>
    <row r="529" spans="1:20" x14ac:dyDescent="0.3">
      <c r="A529" t="s">
        <v>539</v>
      </c>
      <c r="B529" t="s">
        <v>540</v>
      </c>
      <c r="C529">
        <v>4875</v>
      </c>
      <c r="D529">
        <v>2561</v>
      </c>
      <c r="E529">
        <v>36</v>
      </c>
      <c r="F529">
        <v>59.63</v>
      </c>
      <c r="G529">
        <v>12377</v>
      </c>
      <c r="H529">
        <v>46833</v>
      </c>
      <c r="I529">
        <v>7.59</v>
      </c>
      <c r="J529" t="s">
        <v>16</v>
      </c>
      <c r="K529" t="s">
        <v>1601</v>
      </c>
      <c r="L529" s="25">
        <v>0.67659722222222218</v>
      </c>
      <c r="M529">
        <v>0.59630000000000005</v>
      </c>
      <c r="N529">
        <v>7.5899999999999995E-2</v>
      </c>
      <c r="O529">
        <v>7472</v>
      </c>
      <c r="P529">
        <v>0.1595456195417761</v>
      </c>
      <c r="Q529" t="s">
        <v>1238</v>
      </c>
      <c r="R529" t="s">
        <v>1239</v>
      </c>
      <c r="S529" t="s">
        <v>1230</v>
      </c>
      <c r="T529">
        <v>3</v>
      </c>
    </row>
    <row r="530" spans="1:20" x14ac:dyDescent="0.3">
      <c r="A530" t="s">
        <v>542</v>
      </c>
      <c r="B530" t="s">
        <v>543</v>
      </c>
      <c r="C530">
        <v>7025</v>
      </c>
      <c r="D530">
        <v>4029</v>
      </c>
      <c r="E530">
        <v>1261</v>
      </c>
      <c r="F530">
        <v>81.96</v>
      </c>
      <c r="G530">
        <v>40466</v>
      </c>
      <c r="H530">
        <v>65975</v>
      </c>
      <c r="I530">
        <v>0.98</v>
      </c>
      <c r="J530" t="s">
        <v>16</v>
      </c>
      <c r="K530" t="s">
        <v>1646</v>
      </c>
      <c r="L530" s="25">
        <v>0.67918981481481477</v>
      </c>
      <c r="M530">
        <v>0.81959999999999988</v>
      </c>
      <c r="N530">
        <v>9.7999999999999997E-3</v>
      </c>
      <c r="O530">
        <v>12315</v>
      </c>
      <c r="P530">
        <v>0.18666161424782116</v>
      </c>
      <c r="Q530" t="s">
        <v>1238</v>
      </c>
      <c r="R530" t="s">
        <v>1239</v>
      </c>
      <c r="S530" t="s">
        <v>1230</v>
      </c>
      <c r="T530">
        <v>3</v>
      </c>
    </row>
    <row r="531" spans="1:20" x14ac:dyDescent="0.3">
      <c r="A531" t="s">
        <v>542</v>
      </c>
      <c r="B531" t="s">
        <v>543</v>
      </c>
      <c r="C531">
        <v>7025</v>
      </c>
      <c r="D531">
        <v>4029</v>
      </c>
      <c r="E531">
        <v>1261</v>
      </c>
      <c r="F531">
        <v>81.96</v>
      </c>
      <c r="G531">
        <v>40466</v>
      </c>
      <c r="H531">
        <v>65975</v>
      </c>
      <c r="I531">
        <v>0.98</v>
      </c>
      <c r="J531" t="s">
        <v>16</v>
      </c>
      <c r="K531" t="s">
        <v>1502</v>
      </c>
      <c r="L531" s="25">
        <v>0.67918981481481477</v>
      </c>
      <c r="M531">
        <v>0.81959999999999988</v>
      </c>
      <c r="N531">
        <v>9.7999999999999997E-3</v>
      </c>
      <c r="O531">
        <v>12315</v>
      </c>
      <c r="P531">
        <v>0.18666161424782116</v>
      </c>
      <c r="Q531" t="s">
        <v>1238</v>
      </c>
      <c r="R531" t="s">
        <v>1239</v>
      </c>
      <c r="S531" t="s">
        <v>1230</v>
      </c>
      <c r="T531">
        <v>3</v>
      </c>
    </row>
    <row r="532" spans="1:20" x14ac:dyDescent="0.3">
      <c r="A532" t="s">
        <v>542</v>
      </c>
      <c r="B532" t="s">
        <v>543</v>
      </c>
      <c r="C532">
        <v>7025</v>
      </c>
      <c r="D532">
        <v>4029</v>
      </c>
      <c r="E532">
        <v>1261</v>
      </c>
      <c r="F532">
        <v>81.96</v>
      </c>
      <c r="G532">
        <v>40466</v>
      </c>
      <c r="H532">
        <v>65975</v>
      </c>
      <c r="I532">
        <v>0.98</v>
      </c>
      <c r="J532" t="s">
        <v>16</v>
      </c>
      <c r="K532" t="s">
        <v>1647</v>
      </c>
      <c r="L532" s="25">
        <v>0.67918981481481477</v>
      </c>
      <c r="M532">
        <v>0.81959999999999988</v>
      </c>
      <c r="N532">
        <v>9.7999999999999997E-3</v>
      </c>
      <c r="O532">
        <v>12315</v>
      </c>
      <c r="P532">
        <v>0.18666161424782116</v>
      </c>
      <c r="Q532" t="s">
        <v>1238</v>
      </c>
      <c r="R532" t="s">
        <v>1239</v>
      </c>
      <c r="S532" t="s">
        <v>1230</v>
      </c>
      <c r="T532">
        <v>3</v>
      </c>
    </row>
    <row r="533" spans="1:20" x14ac:dyDescent="0.3">
      <c r="A533" t="s">
        <v>545</v>
      </c>
      <c r="B533" t="s">
        <v>546</v>
      </c>
      <c r="C533">
        <v>9834</v>
      </c>
      <c r="D533">
        <v>1527</v>
      </c>
      <c r="E533">
        <v>1717</v>
      </c>
      <c r="F533">
        <v>57.93</v>
      </c>
      <c r="G533">
        <v>88237</v>
      </c>
      <c r="H533">
        <v>43111</v>
      </c>
      <c r="I533">
        <v>6.46</v>
      </c>
      <c r="J533" t="s">
        <v>42</v>
      </c>
      <c r="K533" t="s">
        <v>1648</v>
      </c>
      <c r="L533" s="25">
        <v>5.4224537037037036E-2</v>
      </c>
      <c r="M533">
        <v>0.57930000000000004</v>
      </c>
      <c r="N533">
        <v>6.4600000000000005E-2</v>
      </c>
      <c r="O533">
        <v>13078</v>
      </c>
      <c r="P533">
        <v>0.30335645194961841</v>
      </c>
      <c r="Q533" t="s">
        <v>1238</v>
      </c>
      <c r="R533" t="s">
        <v>1239</v>
      </c>
      <c r="S533" t="s">
        <v>1231</v>
      </c>
      <c r="T533">
        <v>3</v>
      </c>
    </row>
    <row r="534" spans="1:20" x14ac:dyDescent="0.3">
      <c r="A534" t="s">
        <v>545</v>
      </c>
      <c r="B534" t="s">
        <v>546</v>
      </c>
      <c r="C534">
        <v>9834</v>
      </c>
      <c r="D534">
        <v>1527</v>
      </c>
      <c r="E534">
        <v>1717</v>
      </c>
      <c r="F534">
        <v>57.93</v>
      </c>
      <c r="G534">
        <v>88237</v>
      </c>
      <c r="H534">
        <v>43111</v>
      </c>
      <c r="I534">
        <v>6.46</v>
      </c>
      <c r="J534" t="s">
        <v>42</v>
      </c>
      <c r="K534" t="s">
        <v>1452</v>
      </c>
      <c r="L534" s="25">
        <v>5.4224537037037036E-2</v>
      </c>
      <c r="M534">
        <v>0.57930000000000004</v>
      </c>
      <c r="N534">
        <v>6.4600000000000005E-2</v>
      </c>
      <c r="O534">
        <v>13078</v>
      </c>
      <c r="P534">
        <v>0.30335645194961841</v>
      </c>
      <c r="Q534" t="s">
        <v>1238</v>
      </c>
      <c r="R534" t="s">
        <v>1239</v>
      </c>
      <c r="S534" t="s">
        <v>1231</v>
      </c>
      <c r="T534">
        <v>3</v>
      </c>
    </row>
    <row r="535" spans="1:20" x14ac:dyDescent="0.3">
      <c r="A535" t="s">
        <v>545</v>
      </c>
      <c r="B535" t="s">
        <v>546</v>
      </c>
      <c r="C535">
        <v>9834</v>
      </c>
      <c r="D535">
        <v>1527</v>
      </c>
      <c r="E535">
        <v>1717</v>
      </c>
      <c r="F535">
        <v>57.93</v>
      </c>
      <c r="G535">
        <v>88237</v>
      </c>
      <c r="H535">
        <v>43111</v>
      </c>
      <c r="I535">
        <v>6.46</v>
      </c>
      <c r="J535" t="s">
        <v>42</v>
      </c>
      <c r="K535" t="s">
        <v>1605</v>
      </c>
      <c r="L535" s="25">
        <v>5.4224537037037036E-2</v>
      </c>
      <c r="M535">
        <v>0.57930000000000004</v>
      </c>
      <c r="N535">
        <v>6.4600000000000005E-2</v>
      </c>
      <c r="O535">
        <v>13078</v>
      </c>
      <c r="P535">
        <v>0.30335645194961841</v>
      </c>
      <c r="Q535" t="s">
        <v>1238</v>
      </c>
      <c r="R535" t="s">
        <v>1239</v>
      </c>
      <c r="S535" t="s">
        <v>1231</v>
      </c>
      <c r="T535">
        <v>3</v>
      </c>
    </row>
    <row r="536" spans="1:20" x14ac:dyDescent="0.3">
      <c r="A536" t="s">
        <v>548</v>
      </c>
      <c r="B536" t="s">
        <v>549</v>
      </c>
      <c r="C536">
        <v>2275</v>
      </c>
      <c r="D536">
        <v>4517</v>
      </c>
      <c r="E536">
        <v>107</v>
      </c>
      <c r="F536">
        <v>19.850000000000001</v>
      </c>
      <c r="G536">
        <v>88270</v>
      </c>
      <c r="H536">
        <v>50618</v>
      </c>
      <c r="I536">
        <v>4.18</v>
      </c>
      <c r="J536" t="s">
        <v>20</v>
      </c>
      <c r="K536" t="s">
        <v>1649</v>
      </c>
      <c r="L536" s="25">
        <v>0.60721064814814818</v>
      </c>
      <c r="M536">
        <v>0.19850000000000001</v>
      </c>
      <c r="N536">
        <v>4.1799999999999997E-2</v>
      </c>
      <c r="O536">
        <v>6899</v>
      </c>
      <c r="P536">
        <v>0.13629538899205815</v>
      </c>
      <c r="Q536" t="s">
        <v>1238</v>
      </c>
      <c r="R536" t="s">
        <v>1239</v>
      </c>
      <c r="S536" t="s">
        <v>1230</v>
      </c>
      <c r="T536">
        <v>3</v>
      </c>
    </row>
    <row r="537" spans="1:20" x14ac:dyDescent="0.3">
      <c r="A537" t="s">
        <v>548</v>
      </c>
      <c r="B537" t="s">
        <v>549</v>
      </c>
      <c r="C537">
        <v>2275</v>
      </c>
      <c r="D537">
        <v>4517</v>
      </c>
      <c r="E537">
        <v>107</v>
      </c>
      <c r="F537">
        <v>19.850000000000001</v>
      </c>
      <c r="G537">
        <v>88270</v>
      </c>
      <c r="H537">
        <v>50618</v>
      </c>
      <c r="I537">
        <v>4.18</v>
      </c>
      <c r="J537" t="s">
        <v>20</v>
      </c>
      <c r="K537" t="s">
        <v>1335</v>
      </c>
      <c r="L537" s="25">
        <v>0.60721064814814818</v>
      </c>
      <c r="M537">
        <v>0.19850000000000001</v>
      </c>
      <c r="N537">
        <v>4.1799999999999997E-2</v>
      </c>
      <c r="O537">
        <v>6899</v>
      </c>
      <c r="P537">
        <v>0.13629538899205815</v>
      </c>
      <c r="Q537" t="s">
        <v>1238</v>
      </c>
      <c r="R537" t="s">
        <v>1239</v>
      </c>
      <c r="S537" t="s">
        <v>1230</v>
      </c>
      <c r="T537">
        <v>3</v>
      </c>
    </row>
    <row r="538" spans="1:20" x14ac:dyDescent="0.3">
      <c r="A538" t="s">
        <v>548</v>
      </c>
      <c r="B538" t="s">
        <v>549</v>
      </c>
      <c r="C538">
        <v>2275</v>
      </c>
      <c r="D538">
        <v>4517</v>
      </c>
      <c r="E538">
        <v>107</v>
      </c>
      <c r="F538">
        <v>19.850000000000001</v>
      </c>
      <c r="G538">
        <v>88270</v>
      </c>
      <c r="H538">
        <v>50618</v>
      </c>
      <c r="I538">
        <v>4.18</v>
      </c>
      <c r="J538" t="s">
        <v>20</v>
      </c>
      <c r="K538" t="s">
        <v>1650</v>
      </c>
      <c r="L538" s="25">
        <v>0.60721064814814818</v>
      </c>
      <c r="M538">
        <v>0.19850000000000001</v>
      </c>
      <c r="N538">
        <v>4.1799999999999997E-2</v>
      </c>
      <c r="O538">
        <v>6899</v>
      </c>
      <c r="P538">
        <v>0.13629538899205815</v>
      </c>
      <c r="Q538" t="s">
        <v>1238</v>
      </c>
      <c r="R538" t="s">
        <v>1239</v>
      </c>
      <c r="S538" t="s">
        <v>1230</v>
      </c>
      <c r="T538">
        <v>3</v>
      </c>
    </row>
    <row r="539" spans="1:20" x14ac:dyDescent="0.3">
      <c r="A539" t="s">
        <v>551</v>
      </c>
      <c r="B539" t="s">
        <v>552</v>
      </c>
      <c r="C539">
        <v>3578</v>
      </c>
      <c r="D539">
        <v>4611</v>
      </c>
      <c r="E539">
        <v>211</v>
      </c>
      <c r="F539">
        <v>57.66</v>
      </c>
      <c r="G539">
        <v>93513</v>
      </c>
      <c r="H539">
        <v>48975</v>
      </c>
      <c r="I539">
        <v>9.85</v>
      </c>
      <c r="J539" t="s">
        <v>12</v>
      </c>
      <c r="K539" t="s">
        <v>1651</v>
      </c>
      <c r="L539" s="25">
        <v>0.71065972222222218</v>
      </c>
      <c r="M539">
        <v>0.5766</v>
      </c>
      <c r="N539">
        <v>9.849999999999999E-2</v>
      </c>
      <c r="O539">
        <v>8400</v>
      </c>
      <c r="P539">
        <v>0.17151607963246554</v>
      </c>
      <c r="Q539" t="s">
        <v>1238</v>
      </c>
      <c r="R539" t="s">
        <v>1239</v>
      </c>
      <c r="S539" t="s">
        <v>1232</v>
      </c>
      <c r="T539">
        <v>3</v>
      </c>
    </row>
    <row r="540" spans="1:20" x14ac:dyDescent="0.3">
      <c r="A540" t="s">
        <v>551</v>
      </c>
      <c r="B540" t="s">
        <v>552</v>
      </c>
      <c r="C540">
        <v>3578</v>
      </c>
      <c r="D540">
        <v>4611</v>
      </c>
      <c r="E540">
        <v>211</v>
      </c>
      <c r="F540">
        <v>57.66</v>
      </c>
      <c r="G540">
        <v>93513</v>
      </c>
      <c r="H540">
        <v>48975</v>
      </c>
      <c r="I540">
        <v>9.85</v>
      </c>
      <c r="J540" t="s">
        <v>12</v>
      </c>
      <c r="K540" t="s">
        <v>1652</v>
      </c>
      <c r="L540" s="25">
        <v>0.71065972222222218</v>
      </c>
      <c r="M540">
        <v>0.5766</v>
      </c>
      <c r="N540">
        <v>9.849999999999999E-2</v>
      </c>
      <c r="O540">
        <v>8400</v>
      </c>
      <c r="P540">
        <v>0.17151607963246554</v>
      </c>
      <c r="Q540" t="s">
        <v>1238</v>
      </c>
      <c r="R540" t="s">
        <v>1239</v>
      </c>
      <c r="S540" t="s">
        <v>1232</v>
      </c>
      <c r="T540">
        <v>3</v>
      </c>
    </row>
    <row r="541" spans="1:20" x14ac:dyDescent="0.3">
      <c r="A541" t="s">
        <v>551</v>
      </c>
      <c r="B541" t="s">
        <v>552</v>
      </c>
      <c r="C541">
        <v>3578</v>
      </c>
      <c r="D541">
        <v>4611</v>
      </c>
      <c r="E541">
        <v>211</v>
      </c>
      <c r="F541">
        <v>57.66</v>
      </c>
      <c r="G541">
        <v>93513</v>
      </c>
      <c r="H541">
        <v>48975</v>
      </c>
      <c r="I541">
        <v>9.85</v>
      </c>
      <c r="J541" t="s">
        <v>12</v>
      </c>
      <c r="K541" t="s">
        <v>1653</v>
      </c>
      <c r="L541" s="25">
        <v>0.71065972222222218</v>
      </c>
      <c r="M541">
        <v>0.5766</v>
      </c>
      <c r="N541">
        <v>9.849999999999999E-2</v>
      </c>
      <c r="O541">
        <v>8400</v>
      </c>
      <c r="P541">
        <v>0.17151607963246554</v>
      </c>
      <c r="Q541" t="s">
        <v>1238</v>
      </c>
      <c r="R541" t="s">
        <v>1239</v>
      </c>
      <c r="S541" t="s">
        <v>1232</v>
      </c>
      <c r="T541">
        <v>3</v>
      </c>
    </row>
    <row r="542" spans="1:20" x14ac:dyDescent="0.3">
      <c r="A542" t="s">
        <v>554</v>
      </c>
      <c r="B542" t="s">
        <v>555</v>
      </c>
      <c r="C542">
        <v>1764</v>
      </c>
      <c r="D542">
        <v>3006</v>
      </c>
      <c r="E542">
        <v>394</v>
      </c>
      <c r="F542">
        <v>5</v>
      </c>
      <c r="G542">
        <v>14284</v>
      </c>
      <c r="H542">
        <v>8486</v>
      </c>
      <c r="I542">
        <v>1.36</v>
      </c>
      <c r="J542" t="s">
        <v>20</v>
      </c>
      <c r="K542" t="s">
        <v>1654</v>
      </c>
      <c r="L542" s="25">
        <v>0.87296296296296294</v>
      </c>
      <c r="M542">
        <v>0.05</v>
      </c>
      <c r="N542">
        <v>1.3600000000000001E-2</v>
      </c>
      <c r="O542">
        <v>5164</v>
      </c>
      <c r="P542">
        <v>0.60853169926938488</v>
      </c>
      <c r="Q542" t="s">
        <v>1238</v>
      </c>
      <c r="R542" t="s">
        <v>1239</v>
      </c>
      <c r="S542" t="s">
        <v>1232</v>
      </c>
      <c r="T542">
        <v>3</v>
      </c>
    </row>
    <row r="543" spans="1:20" x14ac:dyDescent="0.3">
      <c r="A543" t="s">
        <v>554</v>
      </c>
      <c r="B543" t="s">
        <v>555</v>
      </c>
      <c r="C543">
        <v>1764</v>
      </c>
      <c r="D543">
        <v>3006</v>
      </c>
      <c r="E543">
        <v>394</v>
      </c>
      <c r="F543">
        <v>5</v>
      </c>
      <c r="G543">
        <v>14284</v>
      </c>
      <c r="H543">
        <v>8486</v>
      </c>
      <c r="I543">
        <v>1.36</v>
      </c>
      <c r="J543" t="s">
        <v>20</v>
      </c>
      <c r="K543" t="s">
        <v>1655</v>
      </c>
      <c r="L543" s="25">
        <v>0.87296296296296294</v>
      </c>
      <c r="M543">
        <v>0.05</v>
      </c>
      <c r="N543">
        <v>1.3600000000000001E-2</v>
      </c>
      <c r="O543">
        <v>5164</v>
      </c>
      <c r="P543">
        <v>0.60853169926938488</v>
      </c>
      <c r="Q543" t="s">
        <v>1238</v>
      </c>
      <c r="R543" t="s">
        <v>1239</v>
      </c>
      <c r="S543" t="s">
        <v>1232</v>
      </c>
      <c r="T543">
        <v>3</v>
      </c>
    </row>
    <row r="544" spans="1:20" x14ac:dyDescent="0.3">
      <c r="A544" t="s">
        <v>554</v>
      </c>
      <c r="B544" t="s">
        <v>555</v>
      </c>
      <c r="C544">
        <v>1764</v>
      </c>
      <c r="D544">
        <v>3006</v>
      </c>
      <c r="E544">
        <v>394</v>
      </c>
      <c r="F544">
        <v>5</v>
      </c>
      <c r="G544">
        <v>14284</v>
      </c>
      <c r="H544">
        <v>8486</v>
      </c>
      <c r="I544">
        <v>1.36</v>
      </c>
      <c r="J544" t="s">
        <v>20</v>
      </c>
      <c r="K544" t="s">
        <v>1407</v>
      </c>
      <c r="L544" s="25">
        <v>0.87296296296296294</v>
      </c>
      <c r="M544">
        <v>0.05</v>
      </c>
      <c r="N544">
        <v>1.3600000000000001E-2</v>
      </c>
      <c r="O544">
        <v>5164</v>
      </c>
      <c r="P544">
        <v>0.60853169926938488</v>
      </c>
      <c r="Q544" t="s">
        <v>1238</v>
      </c>
      <c r="R544" t="s">
        <v>1239</v>
      </c>
      <c r="S544" t="s">
        <v>1232</v>
      </c>
      <c r="T544">
        <v>3</v>
      </c>
    </row>
    <row r="545" spans="1:20" x14ac:dyDescent="0.3">
      <c r="A545" t="s">
        <v>557</v>
      </c>
      <c r="B545" t="s">
        <v>558</v>
      </c>
      <c r="C545">
        <v>5736</v>
      </c>
      <c r="D545">
        <v>2923</v>
      </c>
      <c r="E545">
        <v>1070</v>
      </c>
      <c r="F545">
        <v>55.76</v>
      </c>
      <c r="G545">
        <v>13046</v>
      </c>
      <c r="H545">
        <v>90568</v>
      </c>
      <c r="I545">
        <v>3.83</v>
      </c>
      <c r="J545" t="s">
        <v>42</v>
      </c>
      <c r="K545" t="s">
        <v>1597</v>
      </c>
      <c r="L545" s="25">
        <v>0.92548611111111112</v>
      </c>
      <c r="M545">
        <v>0.55759999999999998</v>
      </c>
      <c r="N545">
        <v>3.8300000000000001E-2</v>
      </c>
      <c r="O545">
        <v>9729</v>
      </c>
      <c r="P545">
        <v>0.10742204752230368</v>
      </c>
      <c r="Q545" t="s">
        <v>1238</v>
      </c>
      <c r="R545" t="s">
        <v>1239</v>
      </c>
      <c r="S545" t="s">
        <v>1233</v>
      </c>
      <c r="T545">
        <v>3</v>
      </c>
    </row>
    <row r="546" spans="1:20" x14ac:dyDescent="0.3">
      <c r="A546" t="s">
        <v>557</v>
      </c>
      <c r="B546" t="s">
        <v>558</v>
      </c>
      <c r="C546">
        <v>5736</v>
      </c>
      <c r="D546">
        <v>2923</v>
      </c>
      <c r="E546">
        <v>1070</v>
      </c>
      <c r="F546">
        <v>55.76</v>
      </c>
      <c r="G546">
        <v>13046</v>
      </c>
      <c r="H546">
        <v>90568</v>
      </c>
      <c r="I546">
        <v>3.83</v>
      </c>
      <c r="J546" t="s">
        <v>42</v>
      </c>
      <c r="K546" t="s">
        <v>1656</v>
      </c>
      <c r="L546" s="25">
        <v>0.92548611111111112</v>
      </c>
      <c r="M546">
        <v>0.55759999999999998</v>
      </c>
      <c r="N546">
        <v>3.8300000000000001E-2</v>
      </c>
      <c r="O546">
        <v>9729</v>
      </c>
      <c r="P546">
        <v>0.10742204752230368</v>
      </c>
      <c r="Q546" t="s">
        <v>1238</v>
      </c>
      <c r="R546" t="s">
        <v>1239</v>
      </c>
      <c r="S546" t="s">
        <v>1233</v>
      </c>
      <c r="T546">
        <v>3</v>
      </c>
    </row>
    <row r="547" spans="1:20" x14ac:dyDescent="0.3">
      <c r="A547" t="s">
        <v>557</v>
      </c>
      <c r="B547" t="s">
        <v>558</v>
      </c>
      <c r="C547">
        <v>5736</v>
      </c>
      <c r="D547">
        <v>2923</v>
      </c>
      <c r="E547">
        <v>1070</v>
      </c>
      <c r="F547">
        <v>55.76</v>
      </c>
      <c r="G547">
        <v>13046</v>
      </c>
      <c r="H547">
        <v>90568</v>
      </c>
      <c r="I547">
        <v>3.83</v>
      </c>
      <c r="J547" t="s">
        <v>42</v>
      </c>
      <c r="K547" t="s">
        <v>1657</v>
      </c>
      <c r="L547" s="25">
        <v>0.92548611111111112</v>
      </c>
      <c r="M547">
        <v>0.55759999999999998</v>
      </c>
      <c r="N547">
        <v>3.8300000000000001E-2</v>
      </c>
      <c r="O547">
        <v>9729</v>
      </c>
      <c r="P547">
        <v>0.10742204752230368</v>
      </c>
      <c r="Q547" t="s">
        <v>1238</v>
      </c>
      <c r="R547" t="s">
        <v>1239</v>
      </c>
      <c r="S547" t="s">
        <v>1233</v>
      </c>
      <c r="T547">
        <v>3</v>
      </c>
    </row>
    <row r="548" spans="1:20" x14ac:dyDescent="0.3">
      <c r="A548" t="s">
        <v>560</v>
      </c>
      <c r="B548" t="s">
        <v>561</v>
      </c>
      <c r="C548">
        <v>2304</v>
      </c>
      <c r="D548">
        <v>3713</v>
      </c>
      <c r="E548">
        <v>163</v>
      </c>
      <c r="F548">
        <v>42.59</v>
      </c>
      <c r="G548">
        <v>50748</v>
      </c>
      <c r="H548">
        <v>82364</v>
      </c>
      <c r="I548">
        <v>6.9</v>
      </c>
      <c r="J548" t="s">
        <v>12</v>
      </c>
      <c r="K548" t="s">
        <v>1658</v>
      </c>
      <c r="L548" s="25">
        <v>0.47790509259259262</v>
      </c>
      <c r="M548">
        <v>0.42590000000000006</v>
      </c>
      <c r="N548">
        <v>6.9000000000000006E-2</v>
      </c>
      <c r="O548">
        <v>6180</v>
      </c>
      <c r="P548">
        <v>7.5032781312223781E-2</v>
      </c>
      <c r="Q548" t="s">
        <v>1238</v>
      </c>
      <c r="R548" t="s">
        <v>1239</v>
      </c>
      <c r="S548" t="s">
        <v>1231</v>
      </c>
      <c r="T548">
        <v>3</v>
      </c>
    </row>
    <row r="549" spans="1:20" x14ac:dyDescent="0.3">
      <c r="A549" t="s">
        <v>560</v>
      </c>
      <c r="B549" t="s">
        <v>561</v>
      </c>
      <c r="C549">
        <v>2304</v>
      </c>
      <c r="D549">
        <v>3713</v>
      </c>
      <c r="E549">
        <v>163</v>
      </c>
      <c r="F549">
        <v>42.59</v>
      </c>
      <c r="G549">
        <v>50748</v>
      </c>
      <c r="H549">
        <v>82364</v>
      </c>
      <c r="I549">
        <v>6.9</v>
      </c>
      <c r="J549" t="s">
        <v>12</v>
      </c>
      <c r="K549" t="s">
        <v>1607</v>
      </c>
      <c r="L549" s="25">
        <v>0.47790509259259262</v>
      </c>
      <c r="M549">
        <v>0.42590000000000006</v>
      </c>
      <c r="N549">
        <v>6.9000000000000006E-2</v>
      </c>
      <c r="O549">
        <v>6180</v>
      </c>
      <c r="P549">
        <v>7.5032781312223781E-2</v>
      </c>
      <c r="Q549" t="s">
        <v>1238</v>
      </c>
      <c r="R549" t="s">
        <v>1239</v>
      </c>
      <c r="S549" t="s">
        <v>1231</v>
      </c>
      <c r="T549">
        <v>3</v>
      </c>
    </row>
    <row r="550" spans="1:20" x14ac:dyDescent="0.3">
      <c r="A550" t="s">
        <v>560</v>
      </c>
      <c r="B550" t="s">
        <v>561</v>
      </c>
      <c r="C550">
        <v>2304</v>
      </c>
      <c r="D550">
        <v>3713</v>
      </c>
      <c r="E550">
        <v>163</v>
      </c>
      <c r="F550">
        <v>42.59</v>
      </c>
      <c r="G550">
        <v>50748</v>
      </c>
      <c r="H550">
        <v>82364</v>
      </c>
      <c r="I550">
        <v>6.9</v>
      </c>
      <c r="J550" t="s">
        <v>12</v>
      </c>
      <c r="K550" t="s">
        <v>1642</v>
      </c>
      <c r="L550" s="25">
        <v>0.47790509259259262</v>
      </c>
      <c r="M550">
        <v>0.42590000000000006</v>
      </c>
      <c r="N550">
        <v>6.9000000000000006E-2</v>
      </c>
      <c r="O550">
        <v>6180</v>
      </c>
      <c r="P550">
        <v>7.5032781312223781E-2</v>
      </c>
      <c r="Q550" t="s">
        <v>1238</v>
      </c>
      <c r="R550" t="s">
        <v>1239</v>
      </c>
      <c r="S550" t="s">
        <v>1231</v>
      </c>
      <c r="T550">
        <v>3</v>
      </c>
    </row>
    <row r="551" spans="1:20" x14ac:dyDescent="0.3">
      <c r="A551" t="s">
        <v>563</v>
      </c>
      <c r="B551" t="s">
        <v>564</v>
      </c>
      <c r="C551">
        <v>3072</v>
      </c>
      <c r="D551">
        <v>4222</v>
      </c>
      <c r="E551">
        <v>567</v>
      </c>
      <c r="F551">
        <v>94.69</v>
      </c>
      <c r="G551">
        <v>46015</v>
      </c>
      <c r="H551">
        <v>54031</v>
      </c>
      <c r="I551">
        <v>9.44</v>
      </c>
      <c r="J551" t="s">
        <v>16</v>
      </c>
      <c r="K551" t="s">
        <v>1332</v>
      </c>
      <c r="L551" s="25">
        <v>0.78377314814814814</v>
      </c>
      <c r="M551">
        <v>0.94689999999999996</v>
      </c>
      <c r="N551">
        <v>9.4399999999999998E-2</v>
      </c>
      <c r="O551">
        <v>7861</v>
      </c>
      <c r="P551">
        <v>0.14549055172030873</v>
      </c>
      <c r="Q551" t="s">
        <v>1238</v>
      </c>
      <c r="R551" t="s">
        <v>1239</v>
      </c>
      <c r="S551" t="s">
        <v>1232</v>
      </c>
      <c r="T551">
        <v>3</v>
      </c>
    </row>
    <row r="552" spans="1:20" x14ac:dyDescent="0.3">
      <c r="A552" t="s">
        <v>563</v>
      </c>
      <c r="B552" t="s">
        <v>564</v>
      </c>
      <c r="C552">
        <v>3072</v>
      </c>
      <c r="D552">
        <v>4222</v>
      </c>
      <c r="E552">
        <v>567</v>
      </c>
      <c r="F552">
        <v>94.69</v>
      </c>
      <c r="G552">
        <v>46015</v>
      </c>
      <c r="H552">
        <v>54031</v>
      </c>
      <c r="I552">
        <v>9.44</v>
      </c>
      <c r="J552" t="s">
        <v>16</v>
      </c>
      <c r="K552" t="s">
        <v>1659</v>
      </c>
      <c r="L552" s="25">
        <v>0.78377314814814814</v>
      </c>
      <c r="M552">
        <v>0.94689999999999996</v>
      </c>
      <c r="N552">
        <v>9.4399999999999998E-2</v>
      </c>
      <c r="O552">
        <v>7861</v>
      </c>
      <c r="P552">
        <v>0.14549055172030873</v>
      </c>
      <c r="Q552" t="s">
        <v>1238</v>
      </c>
      <c r="R552" t="s">
        <v>1239</v>
      </c>
      <c r="S552" t="s">
        <v>1232</v>
      </c>
      <c r="T552">
        <v>3</v>
      </c>
    </row>
    <row r="553" spans="1:20" x14ac:dyDescent="0.3">
      <c r="A553" t="s">
        <v>563</v>
      </c>
      <c r="B553" t="s">
        <v>564</v>
      </c>
      <c r="C553">
        <v>3072</v>
      </c>
      <c r="D553">
        <v>4222</v>
      </c>
      <c r="E553">
        <v>567</v>
      </c>
      <c r="F553">
        <v>94.69</v>
      </c>
      <c r="G553">
        <v>46015</v>
      </c>
      <c r="H553">
        <v>54031</v>
      </c>
      <c r="I553">
        <v>9.44</v>
      </c>
      <c r="J553" t="s">
        <v>16</v>
      </c>
      <c r="K553" t="s">
        <v>1535</v>
      </c>
      <c r="L553" s="25">
        <v>0.78377314814814814</v>
      </c>
      <c r="M553">
        <v>0.94689999999999996</v>
      </c>
      <c r="N553">
        <v>9.4399999999999998E-2</v>
      </c>
      <c r="O553">
        <v>7861</v>
      </c>
      <c r="P553">
        <v>0.14549055172030873</v>
      </c>
      <c r="Q553" t="s">
        <v>1238</v>
      </c>
      <c r="R553" t="s">
        <v>1239</v>
      </c>
      <c r="S553" t="s">
        <v>1232</v>
      </c>
      <c r="T553">
        <v>3</v>
      </c>
    </row>
    <row r="554" spans="1:20" x14ac:dyDescent="0.3">
      <c r="A554" t="s">
        <v>566</v>
      </c>
      <c r="B554" t="s">
        <v>567</v>
      </c>
      <c r="C554">
        <v>8757</v>
      </c>
      <c r="D554">
        <v>2390</v>
      </c>
      <c r="E554">
        <v>462</v>
      </c>
      <c r="F554">
        <v>68.16</v>
      </c>
      <c r="G554">
        <v>93200</v>
      </c>
      <c r="H554">
        <v>42937</v>
      </c>
      <c r="I554">
        <v>2.0299999999999998</v>
      </c>
      <c r="J554" t="s">
        <v>12</v>
      </c>
      <c r="K554" t="s">
        <v>1621</v>
      </c>
      <c r="L554" s="25">
        <v>0.37649305555555557</v>
      </c>
      <c r="M554">
        <v>0.68159999999999998</v>
      </c>
      <c r="N554">
        <v>2.0299999999999999E-2</v>
      </c>
      <c r="O554">
        <v>11609</v>
      </c>
      <c r="P554">
        <v>0.27037287188205977</v>
      </c>
      <c r="Q554" t="s">
        <v>1238</v>
      </c>
      <c r="R554" t="s">
        <v>1239</v>
      </c>
      <c r="S554" t="s">
        <v>1231</v>
      </c>
      <c r="T554">
        <v>3</v>
      </c>
    </row>
    <row r="555" spans="1:20" x14ac:dyDescent="0.3">
      <c r="A555" t="s">
        <v>566</v>
      </c>
      <c r="B555" t="s">
        <v>567</v>
      </c>
      <c r="C555">
        <v>8757</v>
      </c>
      <c r="D555">
        <v>2390</v>
      </c>
      <c r="E555">
        <v>462</v>
      </c>
      <c r="F555">
        <v>68.16</v>
      </c>
      <c r="G555">
        <v>93200</v>
      </c>
      <c r="H555">
        <v>42937</v>
      </c>
      <c r="I555">
        <v>2.0299999999999998</v>
      </c>
      <c r="J555" t="s">
        <v>12</v>
      </c>
      <c r="K555" t="s">
        <v>1660</v>
      </c>
      <c r="L555" s="25">
        <v>0.37649305555555557</v>
      </c>
      <c r="M555">
        <v>0.68159999999999998</v>
      </c>
      <c r="N555">
        <v>2.0299999999999999E-2</v>
      </c>
      <c r="O555">
        <v>11609</v>
      </c>
      <c r="P555">
        <v>0.27037287188205977</v>
      </c>
      <c r="Q555" t="s">
        <v>1238</v>
      </c>
      <c r="R555" t="s">
        <v>1239</v>
      </c>
      <c r="S555" t="s">
        <v>1231</v>
      </c>
      <c r="T555">
        <v>3</v>
      </c>
    </row>
    <row r="556" spans="1:20" x14ac:dyDescent="0.3">
      <c r="A556" t="s">
        <v>566</v>
      </c>
      <c r="B556" t="s">
        <v>567</v>
      </c>
      <c r="C556">
        <v>8757</v>
      </c>
      <c r="D556">
        <v>2390</v>
      </c>
      <c r="E556">
        <v>462</v>
      </c>
      <c r="F556">
        <v>68.16</v>
      </c>
      <c r="G556">
        <v>93200</v>
      </c>
      <c r="H556">
        <v>42937</v>
      </c>
      <c r="I556">
        <v>2.0299999999999998</v>
      </c>
      <c r="J556" t="s">
        <v>12</v>
      </c>
      <c r="K556" t="s">
        <v>1268</v>
      </c>
      <c r="L556" s="25">
        <v>0.37649305555555557</v>
      </c>
      <c r="M556">
        <v>0.68159999999999998</v>
      </c>
      <c r="N556">
        <v>2.0299999999999999E-2</v>
      </c>
      <c r="O556">
        <v>11609</v>
      </c>
      <c r="P556">
        <v>0.27037287188205977</v>
      </c>
      <c r="Q556" t="s">
        <v>1238</v>
      </c>
      <c r="R556" t="s">
        <v>1239</v>
      </c>
      <c r="S556" t="s">
        <v>1231</v>
      </c>
      <c r="T556">
        <v>3</v>
      </c>
    </row>
    <row r="557" spans="1:20" x14ac:dyDescent="0.3">
      <c r="A557" t="s">
        <v>569</v>
      </c>
      <c r="B557" t="s">
        <v>570</v>
      </c>
      <c r="C557">
        <v>2030</v>
      </c>
      <c r="D557">
        <v>4810</v>
      </c>
      <c r="E557">
        <v>1993</v>
      </c>
      <c r="F557">
        <v>80.89</v>
      </c>
      <c r="G557">
        <v>16456</v>
      </c>
      <c r="H557">
        <v>98888</v>
      </c>
      <c r="I557">
        <v>2.0299999999999998</v>
      </c>
      <c r="J557" t="s">
        <v>12</v>
      </c>
      <c r="K557" t="s">
        <v>1486</v>
      </c>
      <c r="L557" s="25">
        <v>0.74035879629629631</v>
      </c>
      <c r="M557">
        <v>0.80889999999999995</v>
      </c>
      <c r="N557">
        <v>2.0299999999999999E-2</v>
      </c>
      <c r="O557">
        <v>8833</v>
      </c>
      <c r="P557">
        <v>8.9323274815953396E-2</v>
      </c>
      <c r="Q557" t="s">
        <v>1238</v>
      </c>
      <c r="R557" t="s">
        <v>1239</v>
      </c>
      <c r="S557" t="s">
        <v>1232</v>
      </c>
      <c r="T557">
        <v>3</v>
      </c>
    </row>
    <row r="558" spans="1:20" x14ac:dyDescent="0.3">
      <c r="A558" t="s">
        <v>569</v>
      </c>
      <c r="B558" t="s">
        <v>570</v>
      </c>
      <c r="C558">
        <v>2030</v>
      </c>
      <c r="D558">
        <v>4810</v>
      </c>
      <c r="E558">
        <v>1993</v>
      </c>
      <c r="F558">
        <v>80.89</v>
      </c>
      <c r="G558">
        <v>16456</v>
      </c>
      <c r="H558">
        <v>98888</v>
      </c>
      <c r="I558">
        <v>2.0299999999999998</v>
      </c>
      <c r="J558" t="s">
        <v>12</v>
      </c>
      <c r="K558" t="s">
        <v>1428</v>
      </c>
      <c r="L558" s="25">
        <v>0.74035879629629631</v>
      </c>
      <c r="M558">
        <v>0.80889999999999995</v>
      </c>
      <c r="N558">
        <v>2.0299999999999999E-2</v>
      </c>
      <c r="O558">
        <v>8833</v>
      </c>
      <c r="P558">
        <v>8.9323274815953396E-2</v>
      </c>
      <c r="Q558" t="s">
        <v>1238</v>
      </c>
      <c r="R558" t="s">
        <v>1239</v>
      </c>
      <c r="S558" t="s">
        <v>1232</v>
      </c>
      <c r="T558">
        <v>3</v>
      </c>
    </row>
    <row r="559" spans="1:20" x14ac:dyDescent="0.3">
      <c r="A559" t="s">
        <v>569</v>
      </c>
      <c r="B559" t="s">
        <v>570</v>
      </c>
      <c r="C559">
        <v>2030</v>
      </c>
      <c r="D559">
        <v>4810</v>
      </c>
      <c r="E559">
        <v>1993</v>
      </c>
      <c r="F559">
        <v>80.89</v>
      </c>
      <c r="G559">
        <v>16456</v>
      </c>
      <c r="H559">
        <v>98888</v>
      </c>
      <c r="I559">
        <v>2.0299999999999998</v>
      </c>
      <c r="J559" t="s">
        <v>12</v>
      </c>
      <c r="K559" t="s">
        <v>1433</v>
      </c>
      <c r="L559" s="25">
        <v>0.74035879629629631</v>
      </c>
      <c r="M559">
        <v>0.80889999999999995</v>
      </c>
      <c r="N559">
        <v>2.0299999999999999E-2</v>
      </c>
      <c r="O559">
        <v>8833</v>
      </c>
      <c r="P559">
        <v>8.9323274815953396E-2</v>
      </c>
      <c r="Q559" t="s">
        <v>1238</v>
      </c>
      <c r="R559" t="s">
        <v>1239</v>
      </c>
      <c r="S559" t="s">
        <v>1232</v>
      </c>
      <c r="T559">
        <v>3</v>
      </c>
    </row>
    <row r="560" spans="1:20" x14ac:dyDescent="0.3">
      <c r="A560" t="s">
        <v>572</v>
      </c>
      <c r="B560" t="s">
        <v>573</v>
      </c>
      <c r="C560">
        <v>1052</v>
      </c>
      <c r="D560">
        <v>3208</v>
      </c>
      <c r="E560">
        <v>664</v>
      </c>
      <c r="F560">
        <v>5.36</v>
      </c>
      <c r="G560">
        <v>53452</v>
      </c>
      <c r="H560">
        <v>78338</v>
      </c>
      <c r="I560">
        <v>2.38</v>
      </c>
      <c r="J560" t="s">
        <v>16</v>
      </c>
      <c r="K560" t="s">
        <v>1463</v>
      </c>
      <c r="L560" s="25">
        <v>0.58349537037037036</v>
      </c>
      <c r="M560">
        <v>5.3600000000000002E-2</v>
      </c>
      <c r="N560">
        <v>2.3799999999999998E-2</v>
      </c>
      <c r="O560">
        <v>4924</v>
      </c>
      <c r="P560">
        <v>6.2855829865454821E-2</v>
      </c>
      <c r="Q560" t="s">
        <v>1238</v>
      </c>
      <c r="R560" t="s">
        <v>1239</v>
      </c>
      <c r="S560" t="s">
        <v>1230</v>
      </c>
      <c r="T560">
        <v>3</v>
      </c>
    </row>
    <row r="561" spans="1:20" x14ac:dyDescent="0.3">
      <c r="A561" t="s">
        <v>572</v>
      </c>
      <c r="B561" t="s">
        <v>573</v>
      </c>
      <c r="C561">
        <v>1052</v>
      </c>
      <c r="D561">
        <v>3208</v>
      </c>
      <c r="E561">
        <v>664</v>
      </c>
      <c r="F561">
        <v>5.36</v>
      </c>
      <c r="G561">
        <v>53452</v>
      </c>
      <c r="H561">
        <v>78338</v>
      </c>
      <c r="I561">
        <v>2.38</v>
      </c>
      <c r="J561" t="s">
        <v>16</v>
      </c>
      <c r="K561" t="s">
        <v>1492</v>
      </c>
      <c r="L561" s="25">
        <v>0.58349537037037036</v>
      </c>
      <c r="M561">
        <v>5.3600000000000002E-2</v>
      </c>
      <c r="N561">
        <v>2.3799999999999998E-2</v>
      </c>
      <c r="O561">
        <v>4924</v>
      </c>
      <c r="P561">
        <v>6.2855829865454821E-2</v>
      </c>
      <c r="Q561" t="s">
        <v>1238</v>
      </c>
      <c r="R561" t="s">
        <v>1239</v>
      </c>
      <c r="S561" t="s">
        <v>1230</v>
      </c>
      <c r="T561">
        <v>3</v>
      </c>
    </row>
    <row r="562" spans="1:20" x14ac:dyDescent="0.3">
      <c r="A562" t="s">
        <v>572</v>
      </c>
      <c r="B562" t="s">
        <v>573</v>
      </c>
      <c r="C562">
        <v>1052</v>
      </c>
      <c r="D562">
        <v>3208</v>
      </c>
      <c r="E562">
        <v>664</v>
      </c>
      <c r="F562">
        <v>5.36</v>
      </c>
      <c r="G562">
        <v>53452</v>
      </c>
      <c r="H562">
        <v>78338</v>
      </c>
      <c r="I562">
        <v>2.38</v>
      </c>
      <c r="J562" t="s">
        <v>16</v>
      </c>
      <c r="K562" t="s">
        <v>1661</v>
      </c>
      <c r="L562" s="25">
        <v>0.58349537037037036</v>
      </c>
      <c r="M562">
        <v>5.3600000000000002E-2</v>
      </c>
      <c r="N562">
        <v>2.3799999999999998E-2</v>
      </c>
      <c r="O562">
        <v>4924</v>
      </c>
      <c r="P562">
        <v>6.2855829865454821E-2</v>
      </c>
      <c r="Q562" t="s">
        <v>1238</v>
      </c>
      <c r="R562" t="s">
        <v>1239</v>
      </c>
      <c r="S562" t="s">
        <v>1230</v>
      </c>
      <c r="T562">
        <v>3</v>
      </c>
    </row>
    <row r="563" spans="1:20" x14ac:dyDescent="0.3">
      <c r="A563" t="s">
        <v>575</v>
      </c>
      <c r="B563" t="s">
        <v>576</v>
      </c>
      <c r="C563">
        <v>2032</v>
      </c>
      <c r="D563">
        <v>130</v>
      </c>
      <c r="E563">
        <v>417</v>
      </c>
      <c r="F563">
        <v>31.22</v>
      </c>
      <c r="G563">
        <v>9246</v>
      </c>
      <c r="H563">
        <v>86186</v>
      </c>
      <c r="I563">
        <v>1.94</v>
      </c>
      <c r="J563" t="s">
        <v>16</v>
      </c>
      <c r="K563" t="s">
        <v>1662</v>
      </c>
      <c r="L563" s="25">
        <v>0.40188657407407408</v>
      </c>
      <c r="M563">
        <v>0.31219999999999998</v>
      </c>
      <c r="N563">
        <v>1.9400000000000001E-2</v>
      </c>
      <c r="O563">
        <v>2579</v>
      </c>
      <c r="P563">
        <v>2.9923653493606851E-2</v>
      </c>
      <c r="Q563" t="s">
        <v>1238</v>
      </c>
      <c r="R563" t="s">
        <v>1239</v>
      </c>
      <c r="S563" t="s">
        <v>1231</v>
      </c>
      <c r="T563">
        <v>3</v>
      </c>
    </row>
    <row r="564" spans="1:20" x14ac:dyDescent="0.3">
      <c r="A564" t="s">
        <v>575</v>
      </c>
      <c r="B564" t="s">
        <v>576</v>
      </c>
      <c r="C564">
        <v>2032</v>
      </c>
      <c r="D564">
        <v>130</v>
      </c>
      <c r="E564">
        <v>417</v>
      </c>
      <c r="F564">
        <v>31.22</v>
      </c>
      <c r="G564">
        <v>9246</v>
      </c>
      <c r="H564">
        <v>86186</v>
      </c>
      <c r="I564">
        <v>1.94</v>
      </c>
      <c r="J564" t="s">
        <v>16</v>
      </c>
      <c r="K564" t="s">
        <v>1663</v>
      </c>
      <c r="L564" s="25">
        <v>0.40188657407407408</v>
      </c>
      <c r="M564">
        <v>0.31219999999999998</v>
      </c>
      <c r="N564">
        <v>1.9400000000000001E-2</v>
      </c>
      <c r="O564">
        <v>2579</v>
      </c>
      <c r="P564">
        <v>2.9923653493606851E-2</v>
      </c>
      <c r="Q564" t="s">
        <v>1238</v>
      </c>
      <c r="R564" t="s">
        <v>1239</v>
      </c>
      <c r="S564" t="s">
        <v>1231</v>
      </c>
      <c r="T564">
        <v>3</v>
      </c>
    </row>
    <row r="565" spans="1:20" x14ac:dyDescent="0.3">
      <c r="A565" t="s">
        <v>575</v>
      </c>
      <c r="B565" t="s">
        <v>576</v>
      </c>
      <c r="C565">
        <v>2032</v>
      </c>
      <c r="D565">
        <v>130</v>
      </c>
      <c r="E565">
        <v>417</v>
      </c>
      <c r="F565">
        <v>31.22</v>
      </c>
      <c r="G565">
        <v>9246</v>
      </c>
      <c r="H565">
        <v>86186</v>
      </c>
      <c r="I565">
        <v>1.94</v>
      </c>
      <c r="J565" t="s">
        <v>16</v>
      </c>
      <c r="K565" t="s">
        <v>1664</v>
      </c>
      <c r="L565" s="25">
        <v>0.40188657407407408</v>
      </c>
      <c r="M565">
        <v>0.31219999999999998</v>
      </c>
      <c r="N565">
        <v>1.9400000000000001E-2</v>
      </c>
      <c r="O565">
        <v>2579</v>
      </c>
      <c r="P565">
        <v>2.9923653493606851E-2</v>
      </c>
      <c r="Q565" t="s">
        <v>1238</v>
      </c>
      <c r="R565" t="s">
        <v>1239</v>
      </c>
      <c r="S565" t="s">
        <v>1231</v>
      </c>
      <c r="T565">
        <v>3</v>
      </c>
    </row>
    <row r="566" spans="1:20" x14ac:dyDescent="0.3">
      <c r="A566" t="s">
        <v>578</v>
      </c>
      <c r="B566" t="s">
        <v>579</v>
      </c>
      <c r="C566">
        <v>9473</v>
      </c>
      <c r="D566">
        <v>3773</v>
      </c>
      <c r="E566">
        <v>1661</v>
      </c>
      <c r="F566">
        <v>84.09</v>
      </c>
      <c r="G566">
        <v>40671</v>
      </c>
      <c r="H566">
        <v>59320</v>
      </c>
      <c r="I566">
        <v>4.8899999999999997</v>
      </c>
      <c r="J566" t="s">
        <v>20</v>
      </c>
      <c r="K566" t="s">
        <v>1665</v>
      </c>
      <c r="L566" s="25">
        <v>0.79626157407407405</v>
      </c>
      <c r="M566">
        <v>0.84089999999999998</v>
      </c>
      <c r="N566">
        <v>4.8899999999999999E-2</v>
      </c>
      <c r="O566">
        <v>14907</v>
      </c>
      <c r="P566">
        <v>0.25129804450438303</v>
      </c>
      <c r="Q566" t="s">
        <v>1238</v>
      </c>
      <c r="R566" t="s">
        <v>1239</v>
      </c>
      <c r="S566" t="s">
        <v>1232</v>
      </c>
      <c r="T566">
        <v>3</v>
      </c>
    </row>
    <row r="567" spans="1:20" x14ac:dyDescent="0.3">
      <c r="A567" t="s">
        <v>578</v>
      </c>
      <c r="B567" t="s">
        <v>579</v>
      </c>
      <c r="C567">
        <v>9473</v>
      </c>
      <c r="D567">
        <v>3773</v>
      </c>
      <c r="E567">
        <v>1661</v>
      </c>
      <c r="F567">
        <v>84.09</v>
      </c>
      <c r="G567">
        <v>40671</v>
      </c>
      <c r="H567">
        <v>59320</v>
      </c>
      <c r="I567">
        <v>4.8899999999999997</v>
      </c>
      <c r="J567" t="s">
        <v>20</v>
      </c>
      <c r="K567" t="s">
        <v>1464</v>
      </c>
      <c r="L567" s="25">
        <v>0.79626157407407405</v>
      </c>
      <c r="M567">
        <v>0.84089999999999998</v>
      </c>
      <c r="N567">
        <v>4.8899999999999999E-2</v>
      </c>
      <c r="O567">
        <v>14907</v>
      </c>
      <c r="P567">
        <v>0.25129804450438303</v>
      </c>
      <c r="Q567" t="s">
        <v>1238</v>
      </c>
      <c r="R567" t="s">
        <v>1239</v>
      </c>
      <c r="S567" t="s">
        <v>1232</v>
      </c>
      <c r="T567">
        <v>3</v>
      </c>
    </row>
    <row r="568" spans="1:20" x14ac:dyDescent="0.3">
      <c r="A568" t="s">
        <v>578</v>
      </c>
      <c r="B568" t="s">
        <v>579</v>
      </c>
      <c r="C568">
        <v>9473</v>
      </c>
      <c r="D568">
        <v>3773</v>
      </c>
      <c r="E568">
        <v>1661</v>
      </c>
      <c r="F568">
        <v>84.09</v>
      </c>
      <c r="G568">
        <v>40671</v>
      </c>
      <c r="H568">
        <v>59320</v>
      </c>
      <c r="I568">
        <v>4.8899999999999997</v>
      </c>
      <c r="J568" t="s">
        <v>20</v>
      </c>
      <c r="K568" t="s">
        <v>1606</v>
      </c>
      <c r="L568" s="25">
        <v>0.79626157407407405</v>
      </c>
      <c r="M568">
        <v>0.84089999999999998</v>
      </c>
      <c r="N568">
        <v>4.8899999999999999E-2</v>
      </c>
      <c r="O568">
        <v>14907</v>
      </c>
      <c r="P568">
        <v>0.25129804450438303</v>
      </c>
      <c r="Q568" t="s">
        <v>1238</v>
      </c>
      <c r="R568" t="s">
        <v>1239</v>
      </c>
      <c r="S568" t="s">
        <v>1232</v>
      </c>
      <c r="T568">
        <v>3</v>
      </c>
    </row>
    <row r="569" spans="1:20" x14ac:dyDescent="0.3">
      <c r="A569" t="s">
        <v>581</v>
      </c>
      <c r="B569" t="s">
        <v>582</v>
      </c>
      <c r="C569">
        <v>3893</v>
      </c>
      <c r="D569">
        <v>3518</v>
      </c>
      <c r="E569">
        <v>1</v>
      </c>
      <c r="F569">
        <v>4.12</v>
      </c>
      <c r="G569">
        <v>85312</v>
      </c>
      <c r="H569">
        <v>73585</v>
      </c>
      <c r="I569">
        <v>3.89</v>
      </c>
      <c r="J569" t="s">
        <v>16</v>
      </c>
      <c r="K569" t="s">
        <v>1666</v>
      </c>
      <c r="L569" s="25">
        <v>0.47996527777777775</v>
      </c>
      <c r="M569">
        <v>4.1200000000000001E-2</v>
      </c>
      <c r="N569">
        <v>3.8900000000000004E-2</v>
      </c>
      <c r="O569">
        <v>7412</v>
      </c>
      <c r="P569">
        <v>0.10072705034993545</v>
      </c>
      <c r="Q569" t="s">
        <v>1238</v>
      </c>
      <c r="R569" t="s">
        <v>1239</v>
      </c>
      <c r="S569" t="s">
        <v>1231</v>
      </c>
      <c r="T569">
        <v>3</v>
      </c>
    </row>
    <row r="570" spans="1:20" x14ac:dyDescent="0.3">
      <c r="A570" t="s">
        <v>581</v>
      </c>
      <c r="B570" t="s">
        <v>582</v>
      </c>
      <c r="C570">
        <v>3893</v>
      </c>
      <c r="D570">
        <v>3518</v>
      </c>
      <c r="E570">
        <v>1</v>
      </c>
      <c r="F570">
        <v>4.12</v>
      </c>
      <c r="G570">
        <v>85312</v>
      </c>
      <c r="H570">
        <v>73585</v>
      </c>
      <c r="I570">
        <v>3.89</v>
      </c>
      <c r="J570" t="s">
        <v>16</v>
      </c>
      <c r="K570" t="s">
        <v>1667</v>
      </c>
      <c r="L570" s="25">
        <v>0.47996527777777775</v>
      </c>
      <c r="M570">
        <v>4.1200000000000001E-2</v>
      </c>
      <c r="N570">
        <v>3.8900000000000004E-2</v>
      </c>
      <c r="O570">
        <v>7412</v>
      </c>
      <c r="P570">
        <v>0.10072705034993545</v>
      </c>
      <c r="Q570" t="s">
        <v>1238</v>
      </c>
      <c r="R570" t="s">
        <v>1239</v>
      </c>
      <c r="S570" t="s">
        <v>1231</v>
      </c>
      <c r="T570">
        <v>3</v>
      </c>
    </row>
    <row r="571" spans="1:20" x14ac:dyDescent="0.3">
      <c r="A571" t="s">
        <v>581</v>
      </c>
      <c r="B571" t="s">
        <v>582</v>
      </c>
      <c r="C571">
        <v>3893</v>
      </c>
      <c r="D571">
        <v>3518</v>
      </c>
      <c r="E571">
        <v>1</v>
      </c>
      <c r="F571">
        <v>4.12</v>
      </c>
      <c r="G571">
        <v>85312</v>
      </c>
      <c r="H571">
        <v>73585</v>
      </c>
      <c r="I571">
        <v>3.89</v>
      </c>
      <c r="J571" t="s">
        <v>16</v>
      </c>
      <c r="K571" t="s">
        <v>1668</v>
      </c>
      <c r="L571" s="25">
        <v>0.47996527777777775</v>
      </c>
      <c r="M571">
        <v>4.1200000000000001E-2</v>
      </c>
      <c r="N571">
        <v>3.8900000000000004E-2</v>
      </c>
      <c r="O571">
        <v>7412</v>
      </c>
      <c r="P571">
        <v>0.10072705034993545</v>
      </c>
      <c r="Q571" t="s">
        <v>1238</v>
      </c>
      <c r="R571" t="s">
        <v>1239</v>
      </c>
      <c r="S571" t="s">
        <v>1231</v>
      </c>
      <c r="T571">
        <v>3</v>
      </c>
    </row>
    <row r="572" spans="1:20" x14ac:dyDescent="0.3">
      <c r="A572" t="s">
        <v>584</v>
      </c>
      <c r="B572" t="s">
        <v>585</v>
      </c>
      <c r="C572">
        <v>564</v>
      </c>
      <c r="D572">
        <v>4509</v>
      </c>
      <c r="E572">
        <v>1951</v>
      </c>
      <c r="F572">
        <v>95.5</v>
      </c>
      <c r="G572">
        <v>57302</v>
      </c>
      <c r="H572">
        <v>18254</v>
      </c>
      <c r="I572">
        <v>2.75</v>
      </c>
      <c r="J572" t="s">
        <v>20</v>
      </c>
      <c r="K572" t="s">
        <v>1669</v>
      </c>
      <c r="L572" s="25">
        <v>0.67987268518518518</v>
      </c>
      <c r="M572">
        <v>0.95499999999999996</v>
      </c>
      <c r="N572">
        <v>2.75E-2</v>
      </c>
      <c r="O572">
        <v>7024</v>
      </c>
      <c r="P572">
        <v>0.38479237427413171</v>
      </c>
      <c r="Q572" t="s">
        <v>1238</v>
      </c>
      <c r="R572" t="s">
        <v>1239</v>
      </c>
      <c r="S572" t="s">
        <v>1230</v>
      </c>
      <c r="T572">
        <v>3</v>
      </c>
    </row>
    <row r="573" spans="1:20" x14ac:dyDescent="0.3">
      <c r="A573" t="s">
        <v>584</v>
      </c>
      <c r="B573" t="s">
        <v>585</v>
      </c>
      <c r="C573">
        <v>564</v>
      </c>
      <c r="D573">
        <v>4509</v>
      </c>
      <c r="E573">
        <v>1951</v>
      </c>
      <c r="F573">
        <v>95.5</v>
      </c>
      <c r="G573">
        <v>57302</v>
      </c>
      <c r="H573">
        <v>18254</v>
      </c>
      <c r="I573">
        <v>2.75</v>
      </c>
      <c r="J573" t="s">
        <v>20</v>
      </c>
      <c r="K573" t="s">
        <v>1628</v>
      </c>
      <c r="L573" s="25">
        <v>0.67987268518518518</v>
      </c>
      <c r="M573">
        <v>0.95499999999999996</v>
      </c>
      <c r="N573">
        <v>2.75E-2</v>
      </c>
      <c r="O573">
        <v>7024</v>
      </c>
      <c r="P573">
        <v>0.38479237427413171</v>
      </c>
      <c r="Q573" t="s">
        <v>1238</v>
      </c>
      <c r="R573" t="s">
        <v>1239</v>
      </c>
      <c r="S573" t="s">
        <v>1230</v>
      </c>
      <c r="T573">
        <v>3</v>
      </c>
    </row>
    <row r="574" spans="1:20" x14ac:dyDescent="0.3">
      <c r="A574" t="s">
        <v>584</v>
      </c>
      <c r="B574" t="s">
        <v>585</v>
      </c>
      <c r="C574">
        <v>564</v>
      </c>
      <c r="D574">
        <v>4509</v>
      </c>
      <c r="E574">
        <v>1951</v>
      </c>
      <c r="F574">
        <v>95.5</v>
      </c>
      <c r="G574">
        <v>57302</v>
      </c>
      <c r="H574">
        <v>18254</v>
      </c>
      <c r="I574">
        <v>2.75</v>
      </c>
      <c r="J574" t="s">
        <v>20</v>
      </c>
      <c r="K574" t="s">
        <v>1670</v>
      </c>
      <c r="L574" s="25">
        <v>0.67987268518518518</v>
      </c>
      <c r="M574">
        <v>0.95499999999999996</v>
      </c>
      <c r="N574">
        <v>2.75E-2</v>
      </c>
      <c r="O574">
        <v>7024</v>
      </c>
      <c r="P574">
        <v>0.38479237427413171</v>
      </c>
      <c r="Q574" t="s">
        <v>1238</v>
      </c>
      <c r="R574" t="s">
        <v>1239</v>
      </c>
      <c r="S574" t="s">
        <v>1230</v>
      </c>
      <c r="T574">
        <v>3</v>
      </c>
    </row>
    <row r="575" spans="1:20" x14ac:dyDescent="0.3">
      <c r="A575" t="s">
        <v>587</v>
      </c>
      <c r="B575" t="s">
        <v>588</v>
      </c>
      <c r="C575">
        <v>4774</v>
      </c>
      <c r="D575">
        <v>3385</v>
      </c>
      <c r="E575">
        <v>1098</v>
      </c>
      <c r="F575">
        <v>69.95</v>
      </c>
      <c r="G575">
        <v>1423</v>
      </c>
      <c r="H575">
        <v>25319</v>
      </c>
      <c r="I575">
        <v>9.3699999999999992</v>
      </c>
      <c r="J575" t="s">
        <v>20</v>
      </c>
      <c r="K575" t="s">
        <v>1628</v>
      </c>
      <c r="L575" s="25">
        <v>2.4120370370370372E-2</v>
      </c>
      <c r="M575">
        <v>0.69950000000000001</v>
      </c>
      <c r="N575">
        <v>9.3699999999999992E-2</v>
      </c>
      <c r="O575">
        <v>9257</v>
      </c>
      <c r="P575">
        <v>0.36561475571705043</v>
      </c>
      <c r="Q575" t="s">
        <v>1238</v>
      </c>
      <c r="R575" t="s">
        <v>1239</v>
      </c>
      <c r="S575" t="s">
        <v>1231</v>
      </c>
      <c r="T575">
        <v>3</v>
      </c>
    </row>
    <row r="576" spans="1:20" x14ac:dyDescent="0.3">
      <c r="A576" t="s">
        <v>587</v>
      </c>
      <c r="B576" t="s">
        <v>588</v>
      </c>
      <c r="C576">
        <v>4774</v>
      </c>
      <c r="D576">
        <v>3385</v>
      </c>
      <c r="E576">
        <v>1098</v>
      </c>
      <c r="F576">
        <v>69.95</v>
      </c>
      <c r="G576">
        <v>1423</v>
      </c>
      <c r="H576">
        <v>25319</v>
      </c>
      <c r="I576">
        <v>9.3699999999999992</v>
      </c>
      <c r="J576" t="s">
        <v>20</v>
      </c>
      <c r="K576" t="s">
        <v>1671</v>
      </c>
      <c r="L576" s="25">
        <v>2.4120370370370372E-2</v>
      </c>
      <c r="M576">
        <v>0.69950000000000001</v>
      </c>
      <c r="N576">
        <v>9.3699999999999992E-2</v>
      </c>
      <c r="O576">
        <v>9257</v>
      </c>
      <c r="P576">
        <v>0.36561475571705043</v>
      </c>
      <c r="Q576" t="s">
        <v>1238</v>
      </c>
      <c r="R576" t="s">
        <v>1239</v>
      </c>
      <c r="S576" t="s">
        <v>1231</v>
      </c>
      <c r="T576">
        <v>3</v>
      </c>
    </row>
    <row r="577" spans="1:20" x14ac:dyDescent="0.3">
      <c r="A577" t="s">
        <v>587</v>
      </c>
      <c r="B577" t="s">
        <v>588</v>
      </c>
      <c r="C577">
        <v>4774</v>
      </c>
      <c r="D577">
        <v>3385</v>
      </c>
      <c r="E577">
        <v>1098</v>
      </c>
      <c r="F577">
        <v>69.95</v>
      </c>
      <c r="G577">
        <v>1423</v>
      </c>
      <c r="H577">
        <v>25319</v>
      </c>
      <c r="I577">
        <v>9.3699999999999992</v>
      </c>
      <c r="J577" t="s">
        <v>20</v>
      </c>
      <c r="K577" t="s">
        <v>1672</v>
      </c>
      <c r="L577" s="25">
        <v>2.4120370370370372E-2</v>
      </c>
      <c r="M577">
        <v>0.69950000000000001</v>
      </c>
      <c r="N577">
        <v>9.3699999999999992E-2</v>
      </c>
      <c r="O577">
        <v>9257</v>
      </c>
      <c r="P577">
        <v>0.36561475571705043</v>
      </c>
      <c r="Q577" t="s">
        <v>1238</v>
      </c>
      <c r="R577" t="s">
        <v>1239</v>
      </c>
      <c r="S577" t="s">
        <v>1231</v>
      </c>
      <c r="T577">
        <v>3</v>
      </c>
    </row>
    <row r="578" spans="1:20" x14ac:dyDescent="0.3">
      <c r="A578" t="s">
        <v>590</v>
      </c>
      <c r="B578" t="s">
        <v>591</v>
      </c>
      <c r="C578">
        <v>8672</v>
      </c>
      <c r="D578">
        <v>3017</v>
      </c>
      <c r="E578">
        <v>1610</v>
      </c>
      <c r="F578">
        <v>66.39</v>
      </c>
      <c r="G578">
        <v>5941</v>
      </c>
      <c r="H578">
        <v>36338</v>
      </c>
      <c r="I578">
        <v>8.68</v>
      </c>
      <c r="J578" t="s">
        <v>16</v>
      </c>
      <c r="K578" t="s">
        <v>1673</v>
      </c>
      <c r="L578" s="25">
        <v>0.37752314814814814</v>
      </c>
      <c r="M578">
        <v>0.66390000000000005</v>
      </c>
      <c r="N578">
        <v>8.6800000000000002E-2</v>
      </c>
      <c r="O578">
        <v>13299</v>
      </c>
      <c r="P578">
        <v>0.3659805162639661</v>
      </c>
      <c r="Q578" t="s">
        <v>1238</v>
      </c>
      <c r="R578" t="s">
        <v>1239</v>
      </c>
      <c r="S578" t="s">
        <v>1231</v>
      </c>
      <c r="T578">
        <v>3</v>
      </c>
    </row>
    <row r="579" spans="1:20" x14ac:dyDescent="0.3">
      <c r="A579" t="s">
        <v>590</v>
      </c>
      <c r="B579" t="s">
        <v>591</v>
      </c>
      <c r="C579">
        <v>8672</v>
      </c>
      <c r="D579">
        <v>3017</v>
      </c>
      <c r="E579">
        <v>1610</v>
      </c>
      <c r="F579">
        <v>66.39</v>
      </c>
      <c r="G579">
        <v>5941</v>
      </c>
      <c r="H579">
        <v>36338</v>
      </c>
      <c r="I579">
        <v>8.68</v>
      </c>
      <c r="J579" t="s">
        <v>16</v>
      </c>
      <c r="K579" t="s">
        <v>1674</v>
      </c>
      <c r="L579" s="25">
        <v>0.37752314814814814</v>
      </c>
      <c r="M579">
        <v>0.66390000000000005</v>
      </c>
      <c r="N579">
        <v>8.6800000000000002E-2</v>
      </c>
      <c r="O579">
        <v>13299</v>
      </c>
      <c r="P579">
        <v>0.3659805162639661</v>
      </c>
      <c r="Q579" t="s">
        <v>1238</v>
      </c>
      <c r="R579" t="s">
        <v>1239</v>
      </c>
      <c r="S579" t="s">
        <v>1231</v>
      </c>
      <c r="T579">
        <v>3</v>
      </c>
    </row>
    <row r="580" spans="1:20" x14ac:dyDescent="0.3">
      <c r="A580" t="s">
        <v>590</v>
      </c>
      <c r="B580" t="s">
        <v>591</v>
      </c>
      <c r="C580">
        <v>8672</v>
      </c>
      <c r="D580">
        <v>3017</v>
      </c>
      <c r="E580">
        <v>1610</v>
      </c>
      <c r="F580">
        <v>66.39</v>
      </c>
      <c r="G580">
        <v>5941</v>
      </c>
      <c r="H580">
        <v>36338</v>
      </c>
      <c r="I580">
        <v>8.68</v>
      </c>
      <c r="J580" t="s">
        <v>16</v>
      </c>
      <c r="K580" t="s">
        <v>1675</v>
      </c>
      <c r="L580" s="25">
        <v>0.37752314814814814</v>
      </c>
      <c r="M580">
        <v>0.66390000000000005</v>
      </c>
      <c r="N580">
        <v>8.6800000000000002E-2</v>
      </c>
      <c r="O580">
        <v>13299</v>
      </c>
      <c r="P580">
        <v>0.3659805162639661</v>
      </c>
      <c r="Q580" t="s">
        <v>1238</v>
      </c>
      <c r="R580" t="s">
        <v>1239</v>
      </c>
      <c r="S580" t="s">
        <v>1231</v>
      </c>
      <c r="T580">
        <v>3</v>
      </c>
    </row>
    <row r="581" spans="1:20" x14ac:dyDescent="0.3">
      <c r="A581" t="s">
        <v>593</v>
      </c>
      <c r="B581" t="s">
        <v>594</v>
      </c>
      <c r="C581">
        <v>7930</v>
      </c>
      <c r="D581">
        <v>4932</v>
      </c>
      <c r="E581">
        <v>174</v>
      </c>
      <c r="F581">
        <v>78.38</v>
      </c>
      <c r="G581">
        <v>81977</v>
      </c>
      <c r="H581">
        <v>3291</v>
      </c>
      <c r="I581">
        <v>8.58</v>
      </c>
      <c r="J581" t="s">
        <v>42</v>
      </c>
      <c r="K581" t="s">
        <v>1269</v>
      </c>
      <c r="L581" s="25">
        <v>0.99962962962962965</v>
      </c>
      <c r="M581">
        <v>0.78379999999999994</v>
      </c>
      <c r="N581">
        <v>8.5800000000000001E-2</v>
      </c>
      <c r="O581">
        <v>13036</v>
      </c>
      <c r="P581">
        <v>1</v>
      </c>
      <c r="Q581" t="s">
        <v>1238</v>
      </c>
      <c r="R581" t="s">
        <v>1239</v>
      </c>
      <c r="S581" t="s">
        <v>1233</v>
      </c>
      <c r="T581">
        <v>3</v>
      </c>
    </row>
    <row r="582" spans="1:20" x14ac:dyDescent="0.3">
      <c r="A582" t="s">
        <v>593</v>
      </c>
      <c r="B582" t="s">
        <v>594</v>
      </c>
      <c r="C582">
        <v>7930</v>
      </c>
      <c r="D582">
        <v>4932</v>
      </c>
      <c r="E582">
        <v>174</v>
      </c>
      <c r="F582">
        <v>78.38</v>
      </c>
      <c r="G582">
        <v>81977</v>
      </c>
      <c r="H582">
        <v>3291</v>
      </c>
      <c r="I582">
        <v>8.58</v>
      </c>
      <c r="J582" t="s">
        <v>42</v>
      </c>
      <c r="K582" t="s">
        <v>1380</v>
      </c>
      <c r="L582" s="25">
        <v>0.99962962962962965</v>
      </c>
      <c r="M582">
        <v>0.78379999999999994</v>
      </c>
      <c r="N582">
        <v>8.5800000000000001E-2</v>
      </c>
      <c r="O582">
        <v>13036</v>
      </c>
      <c r="P582">
        <v>1</v>
      </c>
      <c r="Q582" t="s">
        <v>1238</v>
      </c>
      <c r="R582" t="s">
        <v>1239</v>
      </c>
      <c r="S582" t="s">
        <v>1233</v>
      </c>
      <c r="T582">
        <v>3</v>
      </c>
    </row>
    <row r="583" spans="1:20" x14ac:dyDescent="0.3">
      <c r="A583" t="s">
        <v>593</v>
      </c>
      <c r="B583" t="s">
        <v>594</v>
      </c>
      <c r="C583">
        <v>7930</v>
      </c>
      <c r="D583">
        <v>4932</v>
      </c>
      <c r="E583">
        <v>174</v>
      </c>
      <c r="F583">
        <v>78.38</v>
      </c>
      <c r="G583">
        <v>81977</v>
      </c>
      <c r="H583">
        <v>3291</v>
      </c>
      <c r="I583">
        <v>8.58</v>
      </c>
      <c r="J583" t="s">
        <v>42</v>
      </c>
      <c r="K583" t="s">
        <v>1676</v>
      </c>
      <c r="L583" s="25">
        <v>0.99962962962962965</v>
      </c>
      <c r="M583">
        <v>0.78379999999999994</v>
      </c>
      <c r="N583">
        <v>8.5800000000000001E-2</v>
      </c>
      <c r="O583">
        <v>13036</v>
      </c>
      <c r="P583">
        <v>1</v>
      </c>
      <c r="Q583" t="s">
        <v>1238</v>
      </c>
      <c r="R583" t="s">
        <v>1239</v>
      </c>
      <c r="S583" t="s">
        <v>1233</v>
      </c>
      <c r="T583">
        <v>3</v>
      </c>
    </row>
    <row r="584" spans="1:20" x14ac:dyDescent="0.3">
      <c r="A584" t="s">
        <v>596</v>
      </c>
      <c r="B584" t="s">
        <v>597</v>
      </c>
      <c r="C584">
        <v>3629</v>
      </c>
      <c r="D584">
        <v>4692</v>
      </c>
      <c r="E584">
        <v>734</v>
      </c>
      <c r="F584">
        <v>70.05</v>
      </c>
      <c r="G584">
        <v>89983</v>
      </c>
      <c r="H584">
        <v>92459</v>
      </c>
      <c r="I584">
        <v>3.69</v>
      </c>
      <c r="J584" t="s">
        <v>42</v>
      </c>
      <c r="K584" t="s">
        <v>1293</v>
      </c>
      <c r="L584" s="25">
        <v>0.18313657407407408</v>
      </c>
      <c r="M584">
        <v>0.70050000000000001</v>
      </c>
      <c r="N584">
        <v>3.6900000000000002E-2</v>
      </c>
      <c r="O584">
        <v>9055</v>
      </c>
      <c r="P584">
        <v>9.7935301052358342E-2</v>
      </c>
      <c r="Q584" t="s">
        <v>1238</v>
      </c>
      <c r="R584" t="s">
        <v>1239</v>
      </c>
      <c r="S584" t="s">
        <v>1231</v>
      </c>
      <c r="T584">
        <v>3</v>
      </c>
    </row>
    <row r="585" spans="1:20" x14ac:dyDescent="0.3">
      <c r="A585" t="s">
        <v>596</v>
      </c>
      <c r="B585" t="s">
        <v>597</v>
      </c>
      <c r="C585">
        <v>3629</v>
      </c>
      <c r="D585">
        <v>4692</v>
      </c>
      <c r="E585">
        <v>734</v>
      </c>
      <c r="F585">
        <v>70.05</v>
      </c>
      <c r="G585">
        <v>89983</v>
      </c>
      <c r="H585">
        <v>92459</v>
      </c>
      <c r="I585">
        <v>3.69</v>
      </c>
      <c r="J585" t="s">
        <v>42</v>
      </c>
      <c r="K585" t="s">
        <v>1677</v>
      </c>
      <c r="L585" s="25">
        <v>0.18313657407407408</v>
      </c>
      <c r="M585">
        <v>0.70050000000000001</v>
      </c>
      <c r="N585">
        <v>3.6900000000000002E-2</v>
      </c>
      <c r="O585">
        <v>9055</v>
      </c>
      <c r="P585">
        <v>9.7935301052358342E-2</v>
      </c>
      <c r="Q585" t="s">
        <v>1238</v>
      </c>
      <c r="R585" t="s">
        <v>1239</v>
      </c>
      <c r="S585" t="s">
        <v>1231</v>
      </c>
      <c r="T585">
        <v>3</v>
      </c>
    </row>
    <row r="586" spans="1:20" x14ac:dyDescent="0.3">
      <c r="A586" t="s">
        <v>596</v>
      </c>
      <c r="B586" t="s">
        <v>597</v>
      </c>
      <c r="C586">
        <v>3629</v>
      </c>
      <c r="D586">
        <v>4692</v>
      </c>
      <c r="E586">
        <v>734</v>
      </c>
      <c r="F586">
        <v>70.05</v>
      </c>
      <c r="G586">
        <v>89983</v>
      </c>
      <c r="H586">
        <v>92459</v>
      </c>
      <c r="I586">
        <v>3.69</v>
      </c>
      <c r="J586" t="s">
        <v>42</v>
      </c>
      <c r="K586" t="s">
        <v>1678</v>
      </c>
      <c r="L586" s="25">
        <v>0.18313657407407408</v>
      </c>
      <c r="M586">
        <v>0.70050000000000001</v>
      </c>
      <c r="N586">
        <v>3.6900000000000002E-2</v>
      </c>
      <c r="O586">
        <v>9055</v>
      </c>
      <c r="P586">
        <v>9.7935301052358342E-2</v>
      </c>
      <c r="Q586" t="s">
        <v>1238</v>
      </c>
      <c r="R586" t="s">
        <v>1239</v>
      </c>
      <c r="S586" t="s">
        <v>1231</v>
      </c>
      <c r="T586">
        <v>3</v>
      </c>
    </row>
    <row r="587" spans="1:20" x14ac:dyDescent="0.3">
      <c r="A587" t="s">
        <v>599</v>
      </c>
      <c r="B587" t="s">
        <v>600</v>
      </c>
      <c r="C587">
        <v>6644</v>
      </c>
      <c r="D587">
        <v>4828</v>
      </c>
      <c r="E587">
        <v>1768</v>
      </c>
      <c r="F587">
        <v>15.22</v>
      </c>
      <c r="G587">
        <v>8890</v>
      </c>
      <c r="H587">
        <v>80700</v>
      </c>
      <c r="I587">
        <v>1.8</v>
      </c>
      <c r="J587" t="s">
        <v>12</v>
      </c>
      <c r="K587" t="s">
        <v>1679</v>
      </c>
      <c r="L587" s="25">
        <v>0.25412037037037039</v>
      </c>
      <c r="M587">
        <v>0.1522</v>
      </c>
      <c r="N587">
        <v>1.8000000000000002E-2</v>
      </c>
      <c r="O587">
        <v>13240</v>
      </c>
      <c r="P587">
        <v>0.16406443618339528</v>
      </c>
      <c r="Q587" t="s">
        <v>1238</v>
      </c>
      <c r="R587" t="s">
        <v>1239</v>
      </c>
      <c r="S587" t="s">
        <v>1231</v>
      </c>
      <c r="T587">
        <v>3</v>
      </c>
    </row>
    <row r="588" spans="1:20" x14ac:dyDescent="0.3">
      <c r="A588" t="s">
        <v>599</v>
      </c>
      <c r="B588" t="s">
        <v>600</v>
      </c>
      <c r="C588">
        <v>6644</v>
      </c>
      <c r="D588">
        <v>4828</v>
      </c>
      <c r="E588">
        <v>1768</v>
      </c>
      <c r="F588">
        <v>15.22</v>
      </c>
      <c r="G588">
        <v>8890</v>
      </c>
      <c r="H588">
        <v>80700</v>
      </c>
      <c r="I588">
        <v>1.8</v>
      </c>
      <c r="J588" t="s">
        <v>12</v>
      </c>
      <c r="K588" t="s">
        <v>1680</v>
      </c>
      <c r="L588" s="25">
        <v>0.25412037037037039</v>
      </c>
      <c r="M588">
        <v>0.1522</v>
      </c>
      <c r="N588">
        <v>1.8000000000000002E-2</v>
      </c>
      <c r="O588">
        <v>13240</v>
      </c>
      <c r="P588">
        <v>0.16406443618339528</v>
      </c>
      <c r="Q588" t="s">
        <v>1238</v>
      </c>
      <c r="R588" t="s">
        <v>1239</v>
      </c>
      <c r="S588" t="s">
        <v>1231</v>
      </c>
      <c r="T588">
        <v>3</v>
      </c>
    </row>
    <row r="589" spans="1:20" x14ac:dyDescent="0.3">
      <c r="A589" t="s">
        <v>599</v>
      </c>
      <c r="B589" t="s">
        <v>600</v>
      </c>
      <c r="C589">
        <v>6644</v>
      </c>
      <c r="D589">
        <v>4828</v>
      </c>
      <c r="E589">
        <v>1768</v>
      </c>
      <c r="F589">
        <v>15.22</v>
      </c>
      <c r="G589">
        <v>8890</v>
      </c>
      <c r="H589">
        <v>80700</v>
      </c>
      <c r="I589">
        <v>1.8</v>
      </c>
      <c r="J589" t="s">
        <v>12</v>
      </c>
      <c r="K589" t="s">
        <v>1681</v>
      </c>
      <c r="L589" s="25">
        <v>0.25412037037037039</v>
      </c>
      <c r="M589">
        <v>0.1522</v>
      </c>
      <c r="N589">
        <v>1.8000000000000002E-2</v>
      </c>
      <c r="O589">
        <v>13240</v>
      </c>
      <c r="P589">
        <v>0.16406443618339528</v>
      </c>
      <c r="Q589" t="s">
        <v>1238</v>
      </c>
      <c r="R589" t="s">
        <v>1239</v>
      </c>
      <c r="S589" t="s">
        <v>1231</v>
      </c>
      <c r="T589">
        <v>3</v>
      </c>
    </row>
    <row r="590" spans="1:20" x14ac:dyDescent="0.3">
      <c r="A590" t="s">
        <v>602</v>
      </c>
      <c r="B590" t="s">
        <v>603</v>
      </c>
      <c r="C590">
        <v>1858</v>
      </c>
      <c r="D590">
        <v>3363</v>
      </c>
      <c r="E590">
        <v>1434</v>
      </c>
      <c r="F590">
        <v>39.76</v>
      </c>
      <c r="G590">
        <v>75525</v>
      </c>
      <c r="H590">
        <v>90888</v>
      </c>
      <c r="I590">
        <v>6.3</v>
      </c>
      <c r="J590" t="s">
        <v>12</v>
      </c>
      <c r="K590" t="s">
        <v>1439</v>
      </c>
      <c r="L590" s="25">
        <v>8.8668981481481488E-2</v>
      </c>
      <c r="M590">
        <v>0.39759999999999995</v>
      </c>
      <c r="N590">
        <v>6.3E-2</v>
      </c>
      <c r="O590">
        <v>6655</v>
      </c>
      <c r="P590">
        <v>7.3221987501100261E-2</v>
      </c>
      <c r="Q590" t="s">
        <v>1238</v>
      </c>
      <c r="R590" t="s">
        <v>1239</v>
      </c>
      <c r="S590" t="s">
        <v>1231</v>
      </c>
      <c r="T590">
        <v>3</v>
      </c>
    </row>
    <row r="591" spans="1:20" x14ac:dyDescent="0.3">
      <c r="A591" t="s">
        <v>602</v>
      </c>
      <c r="B591" t="s">
        <v>603</v>
      </c>
      <c r="C591">
        <v>1858</v>
      </c>
      <c r="D591">
        <v>3363</v>
      </c>
      <c r="E591">
        <v>1434</v>
      </c>
      <c r="F591">
        <v>39.76</v>
      </c>
      <c r="G591">
        <v>75525</v>
      </c>
      <c r="H591">
        <v>90888</v>
      </c>
      <c r="I591">
        <v>6.3</v>
      </c>
      <c r="J591" t="s">
        <v>12</v>
      </c>
      <c r="K591" t="s">
        <v>1339</v>
      </c>
      <c r="L591" s="25">
        <v>8.8668981481481488E-2</v>
      </c>
      <c r="M591">
        <v>0.39759999999999995</v>
      </c>
      <c r="N591">
        <v>6.3E-2</v>
      </c>
      <c r="O591">
        <v>6655</v>
      </c>
      <c r="P591">
        <v>7.3221987501100261E-2</v>
      </c>
      <c r="Q591" t="s">
        <v>1238</v>
      </c>
      <c r="R591" t="s">
        <v>1239</v>
      </c>
      <c r="S591" t="s">
        <v>1231</v>
      </c>
      <c r="T591">
        <v>3</v>
      </c>
    </row>
    <row r="592" spans="1:20" x14ac:dyDescent="0.3">
      <c r="A592" t="s">
        <v>602</v>
      </c>
      <c r="B592" t="s">
        <v>603</v>
      </c>
      <c r="C592">
        <v>1858</v>
      </c>
      <c r="D592">
        <v>3363</v>
      </c>
      <c r="E592">
        <v>1434</v>
      </c>
      <c r="F592">
        <v>39.76</v>
      </c>
      <c r="G592">
        <v>75525</v>
      </c>
      <c r="H592">
        <v>90888</v>
      </c>
      <c r="I592">
        <v>6.3</v>
      </c>
      <c r="J592" t="s">
        <v>12</v>
      </c>
      <c r="K592" t="s">
        <v>1682</v>
      </c>
      <c r="L592" s="25">
        <v>8.8668981481481488E-2</v>
      </c>
      <c r="M592">
        <v>0.39759999999999995</v>
      </c>
      <c r="N592">
        <v>6.3E-2</v>
      </c>
      <c r="O592">
        <v>6655</v>
      </c>
      <c r="P592">
        <v>7.3221987501100261E-2</v>
      </c>
      <c r="Q592" t="s">
        <v>1238</v>
      </c>
      <c r="R592" t="s">
        <v>1239</v>
      </c>
      <c r="S592" t="s">
        <v>1231</v>
      </c>
      <c r="T592">
        <v>3</v>
      </c>
    </row>
    <row r="593" spans="1:20" x14ac:dyDescent="0.3">
      <c r="A593" t="s">
        <v>605</v>
      </c>
      <c r="B593" t="s">
        <v>606</v>
      </c>
      <c r="C593">
        <v>6883</v>
      </c>
      <c r="D593">
        <v>542</v>
      </c>
      <c r="E593">
        <v>1367</v>
      </c>
      <c r="F593">
        <v>49.11</v>
      </c>
      <c r="G593">
        <v>43950</v>
      </c>
      <c r="H593">
        <v>19063</v>
      </c>
      <c r="I593">
        <v>7.43</v>
      </c>
      <c r="J593" t="s">
        <v>12</v>
      </c>
      <c r="K593" t="s">
        <v>1683</v>
      </c>
      <c r="L593" s="25">
        <v>0.65454861111111107</v>
      </c>
      <c r="M593">
        <v>0.49109999999999998</v>
      </c>
      <c r="N593">
        <v>7.4299999999999991E-2</v>
      </c>
      <c r="O593">
        <v>8792</v>
      </c>
      <c r="P593">
        <v>0.46120757488328173</v>
      </c>
      <c r="Q593" t="s">
        <v>1238</v>
      </c>
      <c r="R593" t="s">
        <v>1239</v>
      </c>
      <c r="S593" t="s">
        <v>1230</v>
      </c>
      <c r="T593">
        <v>3</v>
      </c>
    </row>
    <row r="594" spans="1:20" x14ac:dyDescent="0.3">
      <c r="A594" t="s">
        <v>605</v>
      </c>
      <c r="B594" t="s">
        <v>606</v>
      </c>
      <c r="C594">
        <v>6883</v>
      </c>
      <c r="D594">
        <v>542</v>
      </c>
      <c r="E594">
        <v>1367</v>
      </c>
      <c r="F594">
        <v>49.11</v>
      </c>
      <c r="G594">
        <v>43950</v>
      </c>
      <c r="H594">
        <v>19063</v>
      </c>
      <c r="I594">
        <v>7.43</v>
      </c>
      <c r="J594" t="s">
        <v>12</v>
      </c>
      <c r="K594" t="s">
        <v>1582</v>
      </c>
      <c r="L594" s="25">
        <v>0.65454861111111107</v>
      </c>
      <c r="M594">
        <v>0.49109999999999998</v>
      </c>
      <c r="N594">
        <v>7.4299999999999991E-2</v>
      </c>
      <c r="O594">
        <v>8792</v>
      </c>
      <c r="P594">
        <v>0.46120757488328173</v>
      </c>
      <c r="Q594" t="s">
        <v>1238</v>
      </c>
      <c r="R594" t="s">
        <v>1239</v>
      </c>
      <c r="S594" t="s">
        <v>1230</v>
      </c>
      <c r="T594">
        <v>3</v>
      </c>
    </row>
    <row r="595" spans="1:20" x14ac:dyDescent="0.3">
      <c r="A595" t="s">
        <v>605</v>
      </c>
      <c r="B595" t="s">
        <v>606</v>
      </c>
      <c r="C595">
        <v>6883</v>
      </c>
      <c r="D595">
        <v>542</v>
      </c>
      <c r="E595">
        <v>1367</v>
      </c>
      <c r="F595">
        <v>49.11</v>
      </c>
      <c r="G595">
        <v>43950</v>
      </c>
      <c r="H595">
        <v>19063</v>
      </c>
      <c r="I595">
        <v>7.43</v>
      </c>
      <c r="J595" t="s">
        <v>12</v>
      </c>
      <c r="K595" t="s">
        <v>1348</v>
      </c>
      <c r="L595" s="25">
        <v>0.65454861111111107</v>
      </c>
      <c r="M595">
        <v>0.49109999999999998</v>
      </c>
      <c r="N595">
        <v>7.4299999999999991E-2</v>
      </c>
      <c r="O595">
        <v>8792</v>
      </c>
      <c r="P595">
        <v>0.46120757488328173</v>
      </c>
      <c r="Q595" t="s">
        <v>1238</v>
      </c>
      <c r="R595" t="s">
        <v>1239</v>
      </c>
      <c r="S595" t="s">
        <v>1230</v>
      </c>
      <c r="T595">
        <v>3</v>
      </c>
    </row>
    <row r="596" spans="1:20" x14ac:dyDescent="0.3">
      <c r="A596" t="s">
        <v>608</v>
      </c>
      <c r="B596" t="s">
        <v>609</v>
      </c>
      <c r="C596">
        <v>4458</v>
      </c>
      <c r="D596">
        <v>2454</v>
      </c>
      <c r="E596">
        <v>1686</v>
      </c>
      <c r="F596">
        <v>56.33</v>
      </c>
      <c r="G596">
        <v>73056</v>
      </c>
      <c r="H596">
        <v>69114</v>
      </c>
      <c r="I596">
        <v>8.33</v>
      </c>
      <c r="J596" t="s">
        <v>12</v>
      </c>
      <c r="K596" t="s">
        <v>1684</v>
      </c>
      <c r="L596" s="25">
        <v>0.79065972222222225</v>
      </c>
      <c r="M596">
        <v>0.56330000000000002</v>
      </c>
      <c r="N596">
        <v>8.3299999999999999E-2</v>
      </c>
      <c r="O596">
        <v>8598</v>
      </c>
      <c r="P596">
        <v>0.12440315999652747</v>
      </c>
      <c r="Q596" t="s">
        <v>1238</v>
      </c>
      <c r="R596" t="s">
        <v>1239</v>
      </c>
      <c r="S596" t="s">
        <v>1232</v>
      </c>
      <c r="T596">
        <v>3</v>
      </c>
    </row>
    <row r="597" spans="1:20" x14ac:dyDescent="0.3">
      <c r="A597" t="s">
        <v>608</v>
      </c>
      <c r="B597" t="s">
        <v>609</v>
      </c>
      <c r="C597">
        <v>4458</v>
      </c>
      <c r="D597">
        <v>2454</v>
      </c>
      <c r="E597">
        <v>1686</v>
      </c>
      <c r="F597">
        <v>56.33</v>
      </c>
      <c r="G597">
        <v>73056</v>
      </c>
      <c r="H597">
        <v>69114</v>
      </c>
      <c r="I597">
        <v>8.33</v>
      </c>
      <c r="J597" t="s">
        <v>12</v>
      </c>
      <c r="K597" t="s">
        <v>1685</v>
      </c>
      <c r="L597" s="25">
        <v>0.79065972222222225</v>
      </c>
      <c r="M597">
        <v>0.56330000000000002</v>
      </c>
      <c r="N597">
        <v>8.3299999999999999E-2</v>
      </c>
      <c r="O597">
        <v>8598</v>
      </c>
      <c r="P597">
        <v>0.12440315999652747</v>
      </c>
      <c r="Q597" t="s">
        <v>1238</v>
      </c>
      <c r="R597" t="s">
        <v>1239</v>
      </c>
      <c r="S597" t="s">
        <v>1232</v>
      </c>
      <c r="T597">
        <v>3</v>
      </c>
    </row>
    <row r="598" spans="1:20" x14ac:dyDescent="0.3">
      <c r="A598" t="s">
        <v>608</v>
      </c>
      <c r="B598" t="s">
        <v>609</v>
      </c>
      <c r="C598">
        <v>4458</v>
      </c>
      <c r="D598">
        <v>2454</v>
      </c>
      <c r="E598">
        <v>1686</v>
      </c>
      <c r="F598">
        <v>56.33</v>
      </c>
      <c r="G598">
        <v>73056</v>
      </c>
      <c r="H598">
        <v>69114</v>
      </c>
      <c r="I598">
        <v>8.33</v>
      </c>
      <c r="J598" t="s">
        <v>12</v>
      </c>
      <c r="K598" t="s">
        <v>1686</v>
      </c>
      <c r="L598" s="25">
        <v>0.79065972222222225</v>
      </c>
      <c r="M598">
        <v>0.56330000000000002</v>
      </c>
      <c r="N598">
        <v>8.3299999999999999E-2</v>
      </c>
      <c r="O598">
        <v>8598</v>
      </c>
      <c r="P598">
        <v>0.12440315999652747</v>
      </c>
      <c r="Q598" t="s">
        <v>1238</v>
      </c>
      <c r="R598" t="s">
        <v>1239</v>
      </c>
      <c r="S598" t="s">
        <v>1232</v>
      </c>
      <c r="T598">
        <v>3</v>
      </c>
    </row>
    <row r="599" spans="1:20" x14ac:dyDescent="0.3">
      <c r="A599" t="s">
        <v>611</v>
      </c>
      <c r="B599" t="s">
        <v>612</v>
      </c>
      <c r="C599">
        <v>1755</v>
      </c>
      <c r="D599">
        <v>311</v>
      </c>
      <c r="E599">
        <v>101</v>
      </c>
      <c r="F599">
        <v>81.819999999999993</v>
      </c>
      <c r="G599">
        <v>40186</v>
      </c>
      <c r="H599">
        <v>7065</v>
      </c>
      <c r="I599">
        <v>6.22</v>
      </c>
      <c r="J599" t="s">
        <v>20</v>
      </c>
      <c r="K599" t="s">
        <v>1366</v>
      </c>
      <c r="L599" s="25">
        <v>0.34410879629629632</v>
      </c>
      <c r="M599">
        <v>0.81819999999999993</v>
      </c>
      <c r="N599">
        <v>6.2199999999999998E-2</v>
      </c>
      <c r="O599">
        <v>2167</v>
      </c>
      <c r="P599">
        <v>0.30672328379334751</v>
      </c>
      <c r="Q599" t="s">
        <v>1238</v>
      </c>
      <c r="R599" t="s">
        <v>1239</v>
      </c>
      <c r="S599" t="s">
        <v>1231</v>
      </c>
      <c r="T599">
        <v>3</v>
      </c>
    </row>
    <row r="600" spans="1:20" x14ac:dyDescent="0.3">
      <c r="A600" t="s">
        <v>611</v>
      </c>
      <c r="B600" t="s">
        <v>612</v>
      </c>
      <c r="C600">
        <v>1755</v>
      </c>
      <c r="D600">
        <v>311</v>
      </c>
      <c r="E600">
        <v>101</v>
      </c>
      <c r="F600">
        <v>81.819999999999993</v>
      </c>
      <c r="G600">
        <v>40186</v>
      </c>
      <c r="H600">
        <v>7065</v>
      </c>
      <c r="I600">
        <v>6.22</v>
      </c>
      <c r="J600" t="s">
        <v>20</v>
      </c>
      <c r="K600" t="s">
        <v>1410</v>
      </c>
      <c r="L600" s="25">
        <v>0.34410879629629632</v>
      </c>
      <c r="M600">
        <v>0.81819999999999993</v>
      </c>
      <c r="N600">
        <v>6.2199999999999998E-2</v>
      </c>
      <c r="O600">
        <v>2167</v>
      </c>
      <c r="P600">
        <v>0.30672328379334751</v>
      </c>
      <c r="Q600" t="s">
        <v>1238</v>
      </c>
      <c r="R600" t="s">
        <v>1239</v>
      </c>
      <c r="S600" t="s">
        <v>1231</v>
      </c>
      <c r="T600">
        <v>3</v>
      </c>
    </row>
    <row r="601" spans="1:20" x14ac:dyDescent="0.3">
      <c r="A601" t="s">
        <v>611</v>
      </c>
      <c r="B601" t="s">
        <v>612</v>
      </c>
      <c r="C601">
        <v>1755</v>
      </c>
      <c r="D601">
        <v>311</v>
      </c>
      <c r="E601">
        <v>101</v>
      </c>
      <c r="F601">
        <v>81.819999999999993</v>
      </c>
      <c r="G601">
        <v>40186</v>
      </c>
      <c r="H601">
        <v>7065</v>
      </c>
      <c r="I601">
        <v>6.22</v>
      </c>
      <c r="J601" t="s">
        <v>20</v>
      </c>
      <c r="K601" t="s">
        <v>1527</v>
      </c>
      <c r="L601" s="25">
        <v>0.34410879629629632</v>
      </c>
      <c r="M601">
        <v>0.81819999999999993</v>
      </c>
      <c r="N601">
        <v>6.2199999999999998E-2</v>
      </c>
      <c r="O601">
        <v>2167</v>
      </c>
      <c r="P601">
        <v>0.30672328379334751</v>
      </c>
      <c r="Q601" t="s">
        <v>1238</v>
      </c>
      <c r="R601" t="s">
        <v>1239</v>
      </c>
      <c r="S601" t="s">
        <v>1231</v>
      </c>
      <c r="T601">
        <v>3</v>
      </c>
    </row>
    <row r="602" spans="1:20" x14ac:dyDescent="0.3">
      <c r="A602" t="s">
        <v>614</v>
      </c>
      <c r="B602" t="s">
        <v>615</v>
      </c>
      <c r="C602">
        <v>9367</v>
      </c>
      <c r="D602">
        <v>1058</v>
      </c>
      <c r="E602">
        <v>751</v>
      </c>
      <c r="F602">
        <v>46.21</v>
      </c>
      <c r="G602">
        <v>66316</v>
      </c>
      <c r="H602">
        <v>21043</v>
      </c>
      <c r="I602">
        <v>8.02</v>
      </c>
      <c r="J602" t="s">
        <v>20</v>
      </c>
      <c r="K602" t="s">
        <v>1687</v>
      </c>
      <c r="L602" s="25">
        <v>0.80660879629629634</v>
      </c>
      <c r="M602">
        <v>0.46210000000000001</v>
      </c>
      <c r="N602">
        <v>8.0199999999999994E-2</v>
      </c>
      <c r="O602">
        <v>11176</v>
      </c>
      <c r="P602">
        <v>0.53110297961317299</v>
      </c>
      <c r="Q602" t="s">
        <v>1238</v>
      </c>
      <c r="R602" t="s">
        <v>1239</v>
      </c>
      <c r="S602" t="s">
        <v>1232</v>
      </c>
      <c r="T602">
        <v>3</v>
      </c>
    </row>
    <row r="603" spans="1:20" x14ac:dyDescent="0.3">
      <c r="A603" t="s">
        <v>614</v>
      </c>
      <c r="B603" t="s">
        <v>615</v>
      </c>
      <c r="C603">
        <v>9367</v>
      </c>
      <c r="D603">
        <v>1058</v>
      </c>
      <c r="E603">
        <v>751</v>
      </c>
      <c r="F603">
        <v>46.21</v>
      </c>
      <c r="G603">
        <v>66316</v>
      </c>
      <c r="H603">
        <v>21043</v>
      </c>
      <c r="I603">
        <v>8.02</v>
      </c>
      <c r="J603" t="s">
        <v>20</v>
      </c>
      <c r="K603" t="s">
        <v>1634</v>
      </c>
      <c r="L603" s="25">
        <v>0.80660879629629634</v>
      </c>
      <c r="M603">
        <v>0.46210000000000001</v>
      </c>
      <c r="N603">
        <v>8.0199999999999994E-2</v>
      </c>
      <c r="O603">
        <v>11176</v>
      </c>
      <c r="P603">
        <v>0.53110297961317299</v>
      </c>
      <c r="Q603" t="s">
        <v>1238</v>
      </c>
      <c r="R603" t="s">
        <v>1239</v>
      </c>
      <c r="S603" t="s">
        <v>1232</v>
      </c>
      <c r="T603">
        <v>3</v>
      </c>
    </row>
    <row r="604" spans="1:20" x14ac:dyDescent="0.3">
      <c r="A604" t="s">
        <v>614</v>
      </c>
      <c r="B604" t="s">
        <v>615</v>
      </c>
      <c r="C604">
        <v>9367</v>
      </c>
      <c r="D604">
        <v>1058</v>
      </c>
      <c r="E604">
        <v>751</v>
      </c>
      <c r="F604">
        <v>46.21</v>
      </c>
      <c r="G604">
        <v>66316</v>
      </c>
      <c r="H604">
        <v>21043</v>
      </c>
      <c r="I604">
        <v>8.02</v>
      </c>
      <c r="J604" t="s">
        <v>20</v>
      </c>
      <c r="K604" t="s">
        <v>1443</v>
      </c>
      <c r="L604" s="25">
        <v>0.80660879629629634</v>
      </c>
      <c r="M604">
        <v>0.46210000000000001</v>
      </c>
      <c r="N604">
        <v>8.0199999999999994E-2</v>
      </c>
      <c r="O604">
        <v>11176</v>
      </c>
      <c r="P604">
        <v>0.53110297961317299</v>
      </c>
      <c r="Q604" t="s">
        <v>1238</v>
      </c>
      <c r="R604" t="s">
        <v>1239</v>
      </c>
      <c r="S604" t="s">
        <v>1232</v>
      </c>
      <c r="T604">
        <v>3</v>
      </c>
    </row>
    <row r="605" spans="1:20" x14ac:dyDescent="0.3">
      <c r="A605" t="s">
        <v>617</v>
      </c>
      <c r="B605" t="s">
        <v>618</v>
      </c>
      <c r="C605">
        <v>6999</v>
      </c>
      <c r="D605">
        <v>839</v>
      </c>
      <c r="E605">
        <v>360</v>
      </c>
      <c r="F605">
        <v>93.71</v>
      </c>
      <c r="G605">
        <v>66621</v>
      </c>
      <c r="H605">
        <v>28704</v>
      </c>
      <c r="I605">
        <v>1.52</v>
      </c>
      <c r="J605" t="s">
        <v>42</v>
      </c>
      <c r="K605" t="s">
        <v>1688</v>
      </c>
      <c r="L605" s="25">
        <v>0.12402777777777778</v>
      </c>
      <c r="M605">
        <v>0.93709999999999993</v>
      </c>
      <c r="N605">
        <v>1.52E-2</v>
      </c>
      <c r="O605">
        <v>8198</v>
      </c>
      <c r="P605">
        <v>0.28560479375696768</v>
      </c>
      <c r="Q605" t="s">
        <v>1238</v>
      </c>
      <c r="R605" t="s">
        <v>1239</v>
      </c>
      <c r="S605" t="s">
        <v>1231</v>
      </c>
      <c r="T605">
        <v>3</v>
      </c>
    </row>
    <row r="606" spans="1:20" x14ac:dyDescent="0.3">
      <c r="A606" t="s">
        <v>617</v>
      </c>
      <c r="B606" t="s">
        <v>618</v>
      </c>
      <c r="C606">
        <v>6999</v>
      </c>
      <c r="D606">
        <v>839</v>
      </c>
      <c r="E606">
        <v>360</v>
      </c>
      <c r="F606">
        <v>93.71</v>
      </c>
      <c r="G606">
        <v>66621</v>
      </c>
      <c r="H606">
        <v>28704</v>
      </c>
      <c r="I606">
        <v>1.52</v>
      </c>
      <c r="J606" t="s">
        <v>42</v>
      </c>
      <c r="K606" t="s">
        <v>1251</v>
      </c>
      <c r="L606" s="25">
        <v>0.12402777777777778</v>
      </c>
      <c r="M606">
        <v>0.93709999999999993</v>
      </c>
      <c r="N606">
        <v>1.52E-2</v>
      </c>
      <c r="O606">
        <v>8198</v>
      </c>
      <c r="P606">
        <v>0.28560479375696768</v>
      </c>
      <c r="Q606" t="s">
        <v>1238</v>
      </c>
      <c r="R606" t="s">
        <v>1239</v>
      </c>
      <c r="S606" t="s">
        <v>1231</v>
      </c>
      <c r="T606">
        <v>3</v>
      </c>
    </row>
    <row r="607" spans="1:20" x14ac:dyDescent="0.3">
      <c r="A607" t="s">
        <v>617</v>
      </c>
      <c r="B607" t="s">
        <v>618</v>
      </c>
      <c r="C607">
        <v>6999</v>
      </c>
      <c r="D607">
        <v>839</v>
      </c>
      <c r="E607">
        <v>360</v>
      </c>
      <c r="F607">
        <v>93.71</v>
      </c>
      <c r="G607">
        <v>66621</v>
      </c>
      <c r="H607">
        <v>28704</v>
      </c>
      <c r="I607">
        <v>1.52</v>
      </c>
      <c r="J607" t="s">
        <v>42</v>
      </c>
      <c r="K607" t="s">
        <v>1483</v>
      </c>
      <c r="L607" s="25">
        <v>0.12402777777777778</v>
      </c>
      <c r="M607">
        <v>0.93709999999999993</v>
      </c>
      <c r="N607">
        <v>1.52E-2</v>
      </c>
      <c r="O607">
        <v>8198</v>
      </c>
      <c r="P607">
        <v>0.28560479375696768</v>
      </c>
      <c r="Q607" t="s">
        <v>1238</v>
      </c>
      <c r="R607" t="s">
        <v>1239</v>
      </c>
      <c r="S607" t="s">
        <v>1231</v>
      </c>
      <c r="T607">
        <v>3</v>
      </c>
    </row>
    <row r="608" spans="1:20" x14ac:dyDescent="0.3">
      <c r="A608" t="s">
        <v>620</v>
      </c>
      <c r="B608" t="s">
        <v>621</v>
      </c>
      <c r="C608">
        <v>73</v>
      </c>
      <c r="D608">
        <v>985</v>
      </c>
      <c r="E608">
        <v>525</v>
      </c>
      <c r="F608">
        <v>66.069999999999993</v>
      </c>
      <c r="G608">
        <v>63035</v>
      </c>
      <c r="H608">
        <v>97357</v>
      </c>
      <c r="I608">
        <v>7.17</v>
      </c>
      <c r="J608" t="s">
        <v>12</v>
      </c>
      <c r="K608" t="s">
        <v>1322</v>
      </c>
      <c r="L608" s="25">
        <v>6.0324074074074072E-2</v>
      </c>
      <c r="M608">
        <v>0.66069999999999995</v>
      </c>
      <c r="N608">
        <v>7.17E-2</v>
      </c>
      <c r="O608">
        <v>1583</v>
      </c>
      <c r="P608">
        <v>1.6259745061988351E-2</v>
      </c>
      <c r="Q608" t="s">
        <v>1238</v>
      </c>
      <c r="R608" t="s">
        <v>1239</v>
      </c>
      <c r="S608" t="s">
        <v>1231</v>
      </c>
      <c r="T608">
        <v>3</v>
      </c>
    </row>
    <row r="609" spans="1:20" x14ac:dyDescent="0.3">
      <c r="A609" t="s">
        <v>620</v>
      </c>
      <c r="B609" t="s">
        <v>621</v>
      </c>
      <c r="C609">
        <v>73</v>
      </c>
      <c r="D609">
        <v>985</v>
      </c>
      <c r="E609">
        <v>525</v>
      </c>
      <c r="F609">
        <v>66.069999999999993</v>
      </c>
      <c r="G609">
        <v>63035</v>
      </c>
      <c r="H609">
        <v>97357</v>
      </c>
      <c r="I609">
        <v>7.17</v>
      </c>
      <c r="J609" t="s">
        <v>12</v>
      </c>
      <c r="K609" t="s">
        <v>1689</v>
      </c>
      <c r="L609" s="25">
        <v>6.0324074074074072E-2</v>
      </c>
      <c r="M609">
        <v>0.66069999999999995</v>
      </c>
      <c r="N609">
        <v>7.17E-2</v>
      </c>
      <c r="O609">
        <v>1583</v>
      </c>
      <c r="P609">
        <v>1.6259745061988351E-2</v>
      </c>
      <c r="Q609" t="s">
        <v>1238</v>
      </c>
      <c r="R609" t="s">
        <v>1239</v>
      </c>
      <c r="S609" t="s">
        <v>1231</v>
      </c>
      <c r="T609">
        <v>3</v>
      </c>
    </row>
    <row r="610" spans="1:20" x14ac:dyDescent="0.3">
      <c r="A610" t="s">
        <v>620</v>
      </c>
      <c r="B610" t="s">
        <v>621</v>
      </c>
      <c r="C610">
        <v>73</v>
      </c>
      <c r="D610">
        <v>985</v>
      </c>
      <c r="E610">
        <v>525</v>
      </c>
      <c r="F610">
        <v>66.069999999999993</v>
      </c>
      <c r="G610">
        <v>63035</v>
      </c>
      <c r="H610">
        <v>97357</v>
      </c>
      <c r="I610">
        <v>7.17</v>
      </c>
      <c r="J610" t="s">
        <v>12</v>
      </c>
      <c r="K610" t="s">
        <v>1641</v>
      </c>
      <c r="L610" s="25">
        <v>6.0324074074074072E-2</v>
      </c>
      <c r="M610">
        <v>0.66069999999999995</v>
      </c>
      <c r="N610">
        <v>7.17E-2</v>
      </c>
      <c r="O610">
        <v>1583</v>
      </c>
      <c r="P610">
        <v>1.6259745061988351E-2</v>
      </c>
      <c r="Q610" t="s">
        <v>1238</v>
      </c>
      <c r="R610" t="s">
        <v>1239</v>
      </c>
      <c r="S610" t="s">
        <v>1231</v>
      </c>
      <c r="T610">
        <v>3</v>
      </c>
    </row>
    <row r="611" spans="1:20" x14ac:dyDescent="0.3">
      <c r="A611" t="s">
        <v>623</v>
      </c>
      <c r="B611" t="s">
        <v>624</v>
      </c>
      <c r="C611">
        <v>9023</v>
      </c>
      <c r="D611">
        <v>2747</v>
      </c>
      <c r="E611">
        <v>1904</v>
      </c>
      <c r="F611">
        <v>94.35</v>
      </c>
      <c r="G611">
        <v>69805</v>
      </c>
      <c r="H611">
        <v>73638</v>
      </c>
      <c r="I611">
        <v>5.27</v>
      </c>
      <c r="J611" t="s">
        <v>20</v>
      </c>
      <c r="K611" t="s">
        <v>1690</v>
      </c>
      <c r="L611" s="25">
        <v>0.53082175925925923</v>
      </c>
      <c r="M611">
        <v>0.94349999999999989</v>
      </c>
      <c r="N611">
        <v>5.2699999999999997E-2</v>
      </c>
      <c r="O611">
        <v>13674</v>
      </c>
      <c r="P611">
        <v>0.18569216980363398</v>
      </c>
      <c r="Q611" t="s">
        <v>1238</v>
      </c>
      <c r="R611" t="s">
        <v>1239</v>
      </c>
      <c r="S611" t="s">
        <v>1230</v>
      </c>
      <c r="T611">
        <v>3</v>
      </c>
    </row>
    <row r="612" spans="1:20" x14ac:dyDescent="0.3">
      <c r="A612" t="s">
        <v>623</v>
      </c>
      <c r="B612" t="s">
        <v>624</v>
      </c>
      <c r="C612">
        <v>9023</v>
      </c>
      <c r="D612">
        <v>2747</v>
      </c>
      <c r="E612">
        <v>1904</v>
      </c>
      <c r="F612">
        <v>94.35</v>
      </c>
      <c r="G612">
        <v>69805</v>
      </c>
      <c r="H612">
        <v>73638</v>
      </c>
      <c r="I612">
        <v>5.27</v>
      </c>
      <c r="J612" t="s">
        <v>20</v>
      </c>
      <c r="K612" t="s">
        <v>1320</v>
      </c>
      <c r="L612" s="25">
        <v>0.53082175925925923</v>
      </c>
      <c r="M612">
        <v>0.94349999999999989</v>
      </c>
      <c r="N612">
        <v>5.2699999999999997E-2</v>
      </c>
      <c r="O612">
        <v>13674</v>
      </c>
      <c r="P612">
        <v>0.18569216980363398</v>
      </c>
      <c r="Q612" t="s">
        <v>1238</v>
      </c>
      <c r="R612" t="s">
        <v>1239</v>
      </c>
      <c r="S612" t="s">
        <v>1230</v>
      </c>
      <c r="T612">
        <v>3</v>
      </c>
    </row>
    <row r="613" spans="1:20" x14ac:dyDescent="0.3">
      <c r="A613" t="s">
        <v>623</v>
      </c>
      <c r="B613" t="s">
        <v>624</v>
      </c>
      <c r="C613">
        <v>9023</v>
      </c>
      <c r="D613">
        <v>2747</v>
      </c>
      <c r="E613">
        <v>1904</v>
      </c>
      <c r="F613">
        <v>94.35</v>
      </c>
      <c r="G613">
        <v>69805</v>
      </c>
      <c r="H613">
        <v>73638</v>
      </c>
      <c r="I613">
        <v>5.27</v>
      </c>
      <c r="J613" t="s">
        <v>20</v>
      </c>
      <c r="K613" t="s">
        <v>1508</v>
      </c>
      <c r="L613" s="25">
        <v>0.53082175925925923</v>
      </c>
      <c r="M613">
        <v>0.94349999999999989</v>
      </c>
      <c r="N613">
        <v>5.2699999999999997E-2</v>
      </c>
      <c r="O613">
        <v>13674</v>
      </c>
      <c r="P613">
        <v>0.18569216980363398</v>
      </c>
      <c r="Q613" t="s">
        <v>1238</v>
      </c>
      <c r="R613" t="s">
        <v>1239</v>
      </c>
      <c r="S613" t="s">
        <v>1230</v>
      </c>
      <c r="T613">
        <v>3</v>
      </c>
    </row>
    <row r="614" spans="1:20" x14ac:dyDescent="0.3">
      <c r="A614" t="s">
        <v>626</v>
      </c>
      <c r="B614" t="s">
        <v>627</v>
      </c>
      <c r="C614">
        <v>2519</v>
      </c>
      <c r="D614">
        <v>2832</v>
      </c>
      <c r="E614">
        <v>1376</v>
      </c>
      <c r="F614">
        <v>58.03</v>
      </c>
      <c r="G614">
        <v>29646</v>
      </c>
      <c r="H614">
        <v>90499</v>
      </c>
      <c r="I614">
        <v>8.16</v>
      </c>
      <c r="J614" t="s">
        <v>16</v>
      </c>
      <c r="K614" t="s">
        <v>1691</v>
      </c>
      <c r="L614" s="25">
        <v>8.8564814814814818E-2</v>
      </c>
      <c r="M614">
        <v>0.58030000000000004</v>
      </c>
      <c r="N614">
        <v>8.1600000000000006E-2</v>
      </c>
      <c r="O614">
        <v>6727</v>
      </c>
      <c r="P614">
        <v>7.4332313064232755E-2</v>
      </c>
      <c r="Q614" t="s">
        <v>1238</v>
      </c>
      <c r="R614" t="s">
        <v>1239</v>
      </c>
      <c r="S614" t="s">
        <v>1231</v>
      </c>
      <c r="T614">
        <v>3</v>
      </c>
    </row>
    <row r="615" spans="1:20" x14ac:dyDescent="0.3">
      <c r="A615" t="s">
        <v>626</v>
      </c>
      <c r="B615" t="s">
        <v>627</v>
      </c>
      <c r="C615">
        <v>2519</v>
      </c>
      <c r="D615">
        <v>2832</v>
      </c>
      <c r="E615">
        <v>1376</v>
      </c>
      <c r="F615">
        <v>58.03</v>
      </c>
      <c r="G615">
        <v>29646</v>
      </c>
      <c r="H615">
        <v>90499</v>
      </c>
      <c r="I615">
        <v>8.16</v>
      </c>
      <c r="J615" t="s">
        <v>16</v>
      </c>
      <c r="K615" t="s">
        <v>1692</v>
      </c>
      <c r="L615" s="25">
        <v>8.8564814814814818E-2</v>
      </c>
      <c r="M615">
        <v>0.58030000000000004</v>
      </c>
      <c r="N615">
        <v>8.1600000000000006E-2</v>
      </c>
      <c r="O615">
        <v>6727</v>
      </c>
      <c r="P615">
        <v>7.4332313064232755E-2</v>
      </c>
      <c r="Q615" t="s">
        <v>1238</v>
      </c>
      <c r="R615" t="s">
        <v>1239</v>
      </c>
      <c r="S615" t="s">
        <v>1231</v>
      </c>
      <c r="T615">
        <v>3</v>
      </c>
    </row>
    <row r="616" spans="1:20" x14ac:dyDescent="0.3">
      <c r="A616" t="s">
        <v>626</v>
      </c>
      <c r="B616" t="s">
        <v>627</v>
      </c>
      <c r="C616">
        <v>2519</v>
      </c>
      <c r="D616">
        <v>2832</v>
      </c>
      <c r="E616">
        <v>1376</v>
      </c>
      <c r="F616">
        <v>58.03</v>
      </c>
      <c r="G616">
        <v>29646</v>
      </c>
      <c r="H616">
        <v>90499</v>
      </c>
      <c r="I616">
        <v>8.16</v>
      </c>
      <c r="J616" t="s">
        <v>16</v>
      </c>
      <c r="K616" t="s">
        <v>1655</v>
      </c>
      <c r="L616" s="25">
        <v>8.8564814814814818E-2</v>
      </c>
      <c r="M616">
        <v>0.58030000000000004</v>
      </c>
      <c r="N616">
        <v>8.1600000000000006E-2</v>
      </c>
      <c r="O616">
        <v>6727</v>
      </c>
      <c r="P616">
        <v>7.4332313064232755E-2</v>
      </c>
      <c r="Q616" t="s">
        <v>1238</v>
      </c>
      <c r="R616" t="s">
        <v>1239</v>
      </c>
      <c r="S616" t="s">
        <v>1231</v>
      </c>
      <c r="T616">
        <v>3</v>
      </c>
    </row>
    <row r="617" spans="1:20" x14ac:dyDescent="0.3">
      <c r="A617" t="s">
        <v>629</v>
      </c>
      <c r="B617" t="s">
        <v>630</v>
      </c>
      <c r="C617">
        <v>3222</v>
      </c>
      <c r="D617">
        <v>419</v>
      </c>
      <c r="E617">
        <v>1269</v>
      </c>
      <c r="F617">
        <v>64.77</v>
      </c>
      <c r="G617">
        <v>81429</v>
      </c>
      <c r="H617">
        <v>40489</v>
      </c>
      <c r="I617">
        <v>9.85</v>
      </c>
      <c r="J617" t="s">
        <v>12</v>
      </c>
      <c r="K617" t="s">
        <v>1586</v>
      </c>
      <c r="L617" s="25">
        <v>0.91267361111111112</v>
      </c>
      <c r="M617">
        <v>0.64769999999999994</v>
      </c>
      <c r="N617">
        <v>9.849999999999999E-2</v>
      </c>
      <c r="O617">
        <v>4910</v>
      </c>
      <c r="P617">
        <v>0.12126750475437774</v>
      </c>
      <c r="Q617" t="s">
        <v>1238</v>
      </c>
      <c r="R617" t="s">
        <v>1239</v>
      </c>
      <c r="S617" t="s">
        <v>1233</v>
      </c>
      <c r="T617">
        <v>3</v>
      </c>
    </row>
    <row r="618" spans="1:20" x14ac:dyDescent="0.3">
      <c r="A618" t="s">
        <v>629</v>
      </c>
      <c r="B618" t="s">
        <v>630</v>
      </c>
      <c r="C618">
        <v>3222</v>
      </c>
      <c r="D618">
        <v>419</v>
      </c>
      <c r="E618">
        <v>1269</v>
      </c>
      <c r="F618">
        <v>64.77</v>
      </c>
      <c r="G618">
        <v>81429</v>
      </c>
      <c r="H618">
        <v>40489</v>
      </c>
      <c r="I618">
        <v>9.85</v>
      </c>
      <c r="J618" t="s">
        <v>12</v>
      </c>
      <c r="K618" t="s">
        <v>1240</v>
      </c>
      <c r="L618" s="25">
        <v>0.91267361111111112</v>
      </c>
      <c r="M618">
        <v>0.64769999999999994</v>
      </c>
      <c r="N618">
        <v>9.849999999999999E-2</v>
      </c>
      <c r="O618">
        <v>4910</v>
      </c>
      <c r="P618">
        <v>0.12126750475437774</v>
      </c>
      <c r="Q618" t="s">
        <v>1238</v>
      </c>
      <c r="R618" t="s">
        <v>1239</v>
      </c>
      <c r="S618" t="s">
        <v>1233</v>
      </c>
      <c r="T618">
        <v>3</v>
      </c>
    </row>
    <row r="619" spans="1:20" x14ac:dyDescent="0.3">
      <c r="A619" t="s">
        <v>629</v>
      </c>
      <c r="B619" t="s">
        <v>630</v>
      </c>
      <c r="C619">
        <v>3222</v>
      </c>
      <c r="D619">
        <v>419</v>
      </c>
      <c r="E619">
        <v>1269</v>
      </c>
      <c r="F619">
        <v>64.77</v>
      </c>
      <c r="G619">
        <v>81429</v>
      </c>
      <c r="H619">
        <v>40489</v>
      </c>
      <c r="I619">
        <v>9.85</v>
      </c>
      <c r="J619" t="s">
        <v>12</v>
      </c>
      <c r="K619" t="s">
        <v>1301</v>
      </c>
      <c r="L619" s="25">
        <v>0.91267361111111112</v>
      </c>
      <c r="M619">
        <v>0.64769999999999994</v>
      </c>
      <c r="N619">
        <v>9.849999999999999E-2</v>
      </c>
      <c r="O619">
        <v>4910</v>
      </c>
      <c r="P619">
        <v>0.12126750475437774</v>
      </c>
      <c r="Q619" t="s">
        <v>1238</v>
      </c>
      <c r="R619" t="s">
        <v>1239</v>
      </c>
      <c r="S619" t="s">
        <v>1233</v>
      </c>
      <c r="T619">
        <v>3</v>
      </c>
    </row>
    <row r="620" spans="1:20" x14ac:dyDescent="0.3">
      <c r="A620" t="s">
        <v>632</v>
      </c>
      <c r="B620" t="s">
        <v>633</v>
      </c>
      <c r="C620">
        <v>4050</v>
      </c>
      <c r="D620">
        <v>3474</v>
      </c>
      <c r="E620">
        <v>882</v>
      </c>
      <c r="F620">
        <v>24.03</v>
      </c>
      <c r="G620">
        <v>41884</v>
      </c>
      <c r="H620">
        <v>69895</v>
      </c>
      <c r="I620">
        <v>0.47</v>
      </c>
      <c r="J620" t="s">
        <v>16</v>
      </c>
      <c r="K620" t="s">
        <v>1693</v>
      </c>
      <c r="L620" s="25">
        <v>0.38723379629629628</v>
      </c>
      <c r="M620">
        <v>0.24030000000000001</v>
      </c>
      <c r="N620">
        <v>4.6999999999999993E-3</v>
      </c>
      <c r="O620">
        <v>8406</v>
      </c>
      <c r="P620">
        <v>0.12026611345589813</v>
      </c>
      <c r="Q620" t="s">
        <v>1238</v>
      </c>
      <c r="R620" t="s">
        <v>1239</v>
      </c>
      <c r="S620" t="s">
        <v>1231</v>
      </c>
      <c r="T620">
        <v>3</v>
      </c>
    </row>
    <row r="621" spans="1:20" x14ac:dyDescent="0.3">
      <c r="A621" t="s">
        <v>632</v>
      </c>
      <c r="B621" t="s">
        <v>633</v>
      </c>
      <c r="C621">
        <v>4050</v>
      </c>
      <c r="D621">
        <v>3474</v>
      </c>
      <c r="E621">
        <v>882</v>
      </c>
      <c r="F621">
        <v>24.03</v>
      </c>
      <c r="G621">
        <v>41884</v>
      </c>
      <c r="H621">
        <v>69895</v>
      </c>
      <c r="I621">
        <v>0.47</v>
      </c>
      <c r="J621" t="s">
        <v>16</v>
      </c>
      <c r="K621" t="s">
        <v>1694</v>
      </c>
      <c r="L621" s="25">
        <v>0.38723379629629628</v>
      </c>
      <c r="M621">
        <v>0.24030000000000001</v>
      </c>
      <c r="N621">
        <v>4.6999999999999993E-3</v>
      </c>
      <c r="O621">
        <v>8406</v>
      </c>
      <c r="P621">
        <v>0.12026611345589813</v>
      </c>
      <c r="Q621" t="s">
        <v>1238</v>
      </c>
      <c r="R621" t="s">
        <v>1239</v>
      </c>
      <c r="S621" t="s">
        <v>1231</v>
      </c>
      <c r="T621">
        <v>3</v>
      </c>
    </row>
    <row r="622" spans="1:20" x14ac:dyDescent="0.3">
      <c r="A622" t="s">
        <v>632</v>
      </c>
      <c r="B622" t="s">
        <v>633</v>
      </c>
      <c r="C622">
        <v>4050</v>
      </c>
      <c r="D622">
        <v>3474</v>
      </c>
      <c r="E622">
        <v>882</v>
      </c>
      <c r="F622">
        <v>24.03</v>
      </c>
      <c r="G622">
        <v>41884</v>
      </c>
      <c r="H622">
        <v>69895</v>
      </c>
      <c r="I622">
        <v>0.47</v>
      </c>
      <c r="J622" t="s">
        <v>16</v>
      </c>
      <c r="K622" t="s">
        <v>1695</v>
      </c>
      <c r="L622" s="25">
        <v>0.38723379629629628</v>
      </c>
      <c r="M622">
        <v>0.24030000000000001</v>
      </c>
      <c r="N622">
        <v>4.6999999999999993E-3</v>
      </c>
      <c r="O622">
        <v>8406</v>
      </c>
      <c r="P622">
        <v>0.12026611345589813</v>
      </c>
      <c r="Q622" t="s">
        <v>1238</v>
      </c>
      <c r="R622" t="s">
        <v>1239</v>
      </c>
      <c r="S622" t="s">
        <v>1231</v>
      </c>
      <c r="T622">
        <v>3</v>
      </c>
    </row>
    <row r="623" spans="1:20" x14ac:dyDescent="0.3">
      <c r="A623" t="s">
        <v>635</v>
      </c>
      <c r="B623" t="s">
        <v>636</v>
      </c>
      <c r="C623">
        <v>8522</v>
      </c>
      <c r="D623">
        <v>2067</v>
      </c>
      <c r="E623">
        <v>887</v>
      </c>
      <c r="F623">
        <v>20.12</v>
      </c>
      <c r="G623">
        <v>26249</v>
      </c>
      <c r="H623">
        <v>87027</v>
      </c>
      <c r="I623">
        <v>6.71</v>
      </c>
      <c r="J623" t="s">
        <v>12</v>
      </c>
      <c r="K623" t="s">
        <v>1696</v>
      </c>
      <c r="L623" s="25">
        <v>0.3447453703703704</v>
      </c>
      <c r="M623">
        <v>0.20120000000000002</v>
      </c>
      <c r="N623">
        <v>6.7099999999999993E-2</v>
      </c>
      <c r="O623">
        <v>11476</v>
      </c>
      <c r="P623">
        <v>0.13186712169786388</v>
      </c>
      <c r="Q623" t="s">
        <v>1238</v>
      </c>
      <c r="R623" t="s">
        <v>1239</v>
      </c>
      <c r="S623" t="s">
        <v>1231</v>
      </c>
      <c r="T623">
        <v>3</v>
      </c>
    </row>
    <row r="624" spans="1:20" x14ac:dyDescent="0.3">
      <c r="A624" t="s">
        <v>635</v>
      </c>
      <c r="B624" t="s">
        <v>636</v>
      </c>
      <c r="C624">
        <v>8522</v>
      </c>
      <c r="D624">
        <v>2067</v>
      </c>
      <c r="E624">
        <v>887</v>
      </c>
      <c r="F624">
        <v>20.12</v>
      </c>
      <c r="G624">
        <v>26249</v>
      </c>
      <c r="H624">
        <v>87027</v>
      </c>
      <c r="I624">
        <v>6.71</v>
      </c>
      <c r="J624" t="s">
        <v>12</v>
      </c>
      <c r="K624" t="s">
        <v>1575</v>
      </c>
      <c r="L624" s="25">
        <v>0.3447453703703704</v>
      </c>
      <c r="M624">
        <v>0.20120000000000002</v>
      </c>
      <c r="N624">
        <v>6.7099999999999993E-2</v>
      </c>
      <c r="O624">
        <v>11476</v>
      </c>
      <c r="P624">
        <v>0.13186712169786388</v>
      </c>
      <c r="Q624" t="s">
        <v>1238</v>
      </c>
      <c r="R624" t="s">
        <v>1239</v>
      </c>
      <c r="S624" t="s">
        <v>1231</v>
      </c>
      <c r="T624">
        <v>3</v>
      </c>
    </row>
    <row r="625" spans="1:20" x14ac:dyDescent="0.3">
      <c r="A625" t="s">
        <v>635</v>
      </c>
      <c r="B625" t="s">
        <v>636</v>
      </c>
      <c r="C625">
        <v>8522</v>
      </c>
      <c r="D625">
        <v>2067</v>
      </c>
      <c r="E625">
        <v>887</v>
      </c>
      <c r="F625">
        <v>20.12</v>
      </c>
      <c r="G625">
        <v>26249</v>
      </c>
      <c r="H625">
        <v>87027</v>
      </c>
      <c r="I625">
        <v>6.71</v>
      </c>
      <c r="J625" t="s">
        <v>12</v>
      </c>
      <c r="K625" t="s">
        <v>1567</v>
      </c>
      <c r="L625" s="25">
        <v>0.3447453703703704</v>
      </c>
      <c r="M625">
        <v>0.20120000000000002</v>
      </c>
      <c r="N625">
        <v>6.7099999999999993E-2</v>
      </c>
      <c r="O625">
        <v>11476</v>
      </c>
      <c r="P625">
        <v>0.13186712169786388</v>
      </c>
      <c r="Q625" t="s">
        <v>1238</v>
      </c>
      <c r="R625" t="s">
        <v>1239</v>
      </c>
      <c r="S625" t="s">
        <v>1231</v>
      </c>
      <c r="T625">
        <v>3</v>
      </c>
    </row>
    <row r="626" spans="1:20" x14ac:dyDescent="0.3">
      <c r="A626" t="s">
        <v>638</v>
      </c>
      <c r="B626" t="s">
        <v>639</v>
      </c>
      <c r="C626">
        <v>2720</v>
      </c>
      <c r="D626">
        <v>1398</v>
      </c>
      <c r="E626">
        <v>742</v>
      </c>
      <c r="F626">
        <v>18.93</v>
      </c>
      <c r="G626">
        <v>97063</v>
      </c>
      <c r="H626">
        <v>56096</v>
      </c>
      <c r="I626">
        <v>0.61</v>
      </c>
      <c r="J626" t="s">
        <v>12</v>
      </c>
      <c r="K626" t="s">
        <v>1697</v>
      </c>
      <c r="L626" s="25">
        <v>8.0324074074074076E-2</v>
      </c>
      <c r="M626">
        <v>0.1893</v>
      </c>
      <c r="N626">
        <v>6.0999999999999995E-3</v>
      </c>
      <c r="O626">
        <v>4860</v>
      </c>
      <c r="P626">
        <v>8.6637193382772384E-2</v>
      </c>
      <c r="Q626" t="s">
        <v>1238</v>
      </c>
      <c r="R626" t="s">
        <v>1239</v>
      </c>
      <c r="S626" t="s">
        <v>1231</v>
      </c>
      <c r="T626">
        <v>3</v>
      </c>
    </row>
    <row r="627" spans="1:20" x14ac:dyDescent="0.3">
      <c r="A627" t="s">
        <v>638</v>
      </c>
      <c r="B627" t="s">
        <v>639</v>
      </c>
      <c r="C627">
        <v>2720</v>
      </c>
      <c r="D627">
        <v>1398</v>
      </c>
      <c r="E627">
        <v>742</v>
      </c>
      <c r="F627">
        <v>18.93</v>
      </c>
      <c r="G627">
        <v>97063</v>
      </c>
      <c r="H627">
        <v>56096</v>
      </c>
      <c r="I627">
        <v>0.61</v>
      </c>
      <c r="J627" t="s">
        <v>12</v>
      </c>
      <c r="K627" t="s">
        <v>1344</v>
      </c>
      <c r="L627" s="25">
        <v>8.0324074074074076E-2</v>
      </c>
      <c r="M627">
        <v>0.1893</v>
      </c>
      <c r="N627">
        <v>6.0999999999999995E-3</v>
      </c>
      <c r="O627">
        <v>4860</v>
      </c>
      <c r="P627">
        <v>8.6637193382772384E-2</v>
      </c>
      <c r="Q627" t="s">
        <v>1238</v>
      </c>
      <c r="R627" t="s">
        <v>1239</v>
      </c>
      <c r="S627" t="s">
        <v>1231</v>
      </c>
      <c r="T627">
        <v>3</v>
      </c>
    </row>
    <row r="628" spans="1:20" x14ac:dyDescent="0.3">
      <c r="A628" t="s">
        <v>638</v>
      </c>
      <c r="B628" t="s">
        <v>639</v>
      </c>
      <c r="C628">
        <v>2720</v>
      </c>
      <c r="D628">
        <v>1398</v>
      </c>
      <c r="E628">
        <v>742</v>
      </c>
      <c r="F628">
        <v>18.93</v>
      </c>
      <c r="G628">
        <v>97063</v>
      </c>
      <c r="H628">
        <v>56096</v>
      </c>
      <c r="I628">
        <v>0.61</v>
      </c>
      <c r="J628" t="s">
        <v>12</v>
      </c>
      <c r="K628" t="s">
        <v>1698</v>
      </c>
      <c r="L628" s="25">
        <v>8.0324074074074076E-2</v>
      </c>
      <c r="M628">
        <v>0.1893</v>
      </c>
      <c r="N628">
        <v>6.0999999999999995E-3</v>
      </c>
      <c r="O628">
        <v>4860</v>
      </c>
      <c r="P628">
        <v>8.6637193382772384E-2</v>
      </c>
      <c r="Q628" t="s">
        <v>1238</v>
      </c>
      <c r="R628" t="s">
        <v>1239</v>
      </c>
      <c r="S628" t="s">
        <v>1231</v>
      </c>
      <c r="T628">
        <v>3</v>
      </c>
    </row>
    <row r="629" spans="1:20" x14ac:dyDescent="0.3">
      <c r="A629" t="s">
        <v>641</v>
      </c>
      <c r="B629" t="s">
        <v>642</v>
      </c>
      <c r="C629">
        <v>3441</v>
      </c>
      <c r="D629">
        <v>4630</v>
      </c>
      <c r="E629">
        <v>1787</v>
      </c>
      <c r="F629">
        <v>84.65</v>
      </c>
      <c r="G629">
        <v>17448</v>
      </c>
      <c r="H629">
        <v>59705</v>
      </c>
      <c r="I629">
        <v>5.08</v>
      </c>
      <c r="J629" t="s">
        <v>42</v>
      </c>
      <c r="K629" t="s">
        <v>1366</v>
      </c>
      <c r="L629" s="25">
        <v>0.611724537037037</v>
      </c>
      <c r="M629">
        <v>0.84650000000000003</v>
      </c>
      <c r="N629">
        <v>5.0799999999999998E-2</v>
      </c>
      <c r="O629">
        <v>9858</v>
      </c>
      <c r="P629">
        <v>0.1651117996817687</v>
      </c>
      <c r="Q629" t="s">
        <v>1238</v>
      </c>
      <c r="R629" t="s">
        <v>1239</v>
      </c>
      <c r="S629" t="s">
        <v>1230</v>
      </c>
      <c r="T629">
        <v>3</v>
      </c>
    </row>
    <row r="630" spans="1:20" x14ac:dyDescent="0.3">
      <c r="A630" t="s">
        <v>641</v>
      </c>
      <c r="B630" t="s">
        <v>642</v>
      </c>
      <c r="C630">
        <v>3441</v>
      </c>
      <c r="D630">
        <v>4630</v>
      </c>
      <c r="E630">
        <v>1787</v>
      </c>
      <c r="F630">
        <v>84.65</v>
      </c>
      <c r="G630">
        <v>17448</v>
      </c>
      <c r="H630">
        <v>59705</v>
      </c>
      <c r="I630">
        <v>5.08</v>
      </c>
      <c r="J630" t="s">
        <v>42</v>
      </c>
      <c r="K630" t="s">
        <v>1699</v>
      </c>
      <c r="L630" s="25">
        <v>0.611724537037037</v>
      </c>
      <c r="M630">
        <v>0.84650000000000003</v>
      </c>
      <c r="N630">
        <v>5.0799999999999998E-2</v>
      </c>
      <c r="O630">
        <v>9858</v>
      </c>
      <c r="P630">
        <v>0.1651117996817687</v>
      </c>
      <c r="Q630" t="s">
        <v>1238</v>
      </c>
      <c r="R630" t="s">
        <v>1239</v>
      </c>
      <c r="S630" t="s">
        <v>1230</v>
      </c>
      <c r="T630">
        <v>3</v>
      </c>
    </row>
    <row r="631" spans="1:20" x14ac:dyDescent="0.3">
      <c r="A631" t="s">
        <v>641</v>
      </c>
      <c r="B631" t="s">
        <v>642</v>
      </c>
      <c r="C631">
        <v>3441</v>
      </c>
      <c r="D631">
        <v>4630</v>
      </c>
      <c r="E631">
        <v>1787</v>
      </c>
      <c r="F631">
        <v>84.65</v>
      </c>
      <c r="G631">
        <v>17448</v>
      </c>
      <c r="H631">
        <v>59705</v>
      </c>
      <c r="I631">
        <v>5.08</v>
      </c>
      <c r="J631" t="s">
        <v>42</v>
      </c>
      <c r="K631" t="s">
        <v>1518</v>
      </c>
      <c r="L631" s="25">
        <v>0.611724537037037</v>
      </c>
      <c r="M631">
        <v>0.84650000000000003</v>
      </c>
      <c r="N631">
        <v>5.0799999999999998E-2</v>
      </c>
      <c r="O631">
        <v>9858</v>
      </c>
      <c r="P631">
        <v>0.1651117996817687</v>
      </c>
      <c r="Q631" t="s">
        <v>1238</v>
      </c>
      <c r="R631" t="s">
        <v>1239</v>
      </c>
      <c r="S631" t="s">
        <v>1230</v>
      </c>
      <c r="T631">
        <v>3</v>
      </c>
    </row>
    <row r="632" spans="1:20" x14ac:dyDescent="0.3">
      <c r="A632" t="s">
        <v>644</v>
      </c>
      <c r="B632" t="s">
        <v>645</v>
      </c>
      <c r="C632">
        <v>3031</v>
      </c>
      <c r="D632">
        <v>714</v>
      </c>
      <c r="E632">
        <v>1834</v>
      </c>
      <c r="F632">
        <v>42.25</v>
      </c>
      <c r="G632">
        <v>79177</v>
      </c>
      <c r="H632">
        <v>32000</v>
      </c>
      <c r="I632">
        <v>8.68</v>
      </c>
      <c r="J632" t="s">
        <v>12</v>
      </c>
      <c r="K632" t="s">
        <v>1605</v>
      </c>
      <c r="L632" s="25">
        <v>0.71415509259259258</v>
      </c>
      <c r="M632">
        <v>0.42249999999999999</v>
      </c>
      <c r="N632">
        <v>8.6800000000000002E-2</v>
      </c>
      <c r="O632">
        <v>5579</v>
      </c>
      <c r="P632">
        <v>0.17434374999999999</v>
      </c>
      <c r="Q632" t="s">
        <v>1238</v>
      </c>
      <c r="R632" t="s">
        <v>1239</v>
      </c>
      <c r="S632" t="s">
        <v>1232</v>
      </c>
      <c r="T632">
        <v>3</v>
      </c>
    </row>
    <row r="633" spans="1:20" x14ac:dyDescent="0.3">
      <c r="A633" t="s">
        <v>644</v>
      </c>
      <c r="B633" t="s">
        <v>645</v>
      </c>
      <c r="C633">
        <v>3031</v>
      </c>
      <c r="D633">
        <v>714</v>
      </c>
      <c r="E633">
        <v>1834</v>
      </c>
      <c r="F633">
        <v>42.25</v>
      </c>
      <c r="G633">
        <v>79177</v>
      </c>
      <c r="H633">
        <v>32000</v>
      </c>
      <c r="I633">
        <v>8.68</v>
      </c>
      <c r="J633" t="s">
        <v>12</v>
      </c>
      <c r="K633" t="s">
        <v>1540</v>
      </c>
      <c r="L633" s="25">
        <v>0.71415509259259258</v>
      </c>
      <c r="M633">
        <v>0.42249999999999999</v>
      </c>
      <c r="N633">
        <v>8.6800000000000002E-2</v>
      </c>
      <c r="O633">
        <v>5579</v>
      </c>
      <c r="P633">
        <v>0.17434374999999999</v>
      </c>
      <c r="Q633" t="s">
        <v>1238</v>
      </c>
      <c r="R633" t="s">
        <v>1239</v>
      </c>
      <c r="S633" t="s">
        <v>1232</v>
      </c>
      <c r="T633">
        <v>3</v>
      </c>
    </row>
    <row r="634" spans="1:20" x14ac:dyDescent="0.3">
      <c r="A634" t="s">
        <v>644</v>
      </c>
      <c r="B634" t="s">
        <v>645</v>
      </c>
      <c r="C634">
        <v>3031</v>
      </c>
      <c r="D634">
        <v>714</v>
      </c>
      <c r="E634">
        <v>1834</v>
      </c>
      <c r="F634">
        <v>42.25</v>
      </c>
      <c r="G634">
        <v>79177</v>
      </c>
      <c r="H634">
        <v>32000</v>
      </c>
      <c r="I634">
        <v>8.68</v>
      </c>
      <c r="J634" t="s">
        <v>12</v>
      </c>
      <c r="K634" t="s">
        <v>1644</v>
      </c>
      <c r="L634" s="25">
        <v>0.71415509259259258</v>
      </c>
      <c r="M634">
        <v>0.42249999999999999</v>
      </c>
      <c r="N634">
        <v>8.6800000000000002E-2</v>
      </c>
      <c r="O634">
        <v>5579</v>
      </c>
      <c r="P634">
        <v>0.17434374999999999</v>
      </c>
      <c r="Q634" t="s">
        <v>1238</v>
      </c>
      <c r="R634" t="s">
        <v>1239</v>
      </c>
      <c r="S634" t="s">
        <v>1232</v>
      </c>
      <c r="T634">
        <v>3</v>
      </c>
    </row>
    <row r="635" spans="1:20" x14ac:dyDescent="0.3">
      <c r="A635" t="s">
        <v>647</v>
      </c>
      <c r="B635" t="s">
        <v>648</v>
      </c>
      <c r="C635">
        <v>713</v>
      </c>
      <c r="D635">
        <v>1709</v>
      </c>
      <c r="E635">
        <v>816</v>
      </c>
      <c r="F635">
        <v>99.73</v>
      </c>
      <c r="G635">
        <v>73765</v>
      </c>
      <c r="H635">
        <v>81805</v>
      </c>
      <c r="I635">
        <v>8.5399999999999991</v>
      </c>
      <c r="J635" t="s">
        <v>42</v>
      </c>
      <c r="K635" t="s">
        <v>1700</v>
      </c>
      <c r="L635" s="25">
        <v>0.87356481481481485</v>
      </c>
      <c r="M635">
        <v>0.99730000000000008</v>
      </c>
      <c r="N635">
        <v>8.539999999999999E-2</v>
      </c>
      <c r="O635">
        <v>3238</v>
      </c>
      <c r="P635">
        <v>3.9581932644703867E-2</v>
      </c>
      <c r="Q635" t="s">
        <v>1238</v>
      </c>
      <c r="R635" t="s">
        <v>1239</v>
      </c>
      <c r="S635" t="s">
        <v>1232</v>
      </c>
      <c r="T635">
        <v>3</v>
      </c>
    </row>
    <row r="636" spans="1:20" x14ac:dyDescent="0.3">
      <c r="A636" t="s">
        <v>647</v>
      </c>
      <c r="B636" t="s">
        <v>648</v>
      </c>
      <c r="C636">
        <v>713</v>
      </c>
      <c r="D636">
        <v>1709</v>
      </c>
      <c r="E636">
        <v>816</v>
      </c>
      <c r="F636">
        <v>99.73</v>
      </c>
      <c r="G636">
        <v>73765</v>
      </c>
      <c r="H636">
        <v>81805</v>
      </c>
      <c r="I636">
        <v>8.5399999999999991</v>
      </c>
      <c r="J636" t="s">
        <v>42</v>
      </c>
      <c r="K636" t="s">
        <v>1701</v>
      </c>
      <c r="L636" s="25">
        <v>0.87356481481481485</v>
      </c>
      <c r="M636">
        <v>0.99730000000000008</v>
      </c>
      <c r="N636">
        <v>8.539999999999999E-2</v>
      </c>
      <c r="O636">
        <v>3238</v>
      </c>
      <c r="P636">
        <v>3.9581932644703867E-2</v>
      </c>
      <c r="Q636" t="s">
        <v>1238</v>
      </c>
      <c r="R636" t="s">
        <v>1239</v>
      </c>
      <c r="S636" t="s">
        <v>1232</v>
      </c>
      <c r="T636">
        <v>3</v>
      </c>
    </row>
    <row r="637" spans="1:20" x14ac:dyDescent="0.3">
      <c r="A637" t="s">
        <v>647</v>
      </c>
      <c r="B637" t="s">
        <v>648</v>
      </c>
      <c r="C637">
        <v>713</v>
      </c>
      <c r="D637">
        <v>1709</v>
      </c>
      <c r="E637">
        <v>816</v>
      </c>
      <c r="F637">
        <v>99.73</v>
      </c>
      <c r="G637">
        <v>73765</v>
      </c>
      <c r="H637">
        <v>81805</v>
      </c>
      <c r="I637">
        <v>8.5399999999999991</v>
      </c>
      <c r="J637" t="s">
        <v>42</v>
      </c>
      <c r="K637" t="s">
        <v>1537</v>
      </c>
      <c r="L637" s="25">
        <v>0.87356481481481485</v>
      </c>
      <c r="M637">
        <v>0.99730000000000008</v>
      </c>
      <c r="N637">
        <v>8.539999999999999E-2</v>
      </c>
      <c r="O637">
        <v>3238</v>
      </c>
      <c r="P637">
        <v>3.9581932644703867E-2</v>
      </c>
      <c r="Q637" t="s">
        <v>1238</v>
      </c>
      <c r="R637" t="s">
        <v>1239</v>
      </c>
      <c r="S637" t="s">
        <v>1232</v>
      </c>
      <c r="T637">
        <v>3</v>
      </c>
    </row>
    <row r="638" spans="1:20" x14ac:dyDescent="0.3">
      <c r="A638" t="s">
        <v>650</v>
      </c>
      <c r="B638" t="s">
        <v>651</v>
      </c>
      <c r="C638">
        <v>5580</v>
      </c>
      <c r="D638">
        <v>2434</v>
      </c>
      <c r="E638">
        <v>1633</v>
      </c>
      <c r="F638">
        <v>17.760000000000002</v>
      </c>
      <c r="G638">
        <v>29601</v>
      </c>
      <c r="H638">
        <v>16291</v>
      </c>
      <c r="I638">
        <v>3.84</v>
      </c>
      <c r="J638" t="s">
        <v>16</v>
      </c>
      <c r="K638" t="s">
        <v>1702</v>
      </c>
      <c r="L638" s="25">
        <v>5.7870370370370367E-4</v>
      </c>
      <c r="M638">
        <v>0.17760000000000001</v>
      </c>
      <c r="N638">
        <v>3.8399999999999997E-2</v>
      </c>
      <c r="O638">
        <v>9647</v>
      </c>
      <c r="P638">
        <v>0.59216745442268737</v>
      </c>
      <c r="Q638" t="s">
        <v>1238</v>
      </c>
      <c r="R638" t="s">
        <v>1239</v>
      </c>
      <c r="S638" t="s">
        <v>1231</v>
      </c>
      <c r="T638">
        <v>3</v>
      </c>
    </row>
    <row r="639" spans="1:20" x14ac:dyDescent="0.3">
      <c r="A639" t="s">
        <v>650</v>
      </c>
      <c r="B639" t="s">
        <v>651</v>
      </c>
      <c r="C639">
        <v>5580</v>
      </c>
      <c r="D639">
        <v>2434</v>
      </c>
      <c r="E639">
        <v>1633</v>
      </c>
      <c r="F639">
        <v>17.760000000000002</v>
      </c>
      <c r="G639">
        <v>29601</v>
      </c>
      <c r="H639">
        <v>16291</v>
      </c>
      <c r="I639">
        <v>3.84</v>
      </c>
      <c r="J639" t="s">
        <v>16</v>
      </c>
      <c r="K639" t="s">
        <v>1703</v>
      </c>
      <c r="L639" s="25">
        <v>5.7870370370370367E-4</v>
      </c>
      <c r="M639">
        <v>0.17760000000000001</v>
      </c>
      <c r="N639">
        <v>3.8399999999999997E-2</v>
      </c>
      <c r="O639">
        <v>9647</v>
      </c>
      <c r="P639">
        <v>0.59216745442268737</v>
      </c>
      <c r="Q639" t="s">
        <v>1238</v>
      </c>
      <c r="R639" t="s">
        <v>1239</v>
      </c>
      <c r="S639" t="s">
        <v>1231</v>
      </c>
      <c r="T639">
        <v>3</v>
      </c>
    </row>
    <row r="640" spans="1:20" x14ac:dyDescent="0.3">
      <c r="A640" t="s">
        <v>650</v>
      </c>
      <c r="B640" t="s">
        <v>651</v>
      </c>
      <c r="C640">
        <v>5580</v>
      </c>
      <c r="D640">
        <v>2434</v>
      </c>
      <c r="E640">
        <v>1633</v>
      </c>
      <c r="F640">
        <v>17.760000000000002</v>
      </c>
      <c r="G640">
        <v>29601</v>
      </c>
      <c r="H640">
        <v>16291</v>
      </c>
      <c r="I640">
        <v>3.84</v>
      </c>
      <c r="J640" t="s">
        <v>16</v>
      </c>
      <c r="K640" t="s">
        <v>1503</v>
      </c>
      <c r="L640" s="25">
        <v>5.7870370370370367E-4</v>
      </c>
      <c r="M640">
        <v>0.17760000000000001</v>
      </c>
      <c r="N640">
        <v>3.8399999999999997E-2</v>
      </c>
      <c r="O640">
        <v>9647</v>
      </c>
      <c r="P640">
        <v>0.59216745442268737</v>
      </c>
      <c r="Q640" t="s">
        <v>1238</v>
      </c>
      <c r="R640" t="s">
        <v>1239</v>
      </c>
      <c r="S640" t="s">
        <v>1231</v>
      </c>
      <c r="T640">
        <v>3</v>
      </c>
    </row>
    <row r="641" spans="1:20" x14ac:dyDescent="0.3">
      <c r="A641" t="s">
        <v>653</v>
      </c>
      <c r="B641" t="s">
        <v>654</v>
      </c>
      <c r="C641">
        <v>4334</v>
      </c>
      <c r="D641">
        <v>1014</v>
      </c>
      <c r="E641">
        <v>276</v>
      </c>
      <c r="F641">
        <v>86.63</v>
      </c>
      <c r="G641">
        <v>70412</v>
      </c>
      <c r="H641">
        <v>68601</v>
      </c>
      <c r="I641">
        <v>3.38</v>
      </c>
      <c r="J641" t="s">
        <v>42</v>
      </c>
      <c r="K641" t="s">
        <v>1641</v>
      </c>
      <c r="L641" s="25">
        <v>0.52322916666666663</v>
      </c>
      <c r="M641">
        <v>0.86629999999999996</v>
      </c>
      <c r="N641">
        <v>3.3799999999999997E-2</v>
      </c>
      <c r="O641">
        <v>5624</v>
      </c>
      <c r="P641">
        <v>8.1981312225769307E-2</v>
      </c>
      <c r="Q641" t="s">
        <v>1238</v>
      </c>
      <c r="R641" t="s">
        <v>1239</v>
      </c>
      <c r="S641" t="s">
        <v>1230</v>
      </c>
      <c r="T641">
        <v>3</v>
      </c>
    </row>
    <row r="642" spans="1:20" x14ac:dyDescent="0.3">
      <c r="A642" t="s">
        <v>653</v>
      </c>
      <c r="B642" t="s">
        <v>654</v>
      </c>
      <c r="C642">
        <v>4334</v>
      </c>
      <c r="D642">
        <v>1014</v>
      </c>
      <c r="E642">
        <v>276</v>
      </c>
      <c r="F642">
        <v>86.63</v>
      </c>
      <c r="G642">
        <v>70412</v>
      </c>
      <c r="H642">
        <v>68601</v>
      </c>
      <c r="I642">
        <v>3.38</v>
      </c>
      <c r="J642" t="s">
        <v>42</v>
      </c>
      <c r="K642" t="s">
        <v>1704</v>
      </c>
      <c r="L642" s="25">
        <v>0.52322916666666663</v>
      </c>
      <c r="M642">
        <v>0.86629999999999996</v>
      </c>
      <c r="N642">
        <v>3.3799999999999997E-2</v>
      </c>
      <c r="O642">
        <v>5624</v>
      </c>
      <c r="P642">
        <v>8.1981312225769307E-2</v>
      </c>
      <c r="Q642" t="s">
        <v>1238</v>
      </c>
      <c r="R642" t="s">
        <v>1239</v>
      </c>
      <c r="S642" t="s">
        <v>1230</v>
      </c>
      <c r="T642">
        <v>3</v>
      </c>
    </row>
    <row r="643" spans="1:20" x14ac:dyDescent="0.3">
      <c r="A643" t="s">
        <v>653</v>
      </c>
      <c r="B643" t="s">
        <v>654</v>
      </c>
      <c r="C643">
        <v>4334</v>
      </c>
      <c r="D643">
        <v>1014</v>
      </c>
      <c r="E643">
        <v>276</v>
      </c>
      <c r="F643">
        <v>86.63</v>
      </c>
      <c r="G643">
        <v>70412</v>
      </c>
      <c r="H643">
        <v>68601</v>
      </c>
      <c r="I643">
        <v>3.38</v>
      </c>
      <c r="J643" t="s">
        <v>42</v>
      </c>
      <c r="K643" t="s">
        <v>1705</v>
      </c>
      <c r="L643" s="25">
        <v>0.52322916666666663</v>
      </c>
      <c r="M643">
        <v>0.86629999999999996</v>
      </c>
      <c r="N643">
        <v>3.3799999999999997E-2</v>
      </c>
      <c r="O643">
        <v>5624</v>
      </c>
      <c r="P643">
        <v>8.1981312225769307E-2</v>
      </c>
      <c r="Q643" t="s">
        <v>1238</v>
      </c>
      <c r="R643" t="s">
        <v>1239</v>
      </c>
      <c r="S643" t="s">
        <v>1230</v>
      </c>
      <c r="T643">
        <v>3</v>
      </c>
    </row>
    <row r="644" spans="1:20" x14ac:dyDescent="0.3">
      <c r="A644" t="s">
        <v>656</v>
      </c>
      <c r="B644" t="s">
        <v>657</v>
      </c>
      <c r="C644">
        <v>7083</v>
      </c>
      <c r="D644">
        <v>4530</v>
      </c>
      <c r="E644">
        <v>313</v>
      </c>
      <c r="F644">
        <v>56.79</v>
      </c>
      <c r="G644">
        <v>68978</v>
      </c>
      <c r="H644">
        <v>77089</v>
      </c>
      <c r="I644">
        <v>7.09</v>
      </c>
      <c r="J644" t="s">
        <v>42</v>
      </c>
      <c r="K644" t="s">
        <v>1706</v>
      </c>
      <c r="L644" s="25">
        <v>0.19822916666666668</v>
      </c>
      <c r="M644">
        <v>0.56789999999999996</v>
      </c>
      <c r="N644">
        <v>7.0900000000000005E-2</v>
      </c>
      <c r="O644">
        <v>11926</v>
      </c>
      <c r="P644">
        <v>0.15470430281881981</v>
      </c>
      <c r="Q644" t="s">
        <v>1238</v>
      </c>
      <c r="R644" t="s">
        <v>1239</v>
      </c>
      <c r="S644" t="s">
        <v>1231</v>
      </c>
      <c r="T644">
        <v>3</v>
      </c>
    </row>
    <row r="645" spans="1:20" x14ac:dyDescent="0.3">
      <c r="A645" t="s">
        <v>656</v>
      </c>
      <c r="B645" t="s">
        <v>657</v>
      </c>
      <c r="C645">
        <v>7083</v>
      </c>
      <c r="D645">
        <v>4530</v>
      </c>
      <c r="E645">
        <v>313</v>
      </c>
      <c r="F645">
        <v>56.79</v>
      </c>
      <c r="G645">
        <v>68978</v>
      </c>
      <c r="H645">
        <v>77089</v>
      </c>
      <c r="I645">
        <v>7.09</v>
      </c>
      <c r="J645" t="s">
        <v>42</v>
      </c>
      <c r="K645" t="s">
        <v>1707</v>
      </c>
      <c r="L645" s="25">
        <v>0.19822916666666668</v>
      </c>
      <c r="M645">
        <v>0.56789999999999996</v>
      </c>
      <c r="N645">
        <v>7.0900000000000005E-2</v>
      </c>
      <c r="O645">
        <v>11926</v>
      </c>
      <c r="P645">
        <v>0.15470430281881981</v>
      </c>
      <c r="Q645" t="s">
        <v>1238</v>
      </c>
      <c r="R645" t="s">
        <v>1239</v>
      </c>
      <c r="S645" t="s">
        <v>1231</v>
      </c>
      <c r="T645">
        <v>3</v>
      </c>
    </row>
    <row r="646" spans="1:20" x14ac:dyDescent="0.3">
      <c r="A646" t="s">
        <v>656</v>
      </c>
      <c r="B646" t="s">
        <v>657</v>
      </c>
      <c r="C646">
        <v>7083</v>
      </c>
      <c r="D646">
        <v>4530</v>
      </c>
      <c r="E646">
        <v>313</v>
      </c>
      <c r="F646">
        <v>56.79</v>
      </c>
      <c r="G646">
        <v>68978</v>
      </c>
      <c r="H646">
        <v>77089</v>
      </c>
      <c r="I646">
        <v>7.09</v>
      </c>
      <c r="J646" t="s">
        <v>42</v>
      </c>
      <c r="K646" t="s">
        <v>1708</v>
      </c>
      <c r="L646" s="25">
        <v>0.19822916666666668</v>
      </c>
      <c r="M646">
        <v>0.56789999999999996</v>
      </c>
      <c r="N646">
        <v>7.0900000000000005E-2</v>
      </c>
      <c r="O646">
        <v>11926</v>
      </c>
      <c r="P646">
        <v>0.15470430281881981</v>
      </c>
      <c r="Q646" t="s">
        <v>1238</v>
      </c>
      <c r="R646" t="s">
        <v>1239</v>
      </c>
      <c r="S646" t="s">
        <v>1231</v>
      </c>
      <c r="T646">
        <v>3</v>
      </c>
    </row>
    <row r="647" spans="1:20" x14ac:dyDescent="0.3">
      <c r="A647" t="s">
        <v>659</v>
      </c>
      <c r="B647" t="s">
        <v>660</v>
      </c>
      <c r="C647">
        <v>3724</v>
      </c>
      <c r="D647">
        <v>3964</v>
      </c>
      <c r="E647">
        <v>940</v>
      </c>
      <c r="F647">
        <v>94.15</v>
      </c>
      <c r="G647">
        <v>53298</v>
      </c>
      <c r="H647">
        <v>5335</v>
      </c>
      <c r="I647">
        <v>3.23</v>
      </c>
      <c r="J647" t="s">
        <v>12</v>
      </c>
      <c r="K647" t="s">
        <v>1709</v>
      </c>
      <c r="L647" s="25">
        <v>0.84850694444444441</v>
      </c>
      <c r="M647">
        <v>0.9415</v>
      </c>
      <c r="N647">
        <v>3.2300000000000002E-2</v>
      </c>
      <c r="O647">
        <v>8628</v>
      </c>
      <c r="P647">
        <v>1</v>
      </c>
      <c r="Q647" t="s">
        <v>1238</v>
      </c>
      <c r="R647" t="s">
        <v>1239</v>
      </c>
      <c r="S647" t="s">
        <v>1232</v>
      </c>
      <c r="T647">
        <v>3</v>
      </c>
    </row>
    <row r="648" spans="1:20" x14ac:dyDescent="0.3">
      <c r="A648" t="s">
        <v>659</v>
      </c>
      <c r="B648" t="s">
        <v>660</v>
      </c>
      <c r="C648">
        <v>3724</v>
      </c>
      <c r="D648">
        <v>3964</v>
      </c>
      <c r="E648">
        <v>940</v>
      </c>
      <c r="F648">
        <v>94.15</v>
      </c>
      <c r="G648">
        <v>53298</v>
      </c>
      <c r="H648">
        <v>5335</v>
      </c>
      <c r="I648">
        <v>3.23</v>
      </c>
      <c r="J648" t="s">
        <v>12</v>
      </c>
      <c r="K648" t="s">
        <v>1710</v>
      </c>
      <c r="L648" s="25">
        <v>0.84850694444444441</v>
      </c>
      <c r="M648">
        <v>0.9415</v>
      </c>
      <c r="N648">
        <v>3.2300000000000002E-2</v>
      </c>
      <c r="O648">
        <v>8628</v>
      </c>
      <c r="P648">
        <v>1</v>
      </c>
      <c r="Q648" t="s">
        <v>1238</v>
      </c>
      <c r="R648" t="s">
        <v>1239</v>
      </c>
      <c r="S648" t="s">
        <v>1232</v>
      </c>
      <c r="T648">
        <v>3</v>
      </c>
    </row>
    <row r="649" spans="1:20" x14ac:dyDescent="0.3">
      <c r="A649" t="s">
        <v>659</v>
      </c>
      <c r="B649" t="s">
        <v>660</v>
      </c>
      <c r="C649">
        <v>3724</v>
      </c>
      <c r="D649">
        <v>3964</v>
      </c>
      <c r="E649">
        <v>940</v>
      </c>
      <c r="F649">
        <v>94.15</v>
      </c>
      <c r="G649">
        <v>53298</v>
      </c>
      <c r="H649">
        <v>5335</v>
      </c>
      <c r="I649">
        <v>3.23</v>
      </c>
      <c r="J649" t="s">
        <v>12</v>
      </c>
      <c r="K649" t="s">
        <v>1711</v>
      </c>
      <c r="L649" s="25">
        <v>0.84850694444444441</v>
      </c>
      <c r="M649">
        <v>0.9415</v>
      </c>
      <c r="N649">
        <v>3.2300000000000002E-2</v>
      </c>
      <c r="O649">
        <v>8628</v>
      </c>
      <c r="P649">
        <v>1</v>
      </c>
      <c r="Q649" t="s">
        <v>1238</v>
      </c>
      <c r="R649" t="s">
        <v>1239</v>
      </c>
      <c r="S649" t="s">
        <v>1232</v>
      </c>
      <c r="T649">
        <v>3</v>
      </c>
    </row>
    <row r="650" spans="1:20" x14ac:dyDescent="0.3">
      <c r="A650" t="s">
        <v>662</v>
      </c>
      <c r="B650" t="s">
        <v>663</v>
      </c>
      <c r="C650">
        <v>8882</v>
      </c>
      <c r="D650">
        <v>4594</v>
      </c>
      <c r="E650">
        <v>1049</v>
      </c>
      <c r="F650">
        <v>79.66</v>
      </c>
      <c r="G650">
        <v>21998</v>
      </c>
      <c r="H650">
        <v>69725</v>
      </c>
      <c r="I650">
        <v>2.0099999999999998</v>
      </c>
      <c r="J650" t="s">
        <v>16</v>
      </c>
      <c r="K650" t="s">
        <v>1712</v>
      </c>
      <c r="L650" s="25">
        <v>0.81739583333333332</v>
      </c>
      <c r="M650">
        <v>0.79659999999999997</v>
      </c>
      <c r="N650">
        <v>2.0099999999999996E-2</v>
      </c>
      <c r="O650">
        <v>14525</v>
      </c>
      <c r="P650">
        <v>0.20831839368949445</v>
      </c>
      <c r="Q650" t="s">
        <v>1238</v>
      </c>
      <c r="R650" t="s">
        <v>1239</v>
      </c>
      <c r="S650" t="s">
        <v>1232</v>
      </c>
      <c r="T650">
        <v>3</v>
      </c>
    </row>
    <row r="651" spans="1:20" x14ac:dyDescent="0.3">
      <c r="A651" t="s">
        <v>662</v>
      </c>
      <c r="B651" t="s">
        <v>663</v>
      </c>
      <c r="C651">
        <v>8882</v>
      </c>
      <c r="D651">
        <v>4594</v>
      </c>
      <c r="E651">
        <v>1049</v>
      </c>
      <c r="F651">
        <v>79.66</v>
      </c>
      <c r="G651">
        <v>21998</v>
      </c>
      <c r="H651">
        <v>69725</v>
      </c>
      <c r="I651">
        <v>2.0099999999999998</v>
      </c>
      <c r="J651" t="s">
        <v>16</v>
      </c>
      <c r="K651" t="s">
        <v>1713</v>
      </c>
      <c r="L651" s="25">
        <v>0.81739583333333332</v>
      </c>
      <c r="M651">
        <v>0.79659999999999997</v>
      </c>
      <c r="N651">
        <v>2.0099999999999996E-2</v>
      </c>
      <c r="O651">
        <v>14525</v>
      </c>
      <c r="P651">
        <v>0.20831839368949445</v>
      </c>
      <c r="Q651" t="s">
        <v>1238</v>
      </c>
      <c r="R651" t="s">
        <v>1239</v>
      </c>
      <c r="S651" t="s">
        <v>1232</v>
      </c>
      <c r="T651">
        <v>3</v>
      </c>
    </row>
    <row r="652" spans="1:20" x14ac:dyDescent="0.3">
      <c r="A652" t="s">
        <v>662</v>
      </c>
      <c r="B652" t="s">
        <v>663</v>
      </c>
      <c r="C652">
        <v>8882</v>
      </c>
      <c r="D652">
        <v>4594</v>
      </c>
      <c r="E652">
        <v>1049</v>
      </c>
      <c r="F652">
        <v>79.66</v>
      </c>
      <c r="G652">
        <v>21998</v>
      </c>
      <c r="H652">
        <v>69725</v>
      </c>
      <c r="I652">
        <v>2.0099999999999998</v>
      </c>
      <c r="J652" t="s">
        <v>16</v>
      </c>
      <c r="K652" t="s">
        <v>1714</v>
      </c>
      <c r="L652" s="25">
        <v>0.81739583333333332</v>
      </c>
      <c r="M652">
        <v>0.79659999999999997</v>
      </c>
      <c r="N652">
        <v>2.0099999999999996E-2</v>
      </c>
      <c r="O652">
        <v>14525</v>
      </c>
      <c r="P652">
        <v>0.20831839368949445</v>
      </c>
      <c r="Q652" t="s">
        <v>1238</v>
      </c>
      <c r="R652" t="s">
        <v>1239</v>
      </c>
      <c r="S652" t="s">
        <v>1232</v>
      </c>
      <c r="T652">
        <v>3</v>
      </c>
    </row>
    <row r="653" spans="1:20" x14ac:dyDescent="0.3">
      <c r="A653" t="s">
        <v>665</v>
      </c>
      <c r="B653" t="s">
        <v>666</v>
      </c>
      <c r="C653">
        <v>894</v>
      </c>
      <c r="D653">
        <v>963</v>
      </c>
      <c r="E653">
        <v>1225</v>
      </c>
      <c r="F653">
        <v>65.010000000000005</v>
      </c>
      <c r="G653">
        <v>79522</v>
      </c>
      <c r="H653">
        <v>13447</v>
      </c>
      <c r="I653">
        <v>6.86</v>
      </c>
      <c r="J653" t="s">
        <v>20</v>
      </c>
      <c r="K653" t="s">
        <v>1715</v>
      </c>
      <c r="L653" s="25">
        <v>0.5142592592592593</v>
      </c>
      <c r="M653">
        <v>0.65010000000000001</v>
      </c>
      <c r="N653">
        <v>6.8600000000000008E-2</v>
      </c>
      <c r="O653">
        <v>3082</v>
      </c>
      <c r="P653">
        <v>0.22919610322004907</v>
      </c>
      <c r="Q653" t="s">
        <v>1238</v>
      </c>
      <c r="R653" t="s">
        <v>1239</v>
      </c>
      <c r="S653" t="s">
        <v>1230</v>
      </c>
      <c r="T653">
        <v>3</v>
      </c>
    </row>
    <row r="654" spans="1:20" x14ac:dyDescent="0.3">
      <c r="A654" t="s">
        <v>665</v>
      </c>
      <c r="B654" t="s">
        <v>666</v>
      </c>
      <c r="C654">
        <v>894</v>
      </c>
      <c r="D654">
        <v>963</v>
      </c>
      <c r="E654">
        <v>1225</v>
      </c>
      <c r="F654">
        <v>65.010000000000005</v>
      </c>
      <c r="G654">
        <v>79522</v>
      </c>
      <c r="H654">
        <v>13447</v>
      </c>
      <c r="I654">
        <v>6.86</v>
      </c>
      <c r="J654" t="s">
        <v>20</v>
      </c>
      <c r="K654" t="s">
        <v>1461</v>
      </c>
      <c r="L654" s="25">
        <v>0.5142592592592593</v>
      </c>
      <c r="M654">
        <v>0.65010000000000001</v>
      </c>
      <c r="N654">
        <v>6.8600000000000008E-2</v>
      </c>
      <c r="O654">
        <v>3082</v>
      </c>
      <c r="P654">
        <v>0.22919610322004907</v>
      </c>
      <c r="Q654" t="s">
        <v>1238</v>
      </c>
      <c r="R654" t="s">
        <v>1239</v>
      </c>
      <c r="S654" t="s">
        <v>1230</v>
      </c>
      <c r="T654">
        <v>3</v>
      </c>
    </row>
    <row r="655" spans="1:20" x14ac:dyDescent="0.3">
      <c r="A655" t="s">
        <v>665</v>
      </c>
      <c r="B655" t="s">
        <v>666</v>
      </c>
      <c r="C655">
        <v>894</v>
      </c>
      <c r="D655">
        <v>963</v>
      </c>
      <c r="E655">
        <v>1225</v>
      </c>
      <c r="F655">
        <v>65.010000000000005</v>
      </c>
      <c r="G655">
        <v>79522</v>
      </c>
      <c r="H655">
        <v>13447</v>
      </c>
      <c r="I655">
        <v>6.86</v>
      </c>
      <c r="J655" t="s">
        <v>20</v>
      </c>
      <c r="K655" t="s">
        <v>1716</v>
      </c>
      <c r="L655" s="25">
        <v>0.5142592592592593</v>
      </c>
      <c r="M655">
        <v>0.65010000000000001</v>
      </c>
      <c r="N655">
        <v>6.8600000000000008E-2</v>
      </c>
      <c r="O655">
        <v>3082</v>
      </c>
      <c r="P655">
        <v>0.22919610322004907</v>
      </c>
      <c r="Q655" t="s">
        <v>1238</v>
      </c>
      <c r="R655" t="s">
        <v>1239</v>
      </c>
      <c r="S655" t="s">
        <v>1230</v>
      </c>
      <c r="T655">
        <v>3</v>
      </c>
    </row>
    <row r="656" spans="1:20" x14ac:dyDescent="0.3">
      <c r="A656" t="s">
        <v>668</v>
      </c>
      <c r="B656" t="s">
        <v>669</v>
      </c>
      <c r="C656">
        <v>8894</v>
      </c>
      <c r="D656">
        <v>575</v>
      </c>
      <c r="E656">
        <v>1166</v>
      </c>
      <c r="F656">
        <v>5.15</v>
      </c>
      <c r="G656">
        <v>88909</v>
      </c>
      <c r="H656">
        <v>719</v>
      </c>
      <c r="I656">
        <v>7.17</v>
      </c>
      <c r="J656" t="s">
        <v>16</v>
      </c>
      <c r="K656" t="s">
        <v>1717</v>
      </c>
      <c r="L656" s="25">
        <v>9.5243055555555553E-2</v>
      </c>
      <c r="M656">
        <v>5.1500000000000004E-2</v>
      </c>
      <c r="N656">
        <v>7.17E-2</v>
      </c>
      <c r="O656">
        <v>10635</v>
      </c>
      <c r="P656">
        <v>1</v>
      </c>
      <c r="Q656" t="s">
        <v>1238</v>
      </c>
      <c r="R656" t="s">
        <v>1239</v>
      </c>
      <c r="S656" t="s">
        <v>1231</v>
      </c>
      <c r="T656">
        <v>3</v>
      </c>
    </row>
    <row r="657" spans="1:20" x14ac:dyDescent="0.3">
      <c r="A657" t="s">
        <v>668</v>
      </c>
      <c r="B657" t="s">
        <v>669</v>
      </c>
      <c r="C657">
        <v>8894</v>
      </c>
      <c r="D657">
        <v>575</v>
      </c>
      <c r="E657">
        <v>1166</v>
      </c>
      <c r="F657">
        <v>5.15</v>
      </c>
      <c r="G657">
        <v>88909</v>
      </c>
      <c r="H657">
        <v>719</v>
      </c>
      <c r="I657">
        <v>7.17</v>
      </c>
      <c r="J657" t="s">
        <v>16</v>
      </c>
      <c r="K657" t="s">
        <v>1718</v>
      </c>
      <c r="L657" s="25">
        <v>9.5243055555555553E-2</v>
      </c>
      <c r="M657">
        <v>5.1500000000000004E-2</v>
      </c>
      <c r="N657">
        <v>7.17E-2</v>
      </c>
      <c r="O657">
        <v>10635</v>
      </c>
      <c r="P657">
        <v>1</v>
      </c>
      <c r="Q657" t="s">
        <v>1238</v>
      </c>
      <c r="R657" t="s">
        <v>1239</v>
      </c>
      <c r="S657" t="s">
        <v>1231</v>
      </c>
      <c r="T657">
        <v>3</v>
      </c>
    </row>
    <row r="658" spans="1:20" x14ac:dyDescent="0.3">
      <c r="A658" t="s">
        <v>668</v>
      </c>
      <c r="B658" t="s">
        <v>669</v>
      </c>
      <c r="C658">
        <v>8894</v>
      </c>
      <c r="D658">
        <v>575</v>
      </c>
      <c r="E658">
        <v>1166</v>
      </c>
      <c r="F658">
        <v>5.15</v>
      </c>
      <c r="G658">
        <v>88909</v>
      </c>
      <c r="H658">
        <v>719</v>
      </c>
      <c r="I658">
        <v>7.17</v>
      </c>
      <c r="J658" t="s">
        <v>16</v>
      </c>
      <c r="K658" t="s">
        <v>1253</v>
      </c>
      <c r="L658" s="25">
        <v>9.5243055555555553E-2</v>
      </c>
      <c r="M658">
        <v>5.1500000000000004E-2</v>
      </c>
      <c r="N658">
        <v>7.17E-2</v>
      </c>
      <c r="O658">
        <v>10635</v>
      </c>
      <c r="P658">
        <v>1</v>
      </c>
      <c r="Q658" t="s">
        <v>1238</v>
      </c>
      <c r="R658" t="s">
        <v>1239</v>
      </c>
      <c r="S658" t="s">
        <v>1231</v>
      </c>
      <c r="T658">
        <v>3</v>
      </c>
    </row>
    <row r="659" spans="1:20" x14ac:dyDescent="0.3">
      <c r="A659" t="s">
        <v>671</v>
      </c>
      <c r="B659" t="s">
        <v>672</v>
      </c>
      <c r="C659">
        <v>1352</v>
      </c>
      <c r="D659">
        <v>8</v>
      </c>
      <c r="E659">
        <v>410</v>
      </c>
      <c r="F659">
        <v>60.66</v>
      </c>
      <c r="G659">
        <v>95191</v>
      </c>
      <c r="H659">
        <v>78060</v>
      </c>
      <c r="I659">
        <v>1.31</v>
      </c>
      <c r="J659" t="s">
        <v>20</v>
      </c>
      <c r="K659" t="s">
        <v>1471</v>
      </c>
      <c r="L659" s="25">
        <v>0.30163194444444447</v>
      </c>
      <c r="M659">
        <v>0.60659999999999992</v>
      </c>
      <c r="N659">
        <v>1.3100000000000001E-2</v>
      </c>
      <c r="O659">
        <v>1770</v>
      </c>
      <c r="P659">
        <v>2.2674865488086088E-2</v>
      </c>
      <c r="Q659" t="s">
        <v>1238</v>
      </c>
      <c r="R659" t="s">
        <v>1239</v>
      </c>
      <c r="S659" t="s">
        <v>1231</v>
      </c>
      <c r="T659">
        <v>3</v>
      </c>
    </row>
    <row r="660" spans="1:20" x14ac:dyDescent="0.3">
      <c r="A660" t="s">
        <v>671</v>
      </c>
      <c r="B660" t="s">
        <v>672</v>
      </c>
      <c r="C660">
        <v>1352</v>
      </c>
      <c r="D660">
        <v>8</v>
      </c>
      <c r="E660">
        <v>410</v>
      </c>
      <c r="F660">
        <v>60.66</v>
      </c>
      <c r="G660">
        <v>95191</v>
      </c>
      <c r="H660">
        <v>78060</v>
      </c>
      <c r="I660">
        <v>1.31</v>
      </c>
      <c r="J660" t="s">
        <v>20</v>
      </c>
      <c r="K660" t="s">
        <v>1496</v>
      </c>
      <c r="L660" s="25">
        <v>0.30163194444444447</v>
      </c>
      <c r="M660">
        <v>0.60659999999999992</v>
      </c>
      <c r="N660">
        <v>1.3100000000000001E-2</v>
      </c>
      <c r="O660">
        <v>1770</v>
      </c>
      <c r="P660">
        <v>2.2674865488086088E-2</v>
      </c>
      <c r="Q660" t="s">
        <v>1238</v>
      </c>
      <c r="R660" t="s">
        <v>1239</v>
      </c>
      <c r="S660" t="s">
        <v>1231</v>
      </c>
      <c r="T660">
        <v>3</v>
      </c>
    </row>
    <row r="661" spans="1:20" x14ac:dyDescent="0.3">
      <c r="A661" t="s">
        <v>671</v>
      </c>
      <c r="B661" t="s">
        <v>672</v>
      </c>
      <c r="C661">
        <v>1352</v>
      </c>
      <c r="D661">
        <v>8</v>
      </c>
      <c r="E661">
        <v>410</v>
      </c>
      <c r="F661">
        <v>60.66</v>
      </c>
      <c r="G661">
        <v>95191</v>
      </c>
      <c r="H661">
        <v>78060</v>
      </c>
      <c r="I661">
        <v>1.31</v>
      </c>
      <c r="J661" t="s">
        <v>20</v>
      </c>
      <c r="K661" t="s">
        <v>1719</v>
      </c>
      <c r="L661" s="25">
        <v>0.30163194444444447</v>
      </c>
      <c r="M661">
        <v>0.60659999999999992</v>
      </c>
      <c r="N661">
        <v>1.3100000000000001E-2</v>
      </c>
      <c r="O661">
        <v>1770</v>
      </c>
      <c r="P661">
        <v>2.2674865488086088E-2</v>
      </c>
      <c r="Q661" t="s">
        <v>1238</v>
      </c>
      <c r="R661" t="s">
        <v>1239</v>
      </c>
      <c r="S661" t="s">
        <v>1231</v>
      </c>
      <c r="T661">
        <v>3</v>
      </c>
    </row>
    <row r="662" spans="1:20" x14ac:dyDescent="0.3">
      <c r="A662" t="s">
        <v>674</v>
      </c>
      <c r="B662" t="s">
        <v>675</v>
      </c>
      <c r="C662">
        <v>9901</v>
      </c>
      <c r="D662">
        <v>1722</v>
      </c>
      <c r="E662">
        <v>555</v>
      </c>
      <c r="F662">
        <v>0.44</v>
      </c>
      <c r="G662">
        <v>34645</v>
      </c>
      <c r="H662">
        <v>89666</v>
      </c>
      <c r="I662">
        <v>4.3099999999999996</v>
      </c>
      <c r="J662" t="s">
        <v>42</v>
      </c>
      <c r="K662" t="s">
        <v>1521</v>
      </c>
      <c r="L662" s="25">
        <v>0.1552662037037037</v>
      </c>
      <c r="M662">
        <v>4.4000000000000003E-3</v>
      </c>
      <c r="N662">
        <v>4.3099999999999999E-2</v>
      </c>
      <c r="O662">
        <v>12178</v>
      </c>
      <c r="P662">
        <v>0.13581513617201615</v>
      </c>
      <c r="Q662" t="s">
        <v>1238</v>
      </c>
      <c r="R662" t="s">
        <v>1239</v>
      </c>
      <c r="S662" t="s">
        <v>1231</v>
      </c>
      <c r="T662">
        <v>3</v>
      </c>
    </row>
    <row r="663" spans="1:20" x14ac:dyDescent="0.3">
      <c r="A663" t="s">
        <v>674</v>
      </c>
      <c r="B663" t="s">
        <v>675</v>
      </c>
      <c r="C663">
        <v>9901</v>
      </c>
      <c r="D663">
        <v>1722</v>
      </c>
      <c r="E663">
        <v>555</v>
      </c>
      <c r="F663">
        <v>0.44</v>
      </c>
      <c r="G663">
        <v>34645</v>
      </c>
      <c r="H663">
        <v>89666</v>
      </c>
      <c r="I663">
        <v>4.3099999999999996</v>
      </c>
      <c r="J663" t="s">
        <v>42</v>
      </c>
      <c r="K663" t="s">
        <v>1720</v>
      </c>
      <c r="L663" s="25">
        <v>0.1552662037037037</v>
      </c>
      <c r="M663">
        <v>4.4000000000000003E-3</v>
      </c>
      <c r="N663">
        <v>4.3099999999999999E-2</v>
      </c>
      <c r="O663">
        <v>12178</v>
      </c>
      <c r="P663">
        <v>0.13581513617201615</v>
      </c>
      <c r="Q663" t="s">
        <v>1238</v>
      </c>
      <c r="R663" t="s">
        <v>1239</v>
      </c>
      <c r="S663" t="s">
        <v>1231</v>
      </c>
      <c r="T663">
        <v>3</v>
      </c>
    </row>
    <row r="664" spans="1:20" x14ac:dyDescent="0.3">
      <c r="A664" t="s">
        <v>674</v>
      </c>
      <c r="B664" t="s">
        <v>675</v>
      </c>
      <c r="C664">
        <v>9901</v>
      </c>
      <c r="D664">
        <v>1722</v>
      </c>
      <c r="E664">
        <v>555</v>
      </c>
      <c r="F664">
        <v>0.44</v>
      </c>
      <c r="G664">
        <v>34645</v>
      </c>
      <c r="H664">
        <v>89666</v>
      </c>
      <c r="I664">
        <v>4.3099999999999996</v>
      </c>
      <c r="J664" t="s">
        <v>42</v>
      </c>
      <c r="K664" t="s">
        <v>1721</v>
      </c>
      <c r="L664" s="25">
        <v>0.1552662037037037</v>
      </c>
      <c r="M664">
        <v>4.4000000000000003E-3</v>
      </c>
      <c r="N664">
        <v>4.3099999999999999E-2</v>
      </c>
      <c r="O664">
        <v>12178</v>
      </c>
      <c r="P664">
        <v>0.13581513617201615</v>
      </c>
      <c r="Q664" t="s">
        <v>1238</v>
      </c>
      <c r="R664" t="s">
        <v>1239</v>
      </c>
      <c r="S664" t="s">
        <v>1231</v>
      </c>
      <c r="T664">
        <v>3</v>
      </c>
    </row>
    <row r="665" spans="1:20" x14ac:dyDescent="0.3">
      <c r="A665" t="s">
        <v>677</v>
      </c>
      <c r="B665" t="s">
        <v>678</v>
      </c>
      <c r="C665">
        <v>4697</v>
      </c>
      <c r="D665">
        <v>3189</v>
      </c>
      <c r="E665">
        <v>1140</v>
      </c>
      <c r="F665">
        <v>69.930000000000007</v>
      </c>
      <c r="G665">
        <v>30907</v>
      </c>
      <c r="H665">
        <v>12838</v>
      </c>
      <c r="I665">
        <v>0.46</v>
      </c>
      <c r="J665" t="s">
        <v>16</v>
      </c>
      <c r="K665" t="s">
        <v>1722</v>
      </c>
      <c r="L665" s="25">
        <v>0.92179398148148151</v>
      </c>
      <c r="M665">
        <v>0.69930000000000003</v>
      </c>
      <c r="N665">
        <v>4.5999999999999999E-3</v>
      </c>
      <c r="O665">
        <v>9026</v>
      </c>
      <c r="P665">
        <v>0.70306901386508802</v>
      </c>
      <c r="Q665" t="s">
        <v>1238</v>
      </c>
      <c r="R665" t="s">
        <v>1239</v>
      </c>
      <c r="S665" t="s">
        <v>1233</v>
      </c>
      <c r="T665">
        <v>3</v>
      </c>
    </row>
    <row r="666" spans="1:20" x14ac:dyDescent="0.3">
      <c r="A666" t="s">
        <v>677</v>
      </c>
      <c r="B666" t="s">
        <v>678</v>
      </c>
      <c r="C666">
        <v>4697</v>
      </c>
      <c r="D666">
        <v>3189</v>
      </c>
      <c r="E666">
        <v>1140</v>
      </c>
      <c r="F666">
        <v>69.930000000000007</v>
      </c>
      <c r="G666">
        <v>30907</v>
      </c>
      <c r="H666">
        <v>12838</v>
      </c>
      <c r="I666">
        <v>0.46</v>
      </c>
      <c r="J666" t="s">
        <v>16</v>
      </c>
      <c r="K666" t="s">
        <v>1723</v>
      </c>
      <c r="L666" s="25">
        <v>0.92179398148148151</v>
      </c>
      <c r="M666">
        <v>0.69930000000000003</v>
      </c>
      <c r="N666">
        <v>4.5999999999999999E-3</v>
      </c>
      <c r="O666">
        <v>9026</v>
      </c>
      <c r="P666">
        <v>0.70306901386508802</v>
      </c>
      <c r="Q666" t="s">
        <v>1238</v>
      </c>
      <c r="R666" t="s">
        <v>1239</v>
      </c>
      <c r="S666" t="s">
        <v>1233</v>
      </c>
      <c r="T666">
        <v>3</v>
      </c>
    </row>
    <row r="667" spans="1:20" x14ac:dyDescent="0.3">
      <c r="A667" t="s">
        <v>677</v>
      </c>
      <c r="B667" t="s">
        <v>678</v>
      </c>
      <c r="C667">
        <v>4697</v>
      </c>
      <c r="D667">
        <v>3189</v>
      </c>
      <c r="E667">
        <v>1140</v>
      </c>
      <c r="F667">
        <v>69.930000000000007</v>
      </c>
      <c r="G667">
        <v>30907</v>
      </c>
      <c r="H667">
        <v>12838</v>
      </c>
      <c r="I667">
        <v>0.46</v>
      </c>
      <c r="J667" t="s">
        <v>16</v>
      </c>
      <c r="K667" t="s">
        <v>1344</v>
      </c>
      <c r="L667" s="25">
        <v>0.92179398148148151</v>
      </c>
      <c r="M667">
        <v>0.69930000000000003</v>
      </c>
      <c r="N667">
        <v>4.5999999999999999E-3</v>
      </c>
      <c r="O667">
        <v>9026</v>
      </c>
      <c r="P667">
        <v>0.70306901386508802</v>
      </c>
      <c r="Q667" t="s">
        <v>1238</v>
      </c>
      <c r="R667" t="s">
        <v>1239</v>
      </c>
      <c r="S667" t="s">
        <v>1233</v>
      </c>
      <c r="T667">
        <v>3</v>
      </c>
    </row>
    <row r="668" spans="1:20" x14ac:dyDescent="0.3">
      <c r="A668" t="s">
        <v>680</v>
      </c>
      <c r="B668" t="s">
        <v>681</v>
      </c>
      <c r="C668">
        <v>6673</v>
      </c>
      <c r="D668">
        <v>404</v>
      </c>
      <c r="E668">
        <v>514</v>
      </c>
      <c r="F668">
        <v>99.01</v>
      </c>
      <c r="G668">
        <v>74337</v>
      </c>
      <c r="H668">
        <v>973</v>
      </c>
      <c r="I668">
        <v>5.47</v>
      </c>
      <c r="J668" t="s">
        <v>42</v>
      </c>
      <c r="K668" t="s">
        <v>1499</v>
      </c>
      <c r="L668" s="25">
        <v>0.78469907407407402</v>
      </c>
      <c r="M668">
        <v>0.99010000000000009</v>
      </c>
      <c r="N668">
        <v>5.4699999999999999E-2</v>
      </c>
      <c r="O668">
        <v>7591</v>
      </c>
      <c r="P668">
        <v>1</v>
      </c>
      <c r="Q668" t="s">
        <v>1238</v>
      </c>
      <c r="R668" t="s">
        <v>1239</v>
      </c>
      <c r="S668" t="s">
        <v>1232</v>
      </c>
      <c r="T668">
        <v>3</v>
      </c>
    </row>
    <row r="669" spans="1:20" x14ac:dyDescent="0.3">
      <c r="A669" t="s">
        <v>680</v>
      </c>
      <c r="B669" t="s">
        <v>681</v>
      </c>
      <c r="C669">
        <v>6673</v>
      </c>
      <c r="D669">
        <v>404</v>
      </c>
      <c r="E669">
        <v>514</v>
      </c>
      <c r="F669">
        <v>99.01</v>
      </c>
      <c r="G669">
        <v>74337</v>
      </c>
      <c r="H669">
        <v>973</v>
      </c>
      <c r="I669">
        <v>5.47</v>
      </c>
      <c r="J669" t="s">
        <v>42</v>
      </c>
      <c r="K669" t="s">
        <v>1478</v>
      </c>
      <c r="L669" s="25">
        <v>0.78469907407407402</v>
      </c>
      <c r="M669">
        <v>0.99010000000000009</v>
      </c>
      <c r="N669">
        <v>5.4699999999999999E-2</v>
      </c>
      <c r="O669">
        <v>7591</v>
      </c>
      <c r="P669">
        <v>1</v>
      </c>
      <c r="Q669" t="s">
        <v>1238</v>
      </c>
      <c r="R669" t="s">
        <v>1239</v>
      </c>
      <c r="S669" t="s">
        <v>1232</v>
      </c>
      <c r="T669">
        <v>3</v>
      </c>
    </row>
    <row r="670" spans="1:20" x14ac:dyDescent="0.3">
      <c r="A670" t="s">
        <v>680</v>
      </c>
      <c r="B670" t="s">
        <v>681</v>
      </c>
      <c r="C670">
        <v>6673</v>
      </c>
      <c r="D670">
        <v>404</v>
      </c>
      <c r="E670">
        <v>514</v>
      </c>
      <c r="F670">
        <v>99.01</v>
      </c>
      <c r="G670">
        <v>74337</v>
      </c>
      <c r="H670">
        <v>973</v>
      </c>
      <c r="I670">
        <v>5.47</v>
      </c>
      <c r="J670" t="s">
        <v>42</v>
      </c>
      <c r="K670" t="s">
        <v>1724</v>
      </c>
      <c r="L670" s="25">
        <v>0.78469907407407402</v>
      </c>
      <c r="M670">
        <v>0.99010000000000009</v>
      </c>
      <c r="N670">
        <v>5.4699999999999999E-2</v>
      </c>
      <c r="O670">
        <v>7591</v>
      </c>
      <c r="P670">
        <v>1</v>
      </c>
      <c r="Q670" t="s">
        <v>1238</v>
      </c>
      <c r="R670" t="s">
        <v>1239</v>
      </c>
      <c r="S670" t="s">
        <v>1232</v>
      </c>
      <c r="T670">
        <v>3</v>
      </c>
    </row>
    <row r="671" spans="1:20" x14ac:dyDescent="0.3">
      <c r="A671" t="s">
        <v>683</v>
      </c>
      <c r="B671" t="s">
        <v>684</v>
      </c>
      <c r="C671">
        <v>3574</v>
      </c>
      <c r="D671">
        <v>3588</v>
      </c>
      <c r="E671">
        <v>715</v>
      </c>
      <c r="F671">
        <v>6.28</v>
      </c>
      <c r="G671">
        <v>21709</v>
      </c>
      <c r="H671">
        <v>31635</v>
      </c>
      <c r="I671">
        <v>9.23</v>
      </c>
      <c r="J671" t="s">
        <v>20</v>
      </c>
      <c r="K671" t="s">
        <v>1690</v>
      </c>
      <c r="L671" s="25">
        <v>0.5080324074074074</v>
      </c>
      <c r="M671">
        <v>6.2800000000000009E-2</v>
      </c>
      <c r="N671">
        <v>9.2300000000000007E-2</v>
      </c>
      <c r="O671">
        <v>7877</v>
      </c>
      <c r="P671">
        <v>0.24899636478583848</v>
      </c>
      <c r="Q671" t="s">
        <v>1238</v>
      </c>
      <c r="R671" t="s">
        <v>1239</v>
      </c>
      <c r="S671" t="s">
        <v>1230</v>
      </c>
      <c r="T671">
        <v>3</v>
      </c>
    </row>
    <row r="672" spans="1:20" x14ac:dyDescent="0.3">
      <c r="A672" t="s">
        <v>683</v>
      </c>
      <c r="B672" t="s">
        <v>684</v>
      </c>
      <c r="C672">
        <v>3574</v>
      </c>
      <c r="D672">
        <v>3588</v>
      </c>
      <c r="E672">
        <v>715</v>
      </c>
      <c r="F672">
        <v>6.28</v>
      </c>
      <c r="G672">
        <v>21709</v>
      </c>
      <c r="H672">
        <v>31635</v>
      </c>
      <c r="I672">
        <v>9.23</v>
      </c>
      <c r="J672" t="s">
        <v>20</v>
      </c>
      <c r="K672" t="s">
        <v>1725</v>
      </c>
      <c r="L672" s="25">
        <v>0.5080324074074074</v>
      </c>
      <c r="M672">
        <v>6.2800000000000009E-2</v>
      </c>
      <c r="N672">
        <v>9.2300000000000007E-2</v>
      </c>
      <c r="O672">
        <v>7877</v>
      </c>
      <c r="P672">
        <v>0.24899636478583848</v>
      </c>
      <c r="Q672" t="s">
        <v>1238</v>
      </c>
      <c r="R672" t="s">
        <v>1239</v>
      </c>
      <c r="S672" t="s">
        <v>1230</v>
      </c>
      <c r="T672">
        <v>3</v>
      </c>
    </row>
    <row r="673" spans="1:20" x14ac:dyDescent="0.3">
      <c r="A673" t="s">
        <v>683</v>
      </c>
      <c r="B673" t="s">
        <v>684</v>
      </c>
      <c r="C673">
        <v>3574</v>
      </c>
      <c r="D673">
        <v>3588</v>
      </c>
      <c r="E673">
        <v>715</v>
      </c>
      <c r="F673">
        <v>6.28</v>
      </c>
      <c r="G673">
        <v>21709</v>
      </c>
      <c r="H673">
        <v>31635</v>
      </c>
      <c r="I673">
        <v>9.23</v>
      </c>
      <c r="J673" t="s">
        <v>20</v>
      </c>
      <c r="K673" t="s">
        <v>1726</v>
      </c>
      <c r="L673" s="25">
        <v>0.5080324074074074</v>
      </c>
      <c r="M673">
        <v>6.2800000000000009E-2</v>
      </c>
      <c r="N673">
        <v>9.2300000000000007E-2</v>
      </c>
      <c r="O673">
        <v>7877</v>
      </c>
      <c r="P673">
        <v>0.24899636478583848</v>
      </c>
      <c r="Q673" t="s">
        <v>1238</v>
      </c>
      <c r="R673" t="s">
        <v>1239</v>
      </c>
      <c r="S673" t="s">
        <v>1230</v>
      </c>
      <c r="T673">
        <v>3</v>
      </c>
    </row>
    <row r="674" spans="1:20" x14ac:dyDescent="0.3">
      <c r="A674" t="s">
        <v>686</v>
      </c>
      <c r="B674" t="s">
        <v>687</v>
      </c>
      <c r="C674">
        <v>9012</v>
      </c>
      <c r="D674">
        <v>3592</v>
      </c>
      <c r="E674">
        <v>876</v>
      </c>
      <c r="F674">
        <v>20.74</v>
      </c>
      <c r="G674">
        <v>46898</v>
      </c>
      <c r="H674">
        <v>35538</v>
      </c>
      <c r="I674">
        <v>1.1599999999999999</v>
      </c>
      <c r="J674" t="s">
        <v>20</v>
      </c>
      <c r="K674" t="s">
        <v>1683</v>
      </c>
      <c r="L674" s="25">
        <v>0.30224537037037036</v>
      </c>
      <c r="M674">
        <v>0.20739999999999997</v>
      </c>
      <c r="N674">
        <v>1.1599999999999999E-2</v>
      </c>
      <c r="O674">
        <v>13480</v>
      </c>
      <c r="P674">
        <v>0.37931228544093648</v>
      </c>
      <c r="Q674" t="s">
        <v>1238</v>
      </c>
      <c r="R674" t="s">
        <v>1239</v>
      </c>
      <c r="S674" t="s">
        <v>1231</v>
      </c>
      <c r="T674">
        <v>3</v>
      </c>
    </row>
    <row r="675" spans="1:20" x14ac:dyDescent="0.3">
      <c r="A675" t="s">
        <v>686</v>
      </c>
      <c r="B675" t="s">
        <v>687</v>
      </c>
      <c r="C675">
        <v>9012</v>
      </c>
      <c r="D675">
        <v>3592</v>
      </c>
      <c r="E675">
        <v>876</v>
      </c>
      <c r="F675">
        <v>20.74</v>
      </c>
      <c r="G675">
        <v>46898</v>
      </c>
      <c r="H675">
        <v>35538</v>
      </c>
      <c r="I675">
        <v>1.1599999999999999</v>
      </c>
      <c r="J675" t="s">
        <v>20</v>
      </c>
      <c r="K675" t="s">
        <v>1596</v>
      </c>
      <c r="L675" s="25">
        <v>0.30224537037037036</v>
      </c>
      <c r="M675">
        <v>0.20739999999999997</v>
      </c>
      <c r="N675">
        <v>1.1599999999999999E-2</v>
      </c>
      <c r="O675">
        <v>13480</v>
      </c>
      <c r="P675">
        <v>0.37931228544093648</v>
      </c>
      <c r="Q675" t="s">
        <v>1238</v>
      </c>
      <c r="R675" t="s">
        <v>1239</v>
      </c>
      <c r="S675" t="s">
        <v>1231</v>
      </c>
      <c r="T675">
        <v>3</v>
      </c>
    </row>
    <row r="676" spans="1:20" x14ac:dyDescent="0.3">
      <c r="A676" t="s">
        <v>686</v>
      </c>
      <c r="B676" t="s">
        <v>687</v>
      </c>
      <c r="C676">
        <v>9012</v>
      </c>
      <c r="D676">
        <v>3592</v>
      </c>
      <c r="E676">
        <v>876</v>
      </c>
      <c r="F676">
        <v>20.74</v>
      </c>
      <c r="G676">
        <v>46898</v>
      </c>
      <c r="H676">
        <v>35538</v>
      </c>
      <c r="I676">
        <v>1.1599999999999999</v>
      </c>
      <c r="J676" t="s">
        <v>20</v>
      </c>
      <c r="K676" t="s">
        <v>1320</v>
      </c>
      <c r="L676" s="25">
        <v>0.30224537037037036</v>
      </c>
      <c r="M676">
        <v>0.20739999999999997</v>
      </c>
      <c r="N676">
        <v>1.1599999999999999E-2</v>
      </c>
      <c r="O676">
        <v>13480</v>
      </c>
      <c r="P676">
        <v>0.37931228544093648</v>
      </c>
      <c r="Q676" t="s">
        <v>1238</v>
      </c>
      <c r="R676" t="s">
        <v>1239</v>
      </c>
      <c r="S676" t="s">
        <v>1231</v>
      </c>
      <c r="T676">
        <v>3</v>
      </c>
    </row>
    <row r="677" spans="1:20" x14ac:dyDescent="0.3">
      <c r="A677" t="s">
        <v>689</v>
      </c>
      <c r="B677" t="s">
        <v>690</v>
      </c>
      <c r="C677">
        <v>7048</v>
      </c>
      <c r="D677">
        <v>4924</v>
      </c>
      <c r="E677">
        <v>1296</v>
      </c>
      <c r="F677">
        <v>13.76</v>
      </c>
      <c r="G677">
        <v>34700</v>
      </c>
      <c r="H677">
        <v>38502</v>
      </c>
      <c r="I677">
        <v>6.98</v>
      </c>
      <c r="J677" t="s">
        <v>16</v>
      </c>
      <c r="K677" t="s">
        <v>1678</v>
      </c>
      <c r="L677" s="25">
        <v>0.8227430555555556</v>
      </c>
      <c r="M677">
        <v>0.1376</v>
      </c>
      <c r="N677">
        <v>6.9800000000000001E-2</v>
      </c>
      <c r="O677">
        <v>13268</v>
      </c>
      <c r="P677">
        <v>0.34460547504025762</v>
      </c>
      <c r="Q677" t="s">
        <v>1238</v>
      </c>
      <c r="R677" t="s">
        <v>1239</v>
      </c>
      <c r="S677" t="s">
        <v>1232</v>
      </c>
      <c r="T677">
        <v>3</v>
      </c>
    </row>
    <row r="678" spans="1:20" x14ac:dyDescent="0.3">
      <c r="A678" t="s">
        <v>689</v>
      </c>
      <c r="B678" t="s">
        <v>690</v>
      </c>
      <c r="C678">
        <v>7048</v>
      </c>
      <c r="D678">
        <v>4924</v>
      </c>
      <c r="E678">
        <v>1296</v>
      </c>
      <c r="F678">
        <v>13.76</v>
      </c>
      <c r="G678">
        <v>34700</v>
      </c>
      <c r="H678">
        <v>38502</v>
      </c>
      <c r="I678">
        <v>6.98</v>
      </c>
      <c r="J678" t="s">
        <v>16</v>
      </c>
      <c r="K678" t="s">
        <v>1727</v>
      </c>
      <c r="L678" s="25">
        <v>0.8227430555555556</v>
      </c>
      <c r="M678">
        <v>0.1376</v>
      </c>
      <c r="N678">
        <v>6.9800000000000001E-2</v>
      </c>
      <c r="O678">
        <v>13268</v>
      </c>
      <c r="P678">
        <v>0.34460547504025762</v>
      </c>
      <c r="Q678" t="s">
        <v>1238</v>
      </c>
      <c r="R678" t="s">
        <v>1239</v>
      </c>
      <c r="S678" t="s">
        <v>1232</v>
      </c>
      <c r="T678">
        <v>3</v>
      </c>
    </row>
    <row r="679" spans="1:20" x14ac:dyDescent="0.3">
      <c r="A679" t="s">
        <v>689</v>
      </c>
      <c r="B679" t="s">
        <v>690</v>
      </c>
      <c r="C679">
        <v>7048</v>
      </c>
      <c r="D679">
        <v>4924</v>
      </c>
      <c r="E679">
        <v>1296</v>
      </c>
      <c r="F679">
        <v>13.76</v>
      </c>
      <c r="G679">
        <v>34700</v>
      </c>
      <c r="H679">
        <v>38502</v>
      </c>
      <c r="I679">
        <v>6.98</v>
      </c>
      <c r="J679" t="s">
        <v>16</v>
      </c>
      <c r="K679" t="s">
        <v>1728</v>
      </c>
      <c r="L679" s="25">
        <v>0.8227430555555556</v>
      </c>
      <c r="M679">
        <v>0.1376</v>
      </c>
      <c r="N679">
        <v>6.9800000000000001E-2</v>
      </c>
      <c r="O679">
        <v>13268</v>
      </c>
      <c r="P679">
        <v>0.34460547504025762</v>
      </c>
      <c r="Q679" t="s">
        <v>1238</v>
      </c>
      <c r="R679" t="s">
        <v>1239</v>
      </c>
      <c r="S679" t="s">
        <v>1232</v>
      </c>
      <c r="T679">
        <v>3</v>
      </c>
    </row>
    <row r="680" spans="1:20" x14ac:dyDescent="0.3">
      <c r="A680" t="s">
        <v>692</v>
      </c>
      <c r="B680" t="s">
        <v>693</v>
      </c>
      <c r="C680">
        <v>2700</v>
      </c>
      <c r="D680">
        <v>1444</v>
      </c>
      <c r="E680">
        <v>347</v>
      </c>
      <c r="F680">
        <v>53.85</v>
      </c>
      <c r="G680">
        <v>88774</v>
      </c>
      <c r="H680">
        <v>59000</v>
      </c>
      <c r="I680">
        <v>1.91</v>
      </c>
      <c r="J680" t="s">
        <v>20</v>
      </c>
      <c r="K680" t="s">
        <v>1478</v>
      </c>
      <c r="L680" s="25">
        <v>0.35717592592592595</v>
      </c>
      <c r="M680">
        <v>0.53849999999999998</v>
      </c>
      <c r="N680">
        <v>1.9099999999999999E-2</v>
      </c>
      <c r="O680">
        <v>4491</v>
      </c>
      <c r="P680">
        <v>7.6118644067796615E-2</v>
      </c>
      <c r="Q680" t="s">
        <v>1238</v>
      </c>
      <c r="R680" t="s">
        <v>1239</v>
      </c>
      <c r="S680" t="s">
        <v>1231</v>
      </c>
      <c r="T680">
        <v>3</v>
      </c>
    </row>
    <row r="681" spans="1:20" x14ac:dyDescent="0.3">
      <c r="A681" t="s">
        <v>692</v>
      </c>
      <c r="B681" t="s">
        <v>693</v>
      </c>
      <c r="C681">
        <v>2700</v>
      </c>
      <c r="D681">
        <v>1444</v>
      </c>
      <c r="E681">
        <v>347</v>
      </c>
      <c r="F681">
        <v>53.85</v>
      </c>
      <c r="G681">
        <v>88774</v>
      </c>
      <c r="H681">
        <v>59000</v>
      </c>
      <c r="I681">
        <v>1.91</v>
      </c>
      <c r="J681" t="s">
        <v>20</v>
      </c>
      <c r="K681" t="s">
        <v>1418</v>
      </c>
      <c r="L681" s="25">
        <v>0.35717592592592595</v>
      </c>
      <c r="M681">
        <v>0.53849999999999998</v>
      </c>
      <c r="N681">
        <v>1.9099999999999999E-2</v>
      </c>
      <c r="O681">
        <v>4491</v>
      </c>
      <c r="P681">
        <v>7.6118644067796615E-2</v>
      </c>
      <c r="Q681" t="s">
        <v>1238</v>
      </c>
      <c r="R681" t="s">
        <v>1239</v>
      </c>
      <c r="S681" t="s">
        <v>1231</v>
      </c>
      <c r="T681">
        <v>3</v>
      </c>
    </row>
    <row r="682" spans="1:20" x14ac:dyDescent="0.3">
      <c r="A682" t="s">
        <v>692</v>
      </c>
      <c r="B682" t="s">
        <v>693</v>
      </c>
      <c r="C682">
        <v>2700</v>
      </c>
      <c r="D682">
        <v>1444</v>
      </c>
      <c r="E682">
        <v>347</v>
      </c>
      <c r="F682">
        <v>53.85</v>
      </c>
      <c r="G682">
        <v>88774</v>
      </c>
      <c r="H682">
        <v>59000</v>
      </c>
      <c r="I682">
        <v>1.91</v>
      </c>
      <c r="J682" t="s">
        <v>20</v>
      </c>
      <c r="K682" t="s">
        <v>1729</v>
      </c>
      <c r="L682" s="25">
        <v>0.35717592592592595</v>
      </c>
      <c r="M682">
        <v>0.53849999999999998</v>
      </c>
      <c r="N682">
        <v>1.9099999999999999E-2</v>
      </c>
      <c r="O682">
        <v>4491</v>
      </c>
      <c r="P682">
        <v>7.6118644067796615E-2</v>
      </c>
      <c r="Q682" t="s">
        <v>1238</v>
      </c>
      <c r="R682" t="s">
        <v>1239</v>
      </c>
      <c r="S682" t="s">
        <v>1231</v>
      </c>
      <c r="T682">
        <v>3</v>
      </c>
    </row>
    <row r="683" spans="1:20" x14ac:dyDescent="0.3">
      <c r="A683" t="s">
        <v>695</v>
      </c>
      <c r="B683" t="s">
        <v>696</v>
      </c>
      <c r="C683">
        <v>6749</v>
      </c>
      <c r="D683">
        <v>1429</v>
      </c>
      <c r="E683">
        <v>1093</v>
      </c>
      <c r="F683">
        <v>25.82</v>
      </c>
      <c r="G683">
        <v>66350</v>
      </c>
      <c r="H683">
        <v>2271</v>
      </c>
      <c r="I683">
        <v>9.67</v>
      </c>
      <c r="J683" t="s">
        <v>12</v>
      </c>
      <c r="K683" t="s">
        <v>1511</v>
      </c>
      <c r="L683" s="25">
        <v>6.2858796296296301E-2</v>
      </c>
      <c r="M683">
        <v>0.25819999999999999</v>
      </c>
      <c r="N683">
        <v>9.6699999999999994E-2</v>
      </c>
      <c r="O683">
        <v>9271</v>
      </c>
      <c r="P683">
        <v>1</v>
      </c>
      <c r="Q683" t="s">
        <v>1238</v>
      </c>
      <c r="R683" t="s">
        <v>1239</v>
      </c>
      <c r="S683" t="s">
        <v>1231</v>
      </c>
      <c r="T683">
        <v>3</v>
      </c>
    </row>
    <row r="684" spans="1:20" x14ac:dyDescent="0.3">
      <c r="A684" t="s">
        <v>695</v>
      </c>
      <c r="B684" t="s">
        <v>696</v>
      </c>
      <c r="C684">
        <v>6749</v>
      </c>
      <c r="D684">
        <v>1429</v>
      </c>
      <c r="E684">
        <v>1093</v>
      </c>
      <c r="F684">
        <v>25.82</v>
      </c>
      <c r="G684">
        <v>66350</v>
      </c>
      <c r="H684">
        <v>2271</v>
      </c>
      <c r="I684">
        <v>9.67</v>
      </c>
      <c r="J684" t="s">
        <v>12</v>
      </c>
      <c r="K684" t="s">
        <v>1454</v>
      </c>
      <c r="L684" s="25">
        <v>6.2858796296296301E-2</v>
      </c>
      <c r="M684">
        <v>0.25819999999999999</v>
      </c>
      <c r="N684">
        <v>9.6699999999999994E-2</v>
      </c>
      <c r="O684">
        <v>9271</v>
      </c>
      <c r="P684">
        <v>1</v>
      </c>
      <c r="Q684" t="s">
        <v>1238</v>
      </c>
      <c r="R684" t="s">
        <v>1239</v>
      </c>
      <c r="S684" t="s">
        <v>1231</v>
      </c>
      <c r="T684">
        <v>3</v>
      </c>
    </row>
    <row r="685" spans="1:20" x14ac:dyDescent="0.3">
      <c r="A685" t="s">
        <v>695</v>
      </c>
      <c r="B685" t="s">
        <v>696</v>
      </c>
      <c r="C685">
        <v>6749</v>
      </c>
      <c r="D685">
        <v>1429</v>
      </c>
      <c r="E685">
        <v>1093</v>
      </c>
      <c r="F685">
        <v>25.82</v>
      </c>
      <c r="G685">
        <v>66350</v>
      </c>
      <c r="H685">
        <v>2271</v>
      </c>
      <c r="I685">
        <v>9.67</v>
      </c>
      <c r="J685" t="s">
        <v>12</v>
      </c>
      <c r="K685" t="s">
        <v>1536</v>
      </c>
      <c r="L685" s="25">
        <v>6.2858796296296301E-2</v>
      </c>
      <c r="M685">
        <v>0.25819999999999999</v>
      </c>
      <c r="N685">
        <v>9.6699999999999994E-2</v>
      </c>
      <c r="O685">
        <v>9271</v>
      </c>
      <c r="P685">
        <v>1</v>
      </c>
      <c r="Q685" t="s">
        <v>1238</v>
      </c>
      <c r="R685" t="s">
        <v>1239</v>
      </c>
      <c r="S685" t="s">
        <v>1231</v>
      </c>
      <c r="T685">
        <v>3</v>
      </c>
    </row>
    <row r="686" spans="1:20" x14ac:dyDescent="0.3">
      <c r="A686" t="s">
        <v>698</v>
      </c>
      <c r="B686" t="s">
        <v>699</v>
      </c>
      <c r="C686">
        <v>7232</v>
      </c>
      <c r="D686">
        <v>1691</v>
      </c>
      <c r="E686">
        <v>1876</v>
      </c>
      <c r="F686">
        <v>88.67</v>
      </c>
      <c r="G686">
        <v>81572</v>
      </c>
      <c r="H686">
        <v>81800</v>
      </c>
      <c r="I686">
        <v>6.04</v>
      </c>
      <c r="J686" t="s">
        <v>20</v>
      </c>
      <c r="K686" t="s">
        <v>1730</v>
      </c>
      <c r="L686" s="25">
        <v>0.75413194444444442</v>
      </c>
      <c r="M686">
        <v>0.88670000000000004</v>
      </c>
      <c r="N686">
        <v>6.0400000000000002E-2</v>
      </c>
      <c r="O686">
        <v>10799</v>
      </c>
      <c r="P686">
        <v>0.13201711491442542</v>
      </c>
      <c r="Q686" t="s">
        <v>1238</v>
      </c>
      <c r="R686" t="s">
        <v>1239</v>
      </c>
      <c r="S686" t="s">
        <v>1232</v>
      </c>
      <c r="T686">
        <v>3</v>
      </c>
    </row>
    <row r="687" spans="1:20" x14ac:dyDescent="0.3">
      <c r="A687" t="s">
        <v>698</v>
      </c>
      <c r="B687" t="s">
        <v>699</v>
      </c>
      <c r="C687">
        <v>7232</v>
      </c>
      <c r="D687">
        <v>1691</v>
      </c>
      <c r="E687">
        <v>1876</v>
      </c>
      <c r="F687">
        <v>88.67</v>
      </c>
      <c r="G687">
        <v>81572</v>
      </c>
      <c r="H687">
        <v>81800</v>
      </c>
      <c r="I687">
        <v>6.04</v>
      </c>
      <c r="J687" t="s">
        <v>20</v>
      </c>
      <c r="K687" t="s">
        <v>1731</v>
      </c>
      <c r="L687" s="25">
        <v>0.75413194444444442</v>
      </c>
      <c r="M687">
        <v>0.88670000000000004</v>
      </c>
      <c r="N687">
        <v>6.0400000000000002E-2</v>
      </c>
      <c r="O687">
        <v>10799</v>
      </c>
      <c r="P687">
        <v>0.13201711491442542</v>
      </c>
      <c r="Q687" t="s">
        <v>1238</v>
      </c>
      <c r="R687" t="s">
        <v>1239</v>
      </c>
      <c r="S687" t="s">
        <v>1232</v>
      </c>
      <c r="T687">
        <v>3</v>
      </c>
    </row>
    <row r="688" spans="1:20" x14ac:dyDescent="0.3">
      <c r="A688" t="s">
        <v>698</v>
      </c>
      <c r="B688" t="s">
        <v>699</v>
      </c>
      <c r="C688">
        <v>7232</v>
      </c>
      <c r="D688">
        <v>1691</v>
      </c>
      <c r="E688">
        <v>1876</v>
      </c>
      <c r="F688">
        <v>88.67</v>
      </c>
      <c r="G688">
        <v>81572</v>
      </c>
      <c r="H688">
        <v>81800</v>
      </c>
      <c r="I688">
        <v>6.04</v>
      </c>
      <c r="J688" t="s">
        <v>20</v>
      </c>
      <c r="K688" t="s">
        <v>1604</v>
      </c>
      <c r="L688" s="25">
        <v>0.75413194444444442</v>
      </c>
      <c r="M688">
        <v>0.88670000000000004</v>
      </c>
      <c r="N688">
        <v>6.0400000000000002E-2</v>
      </c>
      <c r="O688">
        <v>10799</v>
      </c>
      <c r="P688">
        <v>0.13201711491442542</v>
      </c>
      <c r="Q688" t="s">
        <v>1238</v>
      </c>
      <c r="R688" t="s">
        <v>1239</v>
      </c>
      <c r="S688" t="s">
        <v>1232</v>
      </c>
      <c r="T688">
        <v>3</v>
      </c>
    </row>
    <row r="689" spans="1:20" x14ac:dyDescent="0.3">
      <c r="A689" t="s">
        <v>701</v>
      </c>
      <c r="B689" t="s">
        <v>702</v>
      </c>
      <c r="C689">
        <v>2860</v>
      </c>
      <c r="D689">
        <v>700</v>
      </c>
      <c r="E689">
        <v>1114</v>
      </c>
      <c r="F689">
        <v>1.1499999999999999</v>
      </c>
      <c r="G689">
        <v>31226</v>
      </c>
      <c r="H689">
        <v>26227</v>
      </c>
      <c r="I689">
        <v>2.5299999999999998</v>
      </c>
      <c r="J689" t="s">
        <v>20</v>
      </c>
      <c r="K689" t="s">
        <v>1732</v>
      </c>
      <c r="L689" s="25">
        <v>0.65232638888888894</v>
      </c>
      <c r="M689">
        <v>1.15E-2</v>
      </c>
      <c r="N689">
        <v>2.53E-2</v>
      </c>
      <c r="O689">
        <v>4674</v>
      </c>
      <c r="P689">
        <v>0.17821329164601366</v>
      </c>
      <c r="Q689" t="s">
        <v>1238</v>
      </c>
      <c r="R689" t="s">
        <v>1239</v>
      </c>
      <c r="S689" t="s">
        <v>1230</v>
      </c>
      <c r="T689">
        <v>3</v>
      </c>
    </row>
    <row r="690" spans="1:20" x14ac:dyDescent="0.3">
      <c r="A690" t="s">
        <v>701</v>
      </c>
      <c r="B690" t="s">
        <v>702</v>
      </c>
      <c r="C690">
        <v>2860</v>
      </c>
      <c r="D690">
        <v>700</v>
      </c>
      <c r="E690">
        <v>1114</v>
      </c>
      <c r="F690">
        <v>1.1499999999999999</v>
      </c>
      <c r="G690">
        <v>31226</v>
      </c>
      <c r="H690">
        <v>26227</v>
      </c>
      <c r="I690">
        <v>2.5299999999999998</v>
      </c>
      <c r="J690" t="s">
        <v>20</v>
      </c>
      <c r="K690" t="s">
        <v>1733</v>
      </c>
      <c r="L690" s="25">
        <v>0.65232638888888894</v>
      </c>
      <c r="M690">
        <v>1.15E-2</v>
      </c>
      <c r="N690">
        <v>2.53E-2</v>
      </c>
      <c r="O690">
        <v>4674</v>
      </c>
      <c r="P690">
        <v>0.17821329164601366</v>
      </c>
      <c r="Q690" t="s">
        <v>1238</v>
      </c>
      <c r="R690" t="s">
        <v>1239</v>
      </c>
      <c r="S690" t="s">
        <v>1230</v>
      </c>
      <c r="T690">
        <v>3</v>
      </c>
    </row>
    <row r="691" spans="1:20" x14ac:dyDescent="0.3">
      <c r="A691" t="s">
        <v>701</v>
      </c>
      <c r="B691" t="s">
        <v>702</v>
      </c>
      <c r="C691">
        <v>2860</v>
      </c>
      <c r="D691">
        <v>700</v>
      </c>
      <c r="E691">
        <v>1114</v>
      </c>
      <c r="F691">
        <v>1.1499999999999999</v>
      </c>
      <c r="G691">
        <v>31226</v>
      </c>
      <c r="H691">
        <v>26227</v>
      </c>
      <c r="I691">
        <v>2.5299999999999998</v>
      </c>
      <c r="J691" t="s">
        <v>20</v>
      </c>
      <c r="K691" t="s">
        <v>1513</v>
      </c>
      <c r="L691" s="25">
        <v>0.65232638888888894</v>
      </c>
      <c r="M691">
        <v>1.15E-2</v>
      </c>
      <c r="N691">
        <v>2.53E-2</v>
      </c>
      <c r="O691">
        <v>4674</v>
      </c>
      <c r="P691">
        <v>0.17821329164601366</v>
      </c>
      <c r="Q691" t="s">
        <v>1238</v>
      </c>
      <c r="R691" t="s">
        <v>1239</v>
      </c>
      <c r="S691" t="s">
        <v>1230</v>
      </c>
      <c r="T691">
        <v>3</v>
      </c>
    </row>
    <row r="692" spans="1:20" x14ac:dyDescent="0.3">
      <c r="A692" t="s">
        <v>704</v>
      </c>
      <c r="B692" t="s">
        <v>705</v>
      </c>
      <c r="C692">
        <v>5003</v>
      </c>
      <c r="D692">
        <v>4755</v>
      </c>
      <c r="E692">
        <v>446</v>
      </c>
      <c r="F692">
        <v>3.17</v>
      </c>
      <c r="G692">
        <v>36833</v>
      </c>
      <c r="H692">
        <v>32161</v>
      </c>
      <c r="I692">
        <v>5.51</v>
      </c>
      <c r="J692" t="s">
        <v>12</v>
      </c>
      <c r="K692" t="s">
        <v>1295</v>
      </c>
      <c r="L692" s="25">
        <v>0.47092592592592591</v>
      </c>
      <c r="M692">
        <v>3.1699999999999999E-2</v>
      </c>
      <c r="N692">
        <v>5.5099999999999996E-2</v>
      </c>
      <c r="O692">
        <v>10204</v>
      </c>
      <c r="P692">
        <v>0.31727869158297317</v>
      </c>
      <c r="Q692" t="s">
        <v>1238</v>
      </c>
      <c r="R692" t="s">
        <v>1239</v>
      </c>
      <c r="S692" t="s">
        <v>1231</v>
      </c>
      <c r="T692">
        <v>3</v>
      </c>
    </row>
    <row r="693" spans="1:20" x14ac:dyDescent="0.3">
      <c r="A693" t="s">
        <v>704</v>
      </c>
      <c r="B693" t="s">
        <v>705</v>
      </c>
      <c r="C693">
        <v>5003</v>
      </c>
      <c r="D693">
        <v>4755</v>
      </c>
      <c r="E693">
        <v>446</v>
      </c>
      <c r="F693">
        <v>3.17</v>
      </c>
      <c r="G693">
        <v>36833</v>
      </c>
      <c r="H693">
        <v>32161</v>
      </c>
      <c r="I693">
        <v>5.51</v>
      </c>
      <c r="J693" t="s">
        <v>12</v>
      </c>
      <c r="K693" t="s">
        <v>1532</v>
      </c>
      <c r="L693" s="25">
        <v>0.47092592592592591</v>
      </c>
      <c r="M693">
        <v>3.1699999999999999E-2</v>
      </c>
      <c r="N693">
        <v>5.5099999999999996E-2</v>
      </c>
      <c r="O693">
        <v>10204</v>
      </c>
      <c r="P693">
        <v>0.31727869158297317</v>
      </c>
      <c r="Q693" t="s">
        <v>1238</v>
      </c>
      <c r="R693" t="s">
        <v>1239</v>
      </c>
      <c r="S693" t="s">
        <v>1231</v>
      </c>
      <c r="T693">
        <v>3</v>
      </c>
    </row>
    <row r="694" spans="1:20" x14ac:dyDescent="0.3">
      <c r="A694" t="s">
        <v>704</v>
      </c>
      <c r="B694" t="s">
        <v>705</v>
      </c>
      <c r="C694">
        <v>5003</v>
      </c>
      <c r="D694">
        <v>4755</v>
      </c>
      <c r="E694">
        <v>446</v>
      </c>
      <c r="F694">
        <v>3.17</v>
      </c>
      <c r="G694">
        <v>36833</v>
      </c>
      <c r="H694">
        <v>32161</v>
      </c>
      <c r="I694">
        <v>5.51</v>
      </c>
      <c r="J694" t="s">
        <v>12</v>
      </c>
      <c r="K694" t="s">
        <v>1340</v>
      </c>
      <c r="L694" s="25">
        <v>0.47092592592592591</v>
      </c>
      <c r="M694">
        <v>3.1699999999999999E-2</v>
      </c>
      <c r="N694">
        <v>5.5099999999999996E-2</v>
      </c>
      <c r="O694">
        <v>10204</v>
      </c>
      <c r="P694">
        <v>0.31727869158297317</v>
      </c>
      <c r="Q694" t="s">
        <v>1238</v>
      </c>
      <c r="R694" t="s">
        <v>1239</v>
      </c>
      <c r="S694" t="s">
        <v>1231</v>
      </c>
      <c r="T694">
        <v>3</v>
      </c>
    </row>
    <row r="695" spans="1:20" x14ac:dyDescent="0.3">
      <c r="A695" t="s">
        <v>707</v>
      </c>
      <c r="B695" t="s">
        <v>708</v>
      </c>
      <c r="C695">
        <v>3009</v>
      </c>
      <c r="D695">
        <v>3101</v>
      </c>
      <c r="E695">
        <v>1638</v>
      </c>
      <c r="F695">
        <v>18.920000000000002</v>
      </c>
      <c r="G695">
        <v>33748</v>
      </c>
      <c r="H695">
        <v>1091</v>
      </c>
      <c r="I695">
        <v>3.57</v>
      </c>
      <c r="J695" t="s">
        <v>12</v>
      </c>
      <c r="K695" t="s">
        <v>1521</v>
      </c>
      <c r="L695" s="25">
        <v>0.62332175925925926</v>
      </c>
      <c r="M695">
        <v>0.18920000000000001</v>
      </c>
      <c r="N695">
        <v>3.5699999999999996E-2</v>
      </c>
      <c r="O695">
        <v>7748</v>
      </c>
      <c r="P695">
        <v>1</v>
      </c>
      <c r="Q695" t="s">
        <v>1238</v>
      </c>
      <c r="R695" t="s">
        <v>1239</v>
      </c>
      <c r="S695" t="s">
        <v>1230</v>
      </c>
      <c r="T695">
        <v>3</v>
      </c>
    </row>
    <row r="696" spans="1:20" x14ac:dyDescent="0.3">
      <c r="A696" t="s">
        <v>707</v>
      </c>
      <c r="B696" t="s">
        <v>708</v>
      </c>
      <c r="C696">
        <v>3009</v>
      </c>
      <c r="D696">
        <v>3101</v>
      </c>
      <c r="E696">
        <v>1638</v>
      </c>
      <c r="F696">
        <v>18.920000000000002</v>
      </c>
      <c r="G696">
        <v>33748</v>
      </c>
      <c r="H696">
        <v>1091</v>
      </c>
      <c r="I696">
        <v>3.57</v>
      </c>
      <c r="J696" t="s">
        <v>12</v>
      </c>
      <c r="K696" t="s">
        <v>1586</v>
      </c>
      <c r="L696" s="25">
        <v>0.62332175925925926</v>
      </c>
      <c r="M696">
        <v>0.18920000000000001</v>
      </c>
      <c r="N696">
        <v>3.5699999999999996E-2</v>
      </c>
      <c r="O696">
        <v>7748</v>
      </c>
      <c r="P696">
        <v>1</v>
      </c>
      <c r="Q696" t="s">
        <v>1238</v>
      </c>
      <c r="R696" t="s">
        <v>1239</v>
      </c>
      <c r="S696" t="s">
        <v>1230</v>
      </c>
      <c r="T696">
        <v>3</v>
      </c>
    </row>
    <row r="697" spans="1:20" x14ac:dyDescent="0.3">
      <c r="A697" t="s">
        <v>707</v>
      </c>
      <c r="B697" t="s">
        <v>708</v>
      </c>
      <c r="C697">
        <v>3009</v>
      </c>
      <c r="D697">
        <v>3101</v>
      </c>
      <c r="E697">
        <v>1638</v>
      </c>
      <c r="F697">
        <v>18.920000000000002</v>
      </c>
      <c r="G697">
        <v>33748</v>
      </c>
      <c r="H697">
        <v>1091</v>
      </c>
      <c r="I697">
        <v>3.57</v>
      </c>
      <c r="J697" t="s">
        <v>12</v>
      </c>
      <c r="K697" t="s">
        <v>1734</v>
      </c>
      <c r="L697" s="25">
        <v>0.62332175925925926</v>
      </c>
      <c r="M697">
        <v>0.18920000000000001</v>
      </c>
      <c r="N697">
        <v>3.5699999999999996E-2</v>
      </c>
      <c r="O697">
        <v>7748</v>
      </c>
      <c r="P697">
        <v>1</v>
      </c>
      <c r="Q697" t="s">
        <v>1238</v>
      </c>
      <c r="R697" t="s">
        <v>1239</v>
      </c>
      <c r="S697" t="s">
        <v>1230</v>
      </c>
      <c r="T697">
        <v>3</v>
      </c>
    </row>
    <row r="698" spans="1:20" x14ac:dyDescent="0.3">
      <c r="A698" t="s">
        <v>710</v>
      </c>
      <c r="B698" t="s">
        <v>711</v>
      </c>
      <c r="C698">
        <v>9440</v>
      </c>
      <c r="D698">
        <v>4079</v>
      </c>
      <c r="E698">
        <v>1682</v>
      </c>
      <c r="F698">
        <v>30.89</v>
      </c>
      <c r="G698">
        <v>96131</v>
      </c>
      <c r="H698">
        <v>51206</v>
      </c>
      <c r="I698">
        <v>1.01</v>
      </c>
      <c r="J698" t="s">
        <v>42</v>
      </c>
      <c r="K698" t="s">
        <v>1735</v>
      </c>
      <c r="L698" s="25">
        <v>0.58424768518518522</v>
      </c>
      <c r="M698">
        <v>0.30890000000000001</v>
      </c>
      <c r="N698">
        <v>1.01E-2</v>
      </c>
      <c r="O698">
        <v>15201</v>
      </c>
      <c r="P698">
        <v>0.2968597429988673</v>
      </c>
      <c r="Q698" t="s">
        <v>1238</v>
      </c>
      <c r="R698" t="s">
        <v>1239</v>
      </c>
      <c r="S698" t="s">
        <v>1230</v>
      </c>
      <c r="T698">
        <v>3</v>
      </c>
    </row>
    <row r="699" spans="1:20" x14ac:dyDescent="0.3">
      <c r="A699" t="s">
        <v>710</v>
      </c>
      <c r="B699" t="s">
        <v>711</v>
      </c>
      <c r="C699">
        <v>9440</v>
      </c>
      <c r="D699">
        <v>4079</v>
      </c>
      <c r="E699">
        <v>1682</v>
      </c>
      <c r="F699">
        <v>30.89</v>
      </c>
      <c r="G699">
        <v>96131</v>
      </c>
      <c r="H699">
        <v>51206</v>
      </c>
      <c r="I699">
        <v>1.01</v>
      </c>
      <c r="J699" t="s">
        <v>42</v>
      </c>
      <c r="K699" t="s">
        <v>1631</v>
      </c>
      <c r="L699" s="25">
        <v>0.58424768518518522</v>
      </c>
      <c r="M699">
        <v>0.30890000000000001</v>
      </c>
      <c r="N699">
        <v>1.01E-2</v>
      </c>
      <c r="O699">
        <v>15201</v>
      </c>
      <c r="P699">
        <v>0.2968597429988673</v>
      </c>
      <c r="Q699" t="s">
        <v>1238</v>
      </c>
      <c r="R699" t="s">
        <v>1239</v>
      </c>
      <c r="S699" t="s">
        <v>1230</v>
      </c>
      <c r="T699">
        <v>3</v>
      </c>
    </row>
    <row r="700" spans="1:20" x14ac:dyDescent="0.3">
      <c r="A700" t="s">
        <v>710</v>
      </c>
      <c r="B700" t="s">
        <v>711</v>
      </c>
      <c r="C700">
        <v>9440</v>
      </c>
      <c r="D700">
        <v>4079</v>
      </c>
      <c r="E700">
        <v>1682</v>
      </c>
      <c r="F700">
        <v>30.89</v>
      </c>
      <c r="G700">
        <v>96131</v>
      </c>
      <c r="H700">
        <v>51206</v>
      </c>
      <c r="I700">
        <v>1.01</v>
      </c>
      <c r="J700" t="s">
        <v>42</v>
      </c>
      <c r="K700" t="s">
        <v>1641</v>
      </c>
      <c r="L700" s="25">
        <v>0.58424768518518522</v>
      </c>
      <c r="M700">
        <v>0.30890000000000001</v>
      </c>
      <c r="N700">
        <v>1.01E-2</v>
      </c>
      <c r="O700">
        <v>15201</v>
      </c>
      <c r="P700">
        <v>0.2968597429988673</v>
      </c>
      <c r="Q700" t="s">
        <v>1238</v>
      </c>
      <c r="R700" t="s">
        <v>1239</v>
      </c>
      <c r="S700" t="s">
        <v>1230</v>
      </c>
      <c r="T700">
        <v>3</v>
      </c>
    </row>
    <row r="701" spans="1:20" x14ac:dyDescent="0.3">
      <c r="A701" t="s">
        <v>713</v>
      </c>
      <c r="B701" t="s">
        <v>714</v>
      </c>
      <c r="C701">
        <v>5297</v>
      </c>
      <c r="D701">
        <v>3089</v>
      </c>
      <c r="E701">
        <v>1148</v>
      </c>
      <c r="F701">
        <v>6.2</v>
      </c>
      <c r="G701">
        <v>88112</v>
      </c>
      <c r="H701">
        <v>86304</v>
      </c>
      <c r="I701">
        <v>7.25</v>
      </c>
      <c r="J701" t="s">
        <v>12</v>
      </c>
      <c r="K701" t="s">
        <v>1729</v>
      </c>
      <c r="L701" s="25">
        <v>8.9120370370370373E-4</v>
      </c>
      <c r="M701">
        <v>6.2E-2</v>
      </c>
      <c r="N701">
        <v>7.2499999999999995E-2</v>
      </c>
      <c r="O701">
        <v>9534</v>
      </c>
      <c r="P701">
        <v>0.11046996662958843</v>
      </c>
      <c r="Q701" t="s">
        <v>1238</v>
      </c>
      <c r="R701" t="s">
        <v>1239</v>
      </c>
      <c r="S701" t="s">
        <v>1231</v>
      </c>
      <c r="T701">
        <v>3</v>
      </c>
    </row>
    <row r="702" spans="1:20" x14ac:dyDescent="0.3">
      <c r="A702" t="s">
        <v>713</v>
      </c>
      <c r="B702" t="s">
        <v>714</v>
      </c>
      <c r="C702">
        <v>5297</v>
      </c>
      <c r="D702">
        <v>3089</v>
      </c>
      <c r="E702">
        <v>1148</v>
      </c>
      <c r="F702">
        <v>6.2</v>
      </c>
      <c r="G702">
        <v>88112</v>
      </c>
      <c r="H702">
        <v>86304</v>
      </c>
      <c r="I702">
        <v>7.25</v>
      </c>
      <c r="J702" t="s">
        <v>12</v>
      </c>
      <c r="K702" t="s">
        <v>1732</v>
      </c>
      <c r="L702" s="25">
        <v>8.9120370370370373E-4</v>
      </c>
      <c r="M702">
        <v>6.2E-2</v>
      </c>
      <c r="N702">
        <v>7.2499999999999995E-2</v>
      </c>
      <c r="O702">
        <v>9534</v>
      </c>
      <c r="P702">
        <v>0.11046996662958843</v>
      </c>
      <c r="Q702" t="s">
        <v>1238</v>
      </c>
      <c r="R702" t="s">
        <v>1239</v>
      </c>
      <c r="S702" t="s">
        <v>1231</v>
      </c>
      <c r="T702">
        <v>3</v>
      </c>
    </row>
    <row r="703" spans="1:20" x14ac:dyDescent="0.3">
      <c r="A703" t="s">
        <v>713</v>
      </c>
      <c r="B703" t="s">
        <v>714</v>
      </c>
      <c r="C703">
        <v>5297</v>
      </c>
      <c r="D703">
        <v>3089</v>
      </c>
      <c r="E703">
        <v>1148</v>
      </c>
      <c r="F703">
        <v>6.2</v>
      </c>
      <c r="G703">
        <v>88112</v>
      </c>
      <c r="H703">
        <v>86304</v>
      </c>
      <c r="I703">
        <v>7.25</v>
      </c>
      <c r="J703" t="s">
        <v>12</v>
      </c>
      <c r="K703" t="s">
        <v>1736</v>
      </c>
      <c r="L703" s="25">
        <v>8.9120370370370373E-4</v>
      </c>
      <c r="M703">
        <v>6.2E-2</v>
      </c>
      <c r="N703">
        <v>7.2499999999999995E-2</v>
      </c>
      <c r="O703">
        <v>9534</v>
      </c>
      <c r="P703">
        <v>0.11046996662958843</v>
      </c>
      <c r="Q703" t="s">
        <v>1238</v>
      </c>
      <c r="R703" t="s">
        <v>1239</v>
      </c>
      <c r="S703" t="s">
        <v>1231</v>
      </c>
      <c r="T703">
        <v>3</v>
      </c>
    </row>
    <row r="704" spans="1:20" x14ac:dyDescent="0.3">
      <c r="A704" t="s">
        <v>716</v>
      </c>
      <c r="B704" t="s">
        <v>717</v>
      </c>
      <c r="C704">
        <v>9556</v>
      </c>
      <c r="D704">
        <v>372</v>
      </c>
      <c r="E704">
        <v>1439</v>
      </c>
      <c r="F704">
        <v>34.5</v>
      </c>
      <c r="G704">
        <v>3854</v>
      </c>
      <c r="H704">
        <v>11293</v>
      </c>
      <c r="I704">
        <v>3.55</v>
      </c>
      <c r="J704" t="s">
        <v>12</v>
      </c>
      <c r="K704" t="s">
        <v>1737</v>
      </c>
      <c r="L704" s="25">
        <v>0.82401620370370365</v>
      </c>
      <c r="M704">
        <v>0.34499999999999997</v>
      </c>
      <c r="N704">
        <v>3.5499999999999997E-2</v>
      </c>
      <c r="O704">
        <v>11367</v>
      </c>
      <c r="P704">
        <v>1</v>
      </c>
      <c r="Q704" t="s">
        <v>1238</v>
      </c>
      <c r="R704" t="s">
        <v>1239</v>
      </c>
      <c r="S704" t="s">
        <v>1232</v>
      </c>
      <c r="T704">
        <v>3</v>
      </c>
    </row>
    <row r="705" spans="1:20" x14ac:dyDescent="0.3">
      <c r="A705" t="s">
        <v>716</v>
      </c>
      <c r="B705" t="s">
        <v>717</v>
      </c>
      <c r="C705">
        <v>9556</v>
      </c>
      <c r="D705">
        <v>372</v>
      </c>
      <c r="E705">
        <v>1439</v>
      </c>
      <c r="F705">
        <v>34.5</v>
      </c>
      <c r="G705">
        <v>3854</v>
      </c>
      <c r="H705">
        <v>11293</v>
      </c>
      <c r="I705">
        <v>3.55</v>
      </c>
      <c r="J705" t="s">
        <v>12</v>
      </c>
      <c r="K705" t="s">
        <v>1738</v>
      </c>
      <c r="L705" s="25">
        <v>0.82401620370370365</v>
      </c>
      <c r="M705">
        <v>0.34499999999999997</v>
      </c>
      <c r="N705">
        <v>3.5499999999999997E-2</v>
      </c>
      <c r="O705">
        <v>11367</v>
      </c>
      <c r="P705">
        <v>1</v>
      </c>
      <c r="Q705" t="s">
        <v>1238</v>
      </c>
      <c r="R705" t="s">
        <v>1239</v>
      </c>
      <c r="S705" t="s">
        <v>1232</v>
      </c>
      <c r="T705">
        <v>3</v>
      </c>
    </row>
    <row r="706" spans="1:20" x14ac:dyDescent="0.3">
      <c r="A706" t="s">
        <v>716</v>
      </c>
      <c r="B706" t="s">
        <v>717</v>
      </c>
      <c r="C706">
        <v>9556</v>
      </c>
      <c r="D706">
        <v>372</v>
      </c>
      <c r="E706">
        <v>1439</v>
      </c>
      <c r="F706">
        <v>34.5</v>
      </c>
      <c r="G706">
        <v>3854</v>
      </c>
      <c r="H706">
        <v>11293</v>
      </c>
      <c r="I706">
        <v>3.55</v>
      </c>
      <c r="J706" t="s">
        <v>12</v>
      </c>
      <c r="K706" t="s">
        <v>1560</v>
      </c>
      <c r="L706" s="25">
        <v>0.82401620370370365</v>
      </c>
      <c r="M706">
        <v>0.34499999999999997</v>
      </c>
      <c r="N706">
        <v>3.5499999999999997E-2</v>
      </c>
      <c r="O706">
        <v>11367</v>
      </c>
      <c r="P706">
        <v>1</v>
      </c>
      <c r="Q706" t="s">
        <v>1238</v>
      </c>
      <c r="R706" t="s">
        <v>1239</v>
      </c>
      <c r="S706" t="s">
        <v>1232</v>
      </c>
      <c r="T706">
        <v>3</v>
      </c>
    </row>
    <row r="707" spans="1:20" x14ac:dyDescent="0.3">
      <c r="A707" t="s">
        <v>719</v>
      </c>
      <c r="B707" t="s">
        <v>720</v>
      </c>
      <c r="C707">
        <v>4327</v>
      </c>
      <c r="D707">
        <v>3972</v>
      </c>
      <c r="E707">
        <v>1901</v>
      </c>
      <c r="F707">
        <v>61.3</v>
      </c>
      <c r="G707">
        <v>92646</v>
      </c>
      <c r="H707">
        <v>56699</v>
      </c>
      <c r="I707">
        <v>0.02</v>
      </c>
      <c r="J707" t="s">
        <v>16</v>
      </c>
      <c r="K707" t="s">
        <v>1739</v>
      </c>
      <c r="L707" s="25">
        <v>0.16354166666666667</v>
      </c>
      <c r="M707">
        <v>0.61299999999999999</v>
      </c>
      <c r="N707">
        <v>2.0000000000000001E-4</v>
      </c>
      <c r="O707">
        <v>10200</v>
      </c>
      <c r="P707">
        <v>0.17989735268699625</v>
      </c>
      <c r="Q707" t="s">
        <v>1379</v>
      </c>
      <c r="R707" t="s">
        <v>1239</v>
      </c>
      <c r="S707" t="s">
        <v>1231</v>
      </c>
      <c r="T707">
        <v>3</v>
      </c>
    </row>
    <row r="708" spans="1:20" x14ac:dyDescent="0.3">
      <c r="A708" t="s">
        <v>719</v>
      </c>
      <c r="B708" t="s">
        <v>720</v>
      </c>
      <c r="C708">
        <v>4327</v>
      </c>
      <c r="D708">
        <v>3972</v>
      </c>
      <c r="E708">
        <v>1901</v>
      </c>
      <c r="F708">
        <v>61.3</v>
      </c>
      <c r="G708">
        <v>92646</v>
      </c>
      <c r="H708">
        <v>56699</v>
      </c>
      <c r="I708">
        <v>0.02</v>
      </c>
      <c r="J708" t="s">
        <v>16</v>
      </c>
      <c r="K708" t="s">
        <v>1271</v>
      </c>
      <c r="L708" s="25">
        <v>0.16354166666666667</v>
      </c>
      <c r="M708">
        <v>0.61299999999999999</v>
      </c>
      <c r="N708">
        <v>2.0000000000000001E-4</v>
      </c>
      <c r="O708">
        <v>10200</v>
      </c>
      <c r="P708">
        <v>0.17989735268699625</v>
      </c>
      <c r="Q708" t="s">
        <v>1379</v>
      </c>
      <c r="R708" t="s">
        <v>1239</v>
      </c>
      <c r="S708" t="s">
        <v>1231</v>
      </c>
      <c r="T708">
        <v>3</v>
      </c>
    </row>
    <row r="709" spans="1:20" x14ac:dyDescent="0.3">
      <c r="A709" t="s">
        <v>719</v>
      </c>
      <c r="B709" t="s">
        <v>720</v>
      </c>
      <c r="C709">
        <v>4327</v>
      </c>
      <c r="D709">
        <v>3972</v>
      </c>
      <c r="E709">
        <v>1901</v>
      </c>
      <c r="F709">
        <v>61.3</v>
      </c>
      <c r="G709">
        <v>92646</v>
      </c>
      <c r="H709">
        <v>56699</v>
      </c>
      <c r="I709">
        <v>0.02</v>
      </c>
      <c r="J709" t="s">
        <v>16</v>
      </c>
      <c r="K709" t="s">
        <v>1740</v>
      </c>
      <c r="L709" s="25">
        <v>0.16354166666666667</v>
      </c>
      <c r="M709">
        <v>0.61299999999999999</v>
      </c>
      <c r="N709">
        <v>2.0000000000000001E-4</v>
      </c>
      <c r="O709">
        <v>10200</v>
      </c>
      <c r="P709">
        <v>0.17989735268699625</v>
      </c>
      <c r="Q709" t="s">
        <v>1379</v>
      </c>
      <c r="R709" t="s">
        <v>1239</v>
      </c>
      <c r="S709" t="s">
        <v>1231</v>
      </c>
      <c r="T709">
        <v>3</v>
      </c>
    </row>
    <row r="710" spans="1:20" x14ac:dyDescent="0.3">
      <c r="A710" t="s">
        <v>722</v>
      </c>
      <c r="B710" t="s">
        <v>723</v>
      </c>
      <c r="C710">
        <v>6045</v>
      </c>
      <c r="D710">
        <v>1838</v>
      </c>
      <c r="E710">
        <v>584</v>
      </c>
      <c r="F710">
        <v>91.93</v>
      </c>
      <c r="G710">
        <v>15802</v>
      </c>
      <c r="H710">
        <v>15821</v>
      </c>
      <c r="I710">
        <v>0.19</v>
      </c>
      <c r="J710" t="s">
        <v>16</v>
      </c>
      <c r="K710" t="s">
        <v>1278</v>
      </c>
      <c r="L710" s="25">
        <v>0.19447916666666668</v>
      </c>
      <c r="M710">
        <v>0.91930000000000012</v>
      </c>
      <c r="N710">
        <v>1.9E-3</v>
      </c>
      <c r="O710">
        <v>8467</v>
      </c>
      <c r="P710">
        <v>0.53517476771379813</v>
      </c>
      <c r="Q710" t="s">
        <v>1238</v>
      </c>
      <c r="R710" t="s">
        <v>1239</v>
      </c>
      <c r="S710" t="s">
        <v>1231</v>
      </c>
      <c r="T710">
        <v>3</v>
      </c>
    </row>
    <row r="711" spans="1:20" x14ac:dyDescent="0.3">
      <c r="A711" t="s">
        <v>722</v>
      </c>
      <c r="B711" t="s">
        <v>723</v>
      </c>
      <c r="C711">
        <v>6045</v>
      </c>
      <c r="D711">
        <v>1838</v>
      </c>
      <c r="E711">
        <v>584</v>
      </c>
      <c r="F711">
        <v>91.93</v>
      </c>
      <c r="G711">
        <v>15802</v>
      </c>
      <c r="H711">
        <v>15821</v>
      </c>
      <c r="I711">
        <v>0.19</v>
      </c>
      <c r="J711" t="s">
        <v>16</v>
      </c>
      <c r="K711" t="s">
        <v>1741</v>
      </c>
      <c r="L711" s="25">
        <v>0.19447916666666668</v>
      </c>
      <c r="M711">
        <v>0.91930000000000012</v>
      </c>
      <c r="N711">
        <v>1.9E-3</v>
      </c>
      <c r="O711">
        <v>8467</v>
      </c>
      <c r="P711">
        <v>0.53517476771379813</v>
      </c>
      <c r="Q711" t="s">
        <v>1238</v>
      </c>
      <c r="R711" t="s">
        <v>1239</v>
      </c>
      <c r="S711" t="s">
        <v>1231</v>
      </c>
      <c r="T711">
        <v>3</v>
      </c>
    </row>
    <row r="712" spans="1:20" x14ac:dyDescent="0.3">
      <c r="A712" t="s">
        <v>722</v>
      </c>
      <c r="B712" t="s">
        <v>723</v>
      </c>
      <c r="C712">
        <v>6045</v>
      </c>
      <c r="D712">
        <v>1838</v>
      </c>
      <c r="E712">
        <v>584</v>
      </c>
      <c r="F712">
        <v>91.93</v>
      </c>
      <c r="G712">
        <v>15802</v>
      </c>
      <c r="H712">
        <v>15821</v>
      </c>
      <c r="I712">
        <v>0.19</v>
      </c>
      <c r="J712" t="s">
        <v>16</v>
      </c>
      <c r="K712" t="s">
        <v>1319</v>
      </c>
      <c r="L712" s="25">
        <v>0.19447916666666668</v>
      </c>
      <c r="M712">
        <v>0.91930000000000012</v>
      </c>
      <c r="N712">
        <v>1.9E-3</v>
      </c>
      <c r="O712">
        <v>8467</v>
      </c>
      <c r="P712">
        <v>0.53517476771379813</v>
      </c>
      <c r="Q712" t="s">
        <v>1238</v>
      </c>
      <c r="R712" t="s">
        <v>1239</v>
      </c>
      <c r="S712" t="s">
        <v>1231</v>
      </c>
      <c r="T712">
        <v>3</v>
      </c>
    </row>
    <row r="713" spans="1:20" x14ac:dyDescent="0.3">
      <c r="A713" t="s">
        <v>725</v>
      </c>
      <c r="B713" t="s">
        <v>726</v>
      </c>
      <c r="C713">
        <v>4512</v>
      </c>
      <c r="D713">
        <v>2340</v>
      </c>
      <c r="E713">
        <v>177</v>
      </c>
      <c r="F713">
        <v>67.08</v>
      </c>
      <c r="G713">
        <v>47521</v>
      </c>
      <c r="H713">
        <v>63084</v>
      </c>
      <c r="I713">
        <v>7.53</v>
      </c>
      <c r="J713" t="s">
        <v>20</v>
      </c>
      <c r="K713" t="s">
        <v>1707</v>
      </c>
      <c r="L713" s="25">
        <v>0.64317129629629632</v>
      </c>
      <c r="M713">
        <v>0.67079999999999995</v>
      </c>
      <c r="N713">
        <v>7.5300000000000006E-2</v>
      </c>
      <c r="O713">
        <v>7029</v>
      </c>
      <c r="P713">
        <v>0.11142286475175955</v>
      </c>
      <c r="Q713" t="s">
        <v>1238</v>
      </c>
      <c r="R713" t="s">
        <v>1239</v>
      </c>
      <c r="S713" t="s">
        <v>1230</v>
      </c>
      <c r="T713">
        <v>3</v>
      </c>
    </row>
    <row r="714" spans="1:20" x14ac:dyDescent="0.3">
      <c r="A714" t="s">
        <v>725</v>
      </c>
      <c r="B714" t="s">
        <v>726</v>
      </c>
      <c r="C714">
        <v>4512</v>
      </c>
      <c r="D714">
        <v>2340</v>
      </c>
      <c r="E714">
        <v>177</v>
      </c>
      <c r="F714">
        <v>67.08</v>
      </c>
      <c r="G714">
        <v>47521</v>
      </c>
      <c r="H714">
        <v>63084</v>
      </c>
      <c r="I714">
        <v>7.53</v>
      </c>
      <c r="J714" t="s">
        <v>20</v>
      </c>
      <c r="K714" t="s">
        <v>1742</v>
      </c>
      <c r="L714" s="25">
        <v>0.64317129629629632</v>
      </c>
      <c r="M714">
        <v>0.67079999999999995</v>
      </c>
      <c r="N714">
        <v>7.5300000000000006E-2</v>
      </c>
      <c r="O714">
        <v>7029</v>
      </c>
      <c r="P714">
        <v>0.11142286475175955</v>
      </c>
      <c r="Q714" t="s">
        <v>1238</v>
      </c>
      <c r="R714" t="s">
        <v>1239</v>
      </c>
      <c r="S714" t="s">
        <v>1230</v>
      </c>
      <c r="T714">
        <v>3</v>
      </c>
    </row>
    <row r="715" spans="1:20" x14ac:dyDescent="0.3">
      <c r="A715" t="s">
        <v>725</v>
      </c>
      <c r="B715" t="s">
        <v>726</v>
      </c>
      <c r="C715">
        <v>4512</v>
      </c>
      <c r="D715">
        <v>2340</v>
      </c>
      <c r="E715">
        <v>177</v>
      </c>
      <c r="F715">
        <v>67.08</v>
      </c>
      <c r="G715">
        <v>47521</v>
      </c>
      <c r="H715">
        <v>63084</v>
      </c>
      <c r="I715">
        <v>7.53</v>
      </c>
      <c r="J715" t="s">
        <v>20</v>
      </c>
      <c r="K715" t="s">
        <v>1543</v>
      </c>
      <c r="L715" s="25">
        <v>0.64317129629629632</v>
      </c>
      <c r="M715">
        <v>0.67079999999999995</v>
      </c>
      <c r="N715">
        <v>7.5300000000000006E-2</v>
      </c>
      <c r="O715">
        <v>7029</v>
      </c>
      <c r="P715">
        <v>0.11142286475175955</v>
      </c>
      <c r="Q715" t="s">
        <v>1238</v>
      </c>
      <c r="R715" t="s">
        <v>1239</v>
      </c>
      <c r="S715" t="s">
        <v>1230</v>
      </c>
      <c r="T715">
        <v>3</v>
      </c>
    </row>
    <row r="716" spans="1:20" x14ac:dyDescent="0.3">
      <c r="A716" t="s">
        <v>728</v>
      </c>
      <c r="B716" t="s">
        <v>729</v>
      </c>
      <c r="C716">
        <v>9844</v>
      </c>
      <c r="D716">
        <v>2274</v>
      </c>
      <c r="E716">
        <v>1913</v>
      </c>
      <c r="F716">
        <v>78.37</v>
      </c>
      <c r="G716">
        <v>96316</v>
      </c>
      <c r="H716">
        <v>73320</v>
      </c>
      <c r="I716">
        <v>4.6500000000000004</v>
      </c>
      <c r="J716" t="s">
        <v>42</v>
      </c>
      <c r="K716" t="s">
        <v>1357</v>
      </c>
      <c r="L716" s="25">
        <v>0.46927083333333336</v>
      </c>
      <c r="M716">
        <v>0.78370000000000006</v>
      </c>
      <c r="N716">
        <v>4.6500000000000007E-2</v>
      </c>
      <c r="O716">
        <v>14031</v>
      </c>
      <c r="P716">
        <v>0.19136661211129297</v>
      </c>
      <c r="Q716" t="s">
        <v>1238</v>
      </c>
      <c r="R716" t="s">
        <v>1239</v>
      </c>
      <c r="S716" t="s">
        <v>1231</v>
      </c>
      <c r="T716">
        <v>3</v>
      </c>
    </row>
    <row r="717" spans="1:20" x14ac:dyDescent="0.3">
      <c r="A717" t="s">
        <v>728</v>
      </c>
      <c r="B717" t="s">
        <v>729</v>
      </c>
      <c r="C717">
        <v>9844</v>
      </c>
      <c r="D717">
        <v>2274</v>
      </c>
      <c r="E717">
        <v>1913</v>
      </c>
      <c r="F717">
        <v>78.37</v>
      </c>
      <c r="G717">
        <v>96316</v>
      </c>
      <c r="H717">
        <v>73320</v>
      </c>
      <c r="I717">
        <v>4.6500000000000004</v>
      </c>
      <c r="J717" t="s">
        <v>42</v>
      </c>
      <c r="K717" t="s">
        <v>1743</v>
      </c>
      <c r="L717" s="25">
        <v>0.46927083333333336</v>
      </c>
      <c r="M717">
        <v>0.78370000000000006</v>
      </c>
      <c r="N717">
        <v>4.6500000000000007E-2</v>
      </c>
      <c r="O717">
        <v>14031</v>
      </c>
      <c r="P717">
        <v>0.19136661211129297</v>
      </c>
      <c r="Q717" t="s">
        <v>1238</v>
      </c>
      <c r="R717" t="s">
        <v>1239</v>
      </c>
      <c r="S717" t="s">
        <v>1231</v>
      </c>
      <c r="T717">
        <v>3</v>
      </c>
    </row>
    <row r="718" spans="1:20" x14ac:dyDescent="0.3">
      <c r="A718" t="s">
        <v>728</v>
      </c>
      <c r="B718" t="s">
        <v>729</v>
      </c>
      <c r="C718">
        <v>9844</v>
      </c>
      <c r="D718">
        <v>2274</v>
      </c>
      <c r="E718">
        <v>1913</v>
      </c>
      <c r="F718">
        <v>78.37</v>
      </c>
      <c r="G718">
        <v>96316</v>
      </c>
      <c r="H718">
        <v>73320</v>
      </c>
      <c r="I718">
        <v>4.6500000000000004</v>
      </c>
      <c r="J718" t="s">
        <v>42</v>
      </c>
      <c r="K718" t="s">
        <v>1565</v>
      </c>
      <c r="L718" s="25">
        <v>0.46927083333333336</v>
      </c>
      <c r="M718">
        <v>0.78370000000000006</v>
      </c>
      <c r="N718">
        <v>4.6500000000000007E-2</v>
      </c>
      <c r="O718">
        <v>14031</v>
      </c>
      <c r="P718">
        <v>0.19136661211129297</v>
      </c>
      <c r="Q718" t="s">
        <v>1238</v>
      </c>
      <c r="R718" t="s">
        <v>1239</v>
      </c>
      <c r="S718" t="s">
        <v>1231</v>
      </c>
      <c r="T718">
        <v>3</v>
      </c>
    </row>
    <row r="719" spans="1:20" x14ac:dyDescent="0.3">
      <c r="A719" t="s">
        <v>731</v>
      </c>
      <c r="B719" t="s">
        <v>732</v>
      </c>
      <c r="C719">
        <v>1795</v>
      </c>
      <c r="D719">
        <v>1931</v>
      </c>
      <c r="E719">
        <v>505</v>
      </c>
      <c r="F719">
        <v>63.94</v>
      </c>
      <c r="G719">
        <v>58257</v>
      </c>
      <c r="H719">
        <v>20132</v>
      </c>
      <c r="I719">
        <v>8.52</v>
      </c>
      <c r="J719" t="s">
        <v>12</v>
      </c>
      <c r="K719" t="s">
        <v>1744</v>
      </c>
      <c r="L719" s="25">
        <v>6.458333333333334E-2</v>
      </c>
      <c r="M719">
        <v>0.63939999999999997</v>
      </c>
      <c r="N719">
        <v>8.5199999999999998E-2</v>
      </c>
      <c r="O719">
        <v>4231</v>
      </c>
      <c r="P719">
        <v>0.21016292469699979</v>
      </c>
      <c r="Q719" t="s">
        <v>1238</v>
      </c>
      <c r="R719" t="s">
        <v>1239</v>
      </c>
      <c r="S719" t="s">
        <v>1231</v>
      </c>
      <c r="T719">
        <v>3</v>
      </c>
    </row>
    <row r="720" spans="1:20" x14ac:dyDescent="0.3">
      <c r="A720" t="s">
        <v>731</v>
      </c>
      <c r="B720" t="s">
        <v>732</v>
      </c>
      <c r="C720">
        <v>1795</v>
      </c>
      <c r="D720">
        <v>1931</v>
      </c>
      <c r="E720">
        <v>505</v>
      </c>
      <c r="F720">
        <v>63.94</v>
      </c>
      <c r="G720">
        <v>58257</v>
      </c>
      <c r="H720">
        <v>20132</v>
      </c>
      <c r="I720">
        <v>8.52</v>
      </c>
      <c r="J720" t="s">
        <v>12</v>
      </c>
      <c r="K720" t="s">
        <v>1745</v>
      </c>
      <c r="L720" s="25">
        <v>6.458333333333334E-2</v>
      </c>
      <c r="M720">
        <v>0.63939999999999997</v>
      </c>
      <c r="N720">
        <v>8.5199999999999998E-2</v>
      </c>
      <c r="O720">
        <v>4231</v>
      </c>
      <c r="P720">
        <v>0.21016292469699979</v>
      </c>
      <c r="Q720" t="s">
        <v>1238</v>
      </c>
      <c r="R720" t="s">
        <v>1239</v>
      </c>
      <c r="S720" t="s">
        <v>1231</v>
      </c>
      <c r="T720">
        <v>3</v>
      </c>
    </row>
    <row r="721" spans="1:20" x14ac:dyDescent="0.3">
      <c r="A721" t="s">
        <v>731</v>
      </c>
      <c r="B721" t="s">
        <v>732</v>
      </c>
      <c r="C721">
        <v>1795</v>
      </c>
      <c r="D721">
        <v>1931</v>
      </c>
      <c r="E721">
        <v>505</v>
      </c>
      <c r="F721">
        <v>63.94</v>
      </c>
      <c r="G721">
        <v>58257</v>
      </c>
      <c r="H721">
        <v>20132</v>
      </c>
      <c r="I721">
        <v>8.52</v>
      </c>
      <c r="J721" t="s">
        <v>12</v>
      </c>
      <c r="K721" t="s">
        <v>1746</v>
      </c>
      <c r="L721" s="25">
        <v>6.458333333333334E-2</v>
      </c>
      <c r="M721">
        <v>0.63939999999999997</v>
      </c>
      <c r="N721">
        <v>8.5199999999999998E-2</v>
      </c>
      <c r="O721">
        <v>4231</v>
      </c>
      <c r="P721">
        <v>0.21016292469699979</v>
      </c>
      <c r="Q721" t="s">
        <v>1238</v>
      </c>
      <c r="R721" t="s">
        <v>1239</v>
      </c>
      <c r="S721" t="s">
        <v>1231</v>
      </c>
      <c r="T721">
        <v>3</v>
      </c>
    </row>
    <row r="722" spans="1:20" x14ac:dyDescent="0.3">
      <c r="A722" t="s">
        <v>734</v>
      </c>
      <c r="B722" t="s">
        <v>735</v>
      </c>
      <c r="C722">
        <v>5001</v>
      </c>
      <c r="D722">
        <v>164</v>
      </c>
      <c r="E722">
        <v>1015</v>
      </c>
      <c r="F722">
        <v>69.39</v>
      </c>
      <c r="G722">
        <v>72358</v>
      </c>
      <c r="H722">
        <v>15647</v>
      </c>
      <c r="I722">
        <v>1.31</v>
      </c>
      <c r="J722" t="s">
        <v>16</v>
      </c>
      <c r="K722" t="s">
        <v>1362</v>
      </c>
      <c r="L722" s="25">
        <v>0.20978009259259259</v>
      </c>
      <c r="M722">
        <v>0.69389999999999996</v>
      </c>
      <c r="N722">
        <v>1.3100000000000001E-2</v>
      </c>
      <c r="O722">
        <v>6180</v>
      </c>
      <c r="P722">
        <v>0.39496389084169492</v>
      </c>
      <c r="Q722" t="s">
        <v>1238</v>
      </c>
      <c r="R722" t="s">
        <v>1239</v>
      </c>
      <c r="S722" t="s">
        <v>1231</v>
      </c>
      <c r="T722">
        <v>3</v>
      </c>
    </row>
    <row r="723" spans="1:20" x14ac:dyDescent="0.3">
      <c r="A723" t="s">
        <v>734</v>
      </c>
      <c r="B723" t="s">
        <v>735</v>
      </c>
      <c r="C723">
        <v>5001</v>
      </c>
      <c r="D723">
        <v>164</v>
      </c>
      <c r="E723">
        <v>1015</v>
      </c>
      <c r="F723">
        <v>69.39</v>
      </c>
      <c r="G723">
        <v>72358</v>
      </c>
      <c r="H723">
        <v>15647</v>
      </c>
      <c r="I723">
        <v>1.31</v>
      </c>
      <c r="J723" t="s">
        <v>16</v>
      </c>
      <c r="K723" t="s">
        <v>1747</v>
      </c>
      <c r="L723" s="25">
        <v>0.20978009259259259</v>
      </c>
      <c r="M723">
        <v>0.69389999999999996</v>
      </c>
      <c r="N723">
        <v>1.3100000000000001E-2</v>
      </c>
      <c r="O723">
        <v>6180</v>
      </c>
      <c r="P723">
        <v>0.39496389084169492</v>
      </c>
      <c r="Q723" t="s">
        <v>1238</v>
      </c>
      <c r="R723" t="s">
        <v>1239</v>
      </c>
      <c r="S723" t="s">
        <v>1231</v>
      </c>
      <c r="T723">
        <v>3</v>
      </c>
    </row>
    <row r="724" spans="1:20" x14ac:dyDescent="0.3">
      <c r="A724" t="s">
        <v>734</v>
      </c>
      <c r="B724" t="s">
        <v>735</v>
      </c>
      <c r="C724">
        <v>5001</v>
      </c>
      <c r="D724">
        <v>164</v>
      </c>
      <c r="E724">
        <v>1015</v>
      </c>
      <c r="F724">
        <v>69.39</v>
      </c>
      <c r="G724">
        <v>72358</v>
      </c>
      <c r="H724">
        <v>15647</v>
      </c>
      <c r="I724">
        <v>1.31</v>
      </c>
      <c r="J724" t="s">
        <v>16</v>
      </c>
      <c r="K724" t="s">
        <v>1748</v>
      </c>
      <c r="L724" s="25">
        <v>0.20978009259259259</v>
      </c>
      <c r="M724">
        <v>0.69389999999999996</v>
      </c>
      <c r="N724">
        <v>1.3100000000000001E-2</v>
      </c>
      <c r="O724">
        <v>6180</v>
      </c>
      <c r="P724">
        <v>0.39496389084169492</v>
      </c>
      <c r="Q724" t="s">
        <v>1238</v>
      </c>
      <c r="R724" t="s">
        <v>1239</v>
      </c>
      <c r="S724" t="s">
        <v>1231</v>
      </c>
      <c r="T724">
        <v>3</v>
      </c>
    </row>
    <row r="725" spans="1:20" x14ac:dyDescent="0.3">
      <c r="A725" t="s">
        <v>737</v>
      </c>
      <c r="B725" t="s">
        <v>738</v>
      </c>
      <c r="C725">
        <v>6149</v>
      </c>
      <c r="D725">
        <v>2017</v>
      </c>
      <c r="E725">
        <v>1625</v>
      </c>
      <c r="F725">
        <v>67.510000000000005</v>
      </c>
      <c r="G725">
        <v>76262</v>
      </c>
      <c r="H725">
        <v>70539</v>
      </c>
      <c r="I725">
        <v>9.17</v>
      </c>
      <c r="J725" t="s">
        <v>12</v>
      </c>
      <c r="K725" t="s">
        <v>1243</v>
      </c>
      <c r="L725" s="25">
        <v>0.82991898148148147</v>
      </c>
      <c r="M725">
        <v>0.67510000000000003</v>
      </c>
      <c r="N725">
        <v>9.1700000000000004E-2</v>
      </c>
      <c r="O725">
        <v>9791</v>
      </c>
      <c r="P725">
        <v>0.13880264818043919</v>
      </c>
      <c r="Q725" t="s">
        <v>1238</v>
      </c>
      <c r="R725" t="s">
        <v>1239</v>
      </c>
      <c r="S725" t="s">
        <v>1232</v>
      </c>
      <c r="T725">
        <v>3</v>
      </c>
    </row>
    <row r="726" spans="1:20" x14ac:dyDescent="0.3">
      <c r="A726" t="s">
        <v>737</v>
      </c>
      <c r="B726" t="s">
        <v>738</v>
      </c>
      <c r="C726">
        <v>6149</v>
      </c>
      <c r="D726">
        <v>2017</v>
      </c>
      <c r="E726">
        <v>1625</v>
      </c>
      <c r="F726">
        <v>67.510000000000005</v>
      </c>
      <c r="G726">
        <v>76262</v>
      </c>
      <c r="H726">
        <v>70539</v>
      </c>
      <c r="I726">
        <v>9.17</v>
      </c>
      <c r="J726" t="s">
        <v>12</v>
      </c>
      <c r="K726" t="s">
        <v>1749</v>
      </c>
      <c r="L726" s="25">
        <v>0.82991898148148147</v>
      </c>
      <c r="M726">
        <v>0.67510000000000003</v>
      </c>
      <c r="N726">
        <v>9.1700000000000004E-2</v>
      </c>
      <c r="O726">
        <v>9791</v>
      </c>
      <c r="P726">
        <v>0.13880264818043919</v>
      </c>
      <c r="Q726" t="s">
        <v>1238</v>
      </c>
      <c r="R726" t="s">
        <v>1239</v>
      </c>
      <c r="S726" t="s">
        <v>1232</v>
      </c>
      <c r="T726">
        <v>3</v>
      </c>
    </row>
    <row r="727" spans="1:20" x14ac:dyDescent="0.3">
      <c r="A727" t="s">
        <v>737</v>
      </c>
      <c r="B727" t="s">
        <v>738</v>
      </c>
      <c r="C727">
        <v>6149</v>
      </c>
      <c r="D727">
        <v>2017</v>
      </c>
      <c r="E727">
        <v>1625</v>
      </c>
      <c r="F727">
        <v>67.510000000000005</v>
      </c>
      <c r="G727">
        <v>76262</v>
      </c>
      <c r="H727">
        <v>70539</v>
      </c>
      <c r="I727">
        <v>9.17</v>
      </c>
      <c r="J727" t="s">
        <v>12</v>
      </c>
      <c r="K727" t="s">
        <v>1362</v>
      </c>
      <c r="L727" s="25">
        <v>0.82991898148148147</v>
      </c>
      <c r="M727">
        <v>0.67510000000000003</v>
      </c>
      <c r="N727">
        <v>9.1700000000000004E-2</v>
      </c>
      <c r="O727">
        <v>9791</v>
      </c>
      <c r="P727">
        <v>0.13880264818043919</v>
      </c>
      <c r="Q727" t="s">
        <v>1238</v>
      </c>
      <c r="R727" t="s">
        <v>1239</v>
      </c>
      <c r="S727" t="s">
        <v>1232</v>
      </c>
      <c r="T727">
        <v>3</v>
      </c>
    </row>
    <row r="728" spans="1:20" x14ac:dyDescent="0.3">
      <c r="A728" t="s">
        <v>740</v>
      </c>
      <c r="B728" t="s">
        <v>741</v>
      </c>
      <c r="C728">
        <v>2805</v>
      </c>
      <c r="D728">
        <v>100</v>
      </c>
      <c r="E728">
        <v>623</v>
      </c>
      <c r="F728">
        <v>88.44</v>
      </c>
      <c r="G728">
        <v>39463</v>
      </c>
      <c r="H728">
        <v>85889</v>
      </c>
      <c r="I728">
        <v>3.12</v>
      </c>
      <c r="J728" t="s">
        <v>16</v>
      </c>
      <c r="K728" t="s">
        <v>1750</v>
      </c>
      <c r="L728" s="25">
        <v>0.25149305555555557</v>
      </c>
      <c r="M728">
        <v>0.88439999999999996</v>
      </c>
      <c r="N728">
        <v>3.1200000000000002E-2</v>
      </c>
      <c r="O728">
        <v>3528</v>
      </c>
      <c r="P728">
        <v>4.1076272863812595E-2</v>
      </c>
      <c r="Q728" t="s">
        <v>1238</v>
      </c>
      <c r="R728" t="s">
        <v>1239</v>
      </c>
      <c r="S728" t="s">
        <v>1231</v>
      </c>
      <c r="T728">
        <v>3</v>
      </c>
    </row>
    <row r="729" spans="1:20" x14ac:dyDescent="0.3">
      <c r="A729" t="s">
        <v>740</v>
      </c>
      <c r="B729" t="s">
        <v>741</v>
      </c>
      <c r="C729">
        <v>2805</v>
      </c>
      <c r="D729">
        <v>100</v>
      </c>
      <c r="E729">
        <v>623</v>
      </c>
      <c r="F729">
        <v>88.44</v>
      </c>
      <c r="G729">
        <v>39463</v>
      </c>
      <c r="H729">
        <v>85889</v>
      </c>
      <c r="I729">
        <v>3.12</v>
      </c>
      <c r="J729" t="s">
        <v>16</v>
      </c>
      <c r="K729" t="s">
        <v>1616</v>
      </c>
      <c r="L729" s="25">
        <v>0.25149305555555557</v>
      </c>
      <c r="M729">
        <v>0.88439999999999996</v>
      </c>
      <c r="N729">
        <v>3.1200000000000002E-2</v>
      </c>
      <c r="O729">
        <v>3528</v>
      </c>
      <c r="P729">
        <v>4.1076272863812595E-2</v>
      </c>
      <c r="Q729" t="s">
        <v>1238</v>
      </c>
      <c r="R729" t="s">
        <v>1239</v>
      </c>
      <c r="S729" t="s">
        <v>1231</v>
      </c>
      <c r="T729">
        <v>3</v>
      </c>
    </row>
    <row r="730" spans="1:20" x14ac:dyDescent="0.3">
      <c r="A730" t="s">
        <v>740</v>
      </c>
      <c r="B730" t="s">
        <v>741</v>
      </c>
      <c r="C730">
        <v>2805</v>
      </c>
      <c r="D730">
        <v>100</v>
      </c>
      <c r="E730">
        <v>623</v>
      </c>
      <c r="F730">
        <v>88.44</v>
      </c>
      <c r="G730">
        <v>39463</v>
      </c>
      <c r="H730">
        <v>85889</v>
      </c>
      <c r="I730">
        <v>3.12</v>
      </c>
      <c r="J730" t="s">
        <v>16</v>
      </c>
      <c r="K730" t="s">
        <v>1498</v>
      </c>
      <c r="L730" s="25">
        <v>0.25149305555555557</v>
      </c>
      <c r="M730">
        <v>0.88439999999999996</v>
      </c>
      <c r="N730">
        <v>3.1200000000000002E-2</v>
      </c>
      <c r="O730">
        <v>3528</v>
      </c>
      <c r="P730">
        <v>4.1076272863812595E-2</v>
      </c>
      <c r="Q730" t="s">
        <v>1238</v>
      </c>
      <c r="R730" t="s">
        <v>1239</v>
      </c>
      <c r="S730" t="s">
        <v>1231</v>
      </c>
      <c r="T730">
        <v>3</v>
      </c>
    </row>
    <row r="731" spans="1:20" x14ac:dyDescent="0.3">
      <c r="A731" t="s">
        <v>743</v>
      </c>
      <c r="B731" t="s">
        <v>744</v>
      </c>
      <c r="C731">
        <v>4016</v>
      </c>
      <c r="D731">
        <v>2730</v>
      </c>
      <c r="E731">
        <v>1301</v>
      </c>
      <c r="F731">
        <v>57.56</v>
      </c>
      <c r="G731">
        <v>22146</v>
      </c>
      <c r="H731">
        <v>20631</v>
      </c>
      <c r="I731">
        <v>4.71</v>
      </c>
      <c r="J731" t="s">
        <v>20</v>
      </c>
      <c r="K731" t="s">
        <v>1542</v>
      </c>
      <c r="L731" s="25">
        <v>0.26067129629629632</v>
      </c>
      <c r="M731">
        <v>0.5756</v>
      </c>
      <c r="N731">
        <v>4.7100000000000003E-2</v>
      </c>
      <c r="O731">
        <v>8047</v>
      </c>
      <c r="P731">
        <v>0.39004410838059234</v>
      </c>
      <c r="Q731" t="s">
        <v>1238</v>
      </c>
      <c r="R731" t="s">
        <v>1239</v>
      </c>
      <c r="S731" t="s">
        <v>1231</v>
      </c>
      <c r="T731">
        <v>3</v>
      </c>
    </row>
    <row r="732" spans="1:20" x14ac:dyDescent="0.3">
      <c r="A732" t="s">
        <v>743</v>
      </c>
      <c r="B732" t="s">
        <v>744</v>
      </c>
      <c r="C732">
        <v>4016</v>
      </c>
      <c r="D732">
        <v>2730</v>
      </c>
      <c r="E732">
        <v>1301</v>
      </c>
      <c r="F732">
        <v>57.56</v>
      </c>
      <c r="G732">
        <v>22146</v>
      </c>
      <c r="H732">
        <v>20631</v>
      </c>
      <c r="I732">
        <v>4.71</v>
      </c>
      <c r="J732" t="s">
        <v>20</v>
      </c>
      <c r="K732" t="s">
        <v>1751</v>
      </c>
      <c r="L732" s="25">
        <v>0.26067129629629632</v>
      </c>
      <c r="M732">
        <v>0.5756</v>
      </c>
      <c r="N732">
        <v>4.7100000000000003E-2</v>
      </c>
      <c r="O732">
        <v>8047</v>
      </c>
      <c r="P732">
        <v>0.39004410838059234</v>
      </c>
      <c r="Q732" t="s">
        <v>1238</v>
      </c>
      <c r="R732" t="s">
        <v>1239</v>
      </c>
      <c r="S732" t="s">
        <v>1231</v>
      </c>
      <c r="T732">
        <v>3</v>
      </c>
    </row>
    <row r="733" spans="1:20" x14ac:dyDescent="0.3">
      <c r="A733" t="s">
        <v>743</v>
      </c>
      <c r="B733" t="s">
        <v>744</v>
      </c>
      <c r="C733">
        <v>4016</v>
      </c>
      <c r="D733">
        <v>2730</v>
      </c>
      <c r="E733">
        <v>1301</v>
      </c>
      <c r="F733">
        <v>57.56</v>
      </c>
      <c r="G733">
        <v>22146</v>
      </c>
      <c r="H733">
        <v>20631</v>
      </c>
      <c r="I733">
        <v>4.71</v>
      </c>
      <c r="J733" t="s">
        <v>20</v>
      </c>
      <c r="K733" t="s">
        <v>1752</v>
      </c>
      <c r="L733" s="25">
        <v>0.26067129629629632</v>
      </c>
      <c r="M733">
        <v>0.5756</v>
      </c>
      <c r="N733">
        <v>4.7100000000000003E-2</v>
      </c>
      <c r="O733">
        <v>8047</v>
      </c>
      <c r="P733">
        <v>0.39004410838059234</v>
      </c>
      <c r="Q733" t="s">
        <v>1238</v>
      </c>
      <c r="R733" t="s">
        <v>1239</v>
      </c>
      <c r="S733" t="s">
        <v>1231</v>
      </c>
      <c r="T733">
        <v>3</v>
      </c>
    </row>
    <row r="734" spans="1:20" x14ac:dyDescent="0.3">
      <c r="A734" t="s">
        <v>746</v>
      </c>
      <c r="B734" t="s">
        <v>747</v>
      </c>
      <c r="C734">
        <v>6670</v>
      </c>
      <c r="D734">
        <v>2685</v>
      </c>
      <c r="E734">
        <v>461</v>
      </c>
      <c r="F734">
        <v>21.41</v>
      </c>
      <c r="G734">
        <v>60376</v>
      </c>
      <c r="H734">
        <v>50728</v>
      </c>
      <c r="I734">
        <v>7.22</v>
      </c>
      <c r="J734" t="s">
        <v>42</v>
      </c>
      <c r="K734" t="s">
        <v>1560</v>
      </c>
      <c r="L734" s="25">
        <v>9.8101851851851857E-2</v>
      </c>
      <c r="M734">
        <v>0.21410000000000001</v>
      </c>
      <c r="N734">
        <v>7.22E-2</v>
      </c>
      <c r="O734">
        <v>9816</v>
      </c>
      <c r="P734">
        <v>0.19350260211323136</v>
      </c>
      <c r="Q734" t="s">
        <v>1238</v>
      </c>
      <c r="R734" t="s">
        <v>1239</v>
      </c>
      <c r="S734" t="s">
        <v>1231</v>
      </c>
      <c r="T734">
        <v>3</v>
      </c>
    </row>
    <row r="735" spans="1:20" x14ac:dyDescent="0.3">
      <c r="A735" t="s">
        <v>746</v>
      </c>
      <c r="B735" t="s">
        <v>747</v>
      </c>
      <c r="C735">
        <v>6670</v>
      </c>
      <c r="D735">
        <v>2685</v>
      </c>
      <c r="E735">
        <v>461</v>
      </c>
      <c r="F735">
        <v>21.41</v>
      </c>
      <c r="G735">
        <v>60376</v>
      </c>
      <c r="H735">
        <v>50728</v>
      </c>
      <c r="I735">
        <v>7.22</v>
      </c>
      <c r="J735" t="s">
        <v>42</v>
      </c>
      <c r="K735" t="s">
        <v>1532</v>
      </c>
      <c r="L735" s="25">
        <v>9.8101851851851857E-2</v>
      </c>
      <c r="M735">
        <v>0.21410000000000001</v>
      </c>
      <c r="N735">
        <v>7.22E-2</v>
      </c>
      <c r="O735">
        <v>9816</v>
      </c>
      <c r="P735">
        <v>0.19350260211323136</v>
      </c>
      <c r="Q735" t="s">
        <v>1238</v>
      </c>
      <c r="R735" t="s">
        <v>1239</v>
      </c>
      <c r="S735" t="s">
        <v>1231</v>
      </c>
      <c r="T735">
        <v>3</v>
      </c>
    </row>
    <row r="736" spans="1:20" x14ac:dyDescent="0.3">
      <c r="A736" t="s">
        <v>746</v>
      </c>
      <c r="B736" t="s">
        <v>747</v>
      </c>
      <c r="C736">
        <v>6670</v>
      </c>
      <c r="D736">
        <v>2685</v>
      </c>
      <c r="E736">
        <v>461</v>
      </c>
      <c r="F736">
        <v>21.41</v>
      </c>
      <c r="G736">
        <v>60376</v>
      </c>
      <c r="H736">
        <v>50728</v>
      </c>
      <c r="I736">
        <v>7.22</v>
      </c>
      <c r="J736" t="s">
        <v>42</v>
      </c>
      <c r="K736" t="s">
        <v>1419</v>
      </c>
      <c r="L736" s="25">
        <v>9.8101851851851857E-2</v>
      </c>
      <c r="M736">
        <v>0.21410000000000001</v>
      </c>
      <c r="N736">
        <v>7.22E-2</v>
      </c>
      <c r="O736">
        <v>9816</v>
      </c>
      <c r="P736">
        <v>0.19350260211323136</v>
      </c>
      <c r="Q736" t="s">
        <v>1238</v>
      </c>
      <c r="R736" t="s">
        <v>1239</v>
      </c>
      <c r="S736" t="s">
        <v>1231</v>
      </c>
      <c r="T736">
        <v>3</v>
      </c>
    </row>
    <row r="737" spans="1:20" x14ac:dyDescent="0.3">
      <c r="A737" t="s">
        <v>749</v>
      </c>
      <c r="B737" t="s">
        <v>750</v>
      </c>
      <c r="C737">
        <v>9112</v>
      </c>
      <c r="D737">
        <v>2000</v>
      </c>
      <c r="E737">
        <v>1282</v>
      </c>
      <c r="F737">
        <v>97.73</v>
      </c>
      <c r="G737">
        <v>87694</v>
      </c>
      <c r="H737">
        <v>71893</v>
      </c>
      <c r="I737">
        <v>3.51</v>
      </c>
      <c r="J737" t="s">
        <v>16</v>
      </c>
      <c r="K737" t="s">
        <v>1753</v>
      </c>
      <c r="L737" s="25">
        <v>7.8263888888888883E-2</v>
      </c>
      <c r="M737">
        <v>0.97730000000000006</v>
      </c>
      <c r="N737">
        <v>3.5099999999999999E-2</v>
      </c>
      <c r="O737">
        <v>12394</v>
      </c>
      <c r="P737">
        <v>0.17239508714339366</v>
      </c>
      <c r="Q737" t="s">
        <v>1238</v>
      </c>
      <c r="R737" t="s">
        <v>1239</v>
      </c>
      <c r="S737" t="s">
        <v>1231</v>
      </c>
      <c r="T737">
        <v>3</v>
      </c>
    </row>
    <row r="738" spans="1:20" x14ac:dyDescent="0.3">
      <c r="A738" t="s">
        <v>749</v>
      </c>
      <c r="B738" t="s">
        <v>750</v>
      </c>
      <c r="C738">
        <v>9112</v>
      </c>
      <c r="D738">
        <v>2000</v>
      </c>
      <c r="E738">
        <v>1282</v>
      </c>
      <c r="F738">
        <v>97.73</v>
      </c>
      <c r="G738">
        <v>87694</v>
      </c>
      <c r="H738">
        <v>71893</v>
      </c>
      <c r="I738">
        <v>3.51</v>
      </c>
      <c r="J738" t="s">
        <v>16</v>
      </c>
      <c r="K738" t="s">
        <v>1621</v>
      </c>
      <c r="L738" s="25">
        <v>7.8263888888888883E-2</v>
      </c>
      <c r="M738">
        <v>0.97730000000000006</v>
      </c>
      <c r="N738">
        <v>3.5099999999999999E-2</v>
      </c>
      <c r="O738">
        <v>12394</v>
      </c>
      <c r="P738">
        <v>0.17239508714339366</v>
      </c>
      <c r="Q738" t="s">
        <v>1238</v>
      </c>
      <c r="R738" t="s">
        <v>1239</v>
      </c>
      <c r="S738" t="s">
        <v>1231</v>
      </c>
      <c r="T738">
        <v>3</v>
      </c>
    </row>
    <row r="739" spans="1:20" x14ac:dyDescent="0.3">
      <c r="A739" t="s">
        <v>749</v>
      </c>
      <c r="B739" t="s">
        <v>750</v>
      </c>
      <c r="C739">
        <v>9112</v>
      </c>
      <c r="D739">
        <v>2000</v>
      </c>
      <c r="E739">
        <v>1282</v>
      </c>
      <c r="F739">
        <v>97.73</v>
      </c>
      <c r="G739">
        <v>87694</v>
      </c>
      <c r="H739">
        <v>71893</v>
      </c>
      <c r="I739">
        <v>3.51</v>
      </c>
      <c r="J739" t="s">
        <v>16</v>
      </c>
      <c r="K739" t="s">
        <v>1645</v>
      </c>
      <c r="L739" s="25">
        <v>7.8263888888888883E-2</v>
      </c>
      <c r="M739">
        <v>0.97730000000000006</v>
      </c>
      <c r="N739">
        <v>3.5099999999999999E-2</v>
      </c>
      <c r="O739">
        <v>12394</v>
      </c>
      <c r="P739">
        <v>0.17239508714339366</v>
      </c>
      <c r="Q739" t="s">
        <v>1238</v>
      </c>
      <c r="R739" t="s">
        <v>1239</v>
      </c>
      <c r="S739" t="s">
        <v>1231</v>
      </c>
      <c r="T739">
        <v>3</v>
      </c>
    </row>
    <row r="740" spans="1:20" x14ac:dyDescent="0.3">
      <c r="A740" t="s">
        <v>752</v>
      </c>
      <c r="B740" t="s">
        <v>753</v>
      </c>
      <c r="C740">
        <v>2737</v>
      </c>
      <c r="D740">
        <v>223</v>
      </c>
      <c r="E740">
        <v>1038</v>
      </c>
      <c r="F740">
        <v>11</v>
      </c>
      <c r="G740">
        <v>10052</v>
      </c>
      <c r="H740">
        <v>58900</v>
      </c>
      <c r="I740">
        <v>6.62</v>
      </c>
      <c r="J740" t="s">
        <v>20</v>
      </c>
      <c r="K740" t="s">
        <v>1538</v>
      </c>
      <c r="L740" s="25">
        <v>0.31438657407407405</v>
      </c>
      <c r="M740">
        <v>0.11</v>
      </c>
      <c r="N740">
        <v>6.6199999999999995E-2</v>
      </c>
      <c r="O740">
        <v>3998</v>
      </c>
      <c r="P740">
        <v>6.7877758913412564E-2</v>
      </c>
      <c r="Q740" t="s">
        <v>1238</v>
      </c>
      <c r="R740" t="s">
        <v>1239</v>
      </c>
      <c r="S740" t="s">
        <v>1231</v>
      </c>
      <c r="T740">
        <v>3</v>
      </c>
    </row>
    <row r="741" spans="1:20" x14ac:dyDescent="0.3">
      <c r="A741" t="s">
        <v>752</v>
      </c>
      <c r="B741" t="s">
        <v>753</v>
      </c>
      <c r="C741">
        <v>2737</v>
      </c>
      <c r="D741">
        <v>223</v>
      </c>
      <c r="E741">
        <v>1038</v>
      </c>
      <c r="F741">
        <v>11</v>
      </c>
      <c r="G741">
        <v>10052</v>
      </c>
      <c r="H741">
        <v>58900</v>
      </c>
      <c r="I741">
        <v>6.62</v>
      </c>
      <c r="J741" t="s">
        <v>20</v>
      </c>
      <c r="K741" t="s">
        <v>1491</v>
      </c>
      <c r="L741" s="25">
        <v>0.31438657407407405</v>
      </c>
      <c r="M741">
        <v>0.11</v>
      </c>
      <c r="N741">
        <v>6.6199999999999995E-2</v>
      </c>
      <c r="O741">
        <v>3998</v>
      </c>
      <c r="P741">
        <v>6.7877758913412564E-2</v>
      </c>
      <c r="Q741" t="s">
        <v>1238</v>
      </c>
      <c r="R741" t="s">
        <v>1239</v>
      </c>
      <c r="S741" t="s">
        <v>1231</v>
      </c>
      <c r="T741">
        <v>3</v>
      </c>
    </row>
    <row r="742" spans="1:20" x14ac:dyDescent="0.3">
      <c r="A742" t="s">
        <v>752</v>
      </c>
      <c r="B742" t="s">
        <v>753</v>
      </c>
      <c r="C742">
        <v>2737</v>
      </c>
      <c r="D742">
        <v>223</v>
      </c>
      <c r="E742">
        <v>1038</v>
      </c>
      <c r="F742">
        <v>11</v>
      </c>
      <c r="G742">
        <v>10052</v>
      </c>
      <c r="H742">
        <v>58900</v>
      </c>
      <c r="I742">
        <v>6.62</v>
      </c>
      <c r="J742" t="s">
        <v>20</v>
      </c>
      <c r="K742" t="s">
        <v>1754</v>
      </c>
      <c r="L742" s="25">
        <v>0.31438657407407405</v>
      </c>
      <c r="M742">
        <v>0.11</v>
      </c>
      <c r="N742">
        <v>6.6199999999999995E-2</v>
      </c>
      <c r="O742">
        <v>3998</v>
      </c>
      <c r="P742">
        <v>6.7877758913412564E-2</v>
      </c>
      <c r="Q742" t="s">
        <v>1238</v>
      </c>
      <c r="R742" t="s">
        <v>1239</v>
      </c>
      <c r="S742" t="s">
        <v>1231</v>
      </c>
      <c r="T742">
        <v>3</v>
      </c>
    </row>
    <row r="743" spans="1:20" x14ac:dyDescent="0.3">
      <c r="A743" t="s">
        <v>755</v>
      </c>
      <c r="B743" t="s">
        <v>756</v>
      </c>
      <c r="C743">
        <v>1871</v>
      </c>
      <c r="D743">
        <v>1772</v>
      </c>
      <c r="E743">
        <v>1381</v>
      </c>
      <c r="F743">
        <v>56.16</v>
      </c>
      <c r="G743">
        <v>81999</v>
      </c>
      <c r="H743">
        <v>13471</v>
      </c>
      <c r="I743">
        <v>6.05</v>
      </c>
      <c r="J743" t="s">
        <v>12</v>
      </c>
      <c r="K743" t="s">
        <v>1365</v>
      </c>
      <c r="L743" s="25">
        <v>0.65856481481481477</v>
      </c>
      <c r="M743">
        <v>0.56159999999999999</v>
      </c>
      <c r="N743">
        <v>6.0499999999999998E-2</v>
      </c>
      <c r="O743">
        <v>5024</v>
      </c>
      <c r="P743">
        <v>0.37294929849305919</v>
      </c>
      <c r="Q743" t="s">
        <v>1238</v>
      </c>
      <c r="R743" t="s">
        <v>1239</v>
      </c>
      <c r="S743" t="s">
        <v>1230</v>
      </c>
      <c r="T743">
        <v>3</v>
      </c>
    </row>
    <row r="744" spans="1:20" x14ac:dyDescent="0.3">
      <c r="A744" t="s">
        <v>755</v>
      </c>
      <c r="B744" t="s">
        <v>756</v>
      </c>
      <c r="C744">
        <v>1871</v>
      </c>
      <c r="D744">
        <v>1772</v>
      </c>
      <c r="E744">
        <v>1381</v>
      </c>
      <c r="F744">
        <v>56.16</v>
      </c>
      <c r="G744">
        <v>81999</v>
      </c>
      <c r="H744">
        <v>13471</v>
      </c>
      <c r="I744">
        <v>6.05</v>
      </c>
      <c r="J744" t="s">
        <v>12</v>
      </c>
      <c r="K744" t="s">
        <v>1755</v>
      </c>
      <c r="L744" s="25">
        <v>0.65856481481481477</v>
      </c>
      <c r="M744">
        <v>0.56159999999999999</v>
      </c>
      <c r="N744">
        <v>6.0499999999999998E-2</v>
      </c>
      <c r="O744">
        <v>5024</v>
      </c>
      <c r="P744">
        <v>0.37294929849305919</v>
      </c>
      <c r="Q744" t="s">
        <v>1238</v>
      </c>
      <c r="R744" t="s">
        <v>1239</v>
      </c>
      <c r="S744" t="s">
        <v>1230</v>
      </c>
      <c r="T744">
        <v>3</v>
      </c>
    </row>
    <row r="745" spans="1:20" x14ac:dyDescent="0.3">
      <c r="A745" t="s">
        <v>755</v>
      </c>
      <c r="B745" t="s">
        <v>756</v>
      </c>
      <c r="C745">
        <v>1871</v>
      </c>
      <c r="D745">
        <v>1772</v>
      </c>
      <c r="E745">
        <v>1381</v>
      </c>
      <c r="F745">
        <v>56.16</v>
      </c>
      <c r="G745">
        <v>81999</v>
      </c>
      <c r="H745">
        <v>13471</v>
      </c>
      <c r="I745">
        <v>6.05</v>
      </c>
      <c r="J745" t="s">
        <v>12</v>
      </c>
      <c r="K745" t="s">
        <v>1708</v>
      </c>
      <c r="L745" s="25">
        <v>0.65856481481481477</v>
      </c>
      <c r="M745">
        <v>0.56159999999999999</v>
      </c>
      <c r="N745">
        <v>6.0499999999999998E-2</v>
      </c>
      <c r="O745">
        <v>5024</v>
      </c>
      <c r="P745">
        <v>0.37294929849305919</v>
      </c>
      <c r="Q745" t="s">
        <v>1238</v>
      </c>
      <c r="R745" t="s">
        <v>1239</v>
      </c>
      <c r="S745" t="s">
        <v>1230</v>
      </c>
      <c r="T745">
        <v>3</v>
      </c>
    </row>
    <row r="746" spans="1:20" x14ac:dyDescent="0.3">
      <c r="A746" t="s">
        <v>758</v>
      </c>
      <c r="B746" t="s">
        <v>759</v>
      </c>
      <c r="C746">
        <v>6080</v>
      </c>
      <c r="D746">
        <v>4663</v>
      </c>
      <c r="E746">
        <v>1226</v>
      </c>
      <c r="F746">
        <v>86.12</v>
      </c>
      <c r="G746">
        <v>2043</v>
      </c>
      <c r="H746">
        <v>44856</v>
      </c>
      <c r="I746">
        <v>7.81</v>
      </c>
      <c r="J746" t="s">
        <v>12</v>
      </c>
      <c r="K746" t="s">
        <v>1756</v>
      </c>
      <c r="L746" s="25">
        <v>2.0439814814814813E-2</v>
      </c>
      <c r="M746">
        <v>0.86120000000000008</v>
      </c>
      <c r="N746">
        <v>7.8100000000000003E-2</v>
      </c>
      <c r="O746">
        <v>11969</v>
      </c>
      <c r="P746">
        <v>0.26683163902265028</v>
      </c>
      <c r="Q746" t="s">
        <v>1238</v>
      </c>
      <c r="R746" t="s">
        <v>1239</v>
      </c>
      <c r="S746" t="s">
        <v>1231</v>
      </c>
      <c r="T746">
        <v>3</v>
      </c>
    </row>
    <row r="747" spans="1:20" x14ac:dyDescent="0.3">
      <c r="A747" t="s">
        <v>758</v>
      </c>
      <c r="B747" t="s">
        <v>759</v>
      </c>
      <c r="C747">
        <v>6080</v>
      </c>
      <c r="D747">
        <v>4663</v>
      </c>
      <c r="E747">
        <v>1226</v>
      </c>
      <c r="F747">
        <v>86.12</v>
      </c>
      <c r="G747">
        <v>2043</v>
      </c>
      <c r="H747">
        <v>44856</v>
      </c>
      <c r="I747">
        <v>7.81</v>
      </c>
      <c r="J747" t="s">
        <v>12</v>
      </c>
      <c r="K747" t="s">
        <v>1554</v>
      </c>
      <c r="L747" s="25">
        <v>2.0439814814814813E-2</v>
      </c>
      <c r="M747">
        <v>0.86120000000000008</v>
      </c>
      <c r="N747">
        <v>7.8100000000000003E-2</v>
      </c>
      <c r="O747">
        <v>11969</v>
      </c>
      <c r="P747">
        <v>0.26683163902265028</v>
      </c>
      <c r="Q747" t="s">
        <v>1238</v>
      </c>
      <c r="R747" t="s">
        <v>1239</v>
      </c>
      <c r="S747" t="s">
        <v>1231</v>
      </c>
      <c r="T747">
        <v>3</v>
      </c>
    </row>
    <row r="748" spans="1:20" x14ac:dyDescent="0.3">
      <c r="A748" t="s">
        <v>758</v>
      </c>
      <c r="B748" t="s">
        <v>759</v>
      </c>
      <c r="C748">
        <v>6080</v>
      </c>
      <c r="D748">
        <v>4663</v>
      </c>
      <c r="E748">
        <v>1226</v>
      </c>
      <c r="F748">
        <v>86.12</v>
      </c>
      <c r="G748">
        <v>2043</v>
      </c>
      <c r="H748">
        <v>44856</v>
      </c>
      <c r="I748">
        <v>7.81</v>
      </c>
      <c r="J748" t="s">
        <v>12</v>
      </c>
      <c r="K748" t="s">
        <v>1350</v>
      </c>
      <c r="L748" s="25">
        <v>2.0439814814814813E-2</v>
      </c>
      <c r="M748">
        <v>0.86120000000000008</v>
      </c>
      <c r="N748">
        <v>7.8100000000000003E-2</v>
      </c>
      <c r="O748">
        <v>11969</v>
      </c>
      <c r="P748">
        <v>0.26683163902265028</v>
      </c>
      <c r="Q748" t="s">
        <v>1238</v>
      </c>
      <c r="R748" t="s">
        <v>1239</v>
      </c>
      <c r="S748" t="s">
        <v>1231</v>
      </c>
      <c r="T748">
        <v>3</v>
      </c>
    </row>
    <row r="749" spans="1:20" x14ac:dyDescent="0.3">
      <c r="A749" t="s">
        <v>761</v>
      </c>
      <c r="B749" t="s">
        <v>762</v>
      </c>
      <c r="C749">
        <v>8161</v>
      </c>
      <c r="D749">
        <v>2503</v>
      </c>
      <c r="E749">
        <v>1541</v>
      </c>
      <c r="F749">
        <v>8.0299999999999994</v>
      </c>
      <c r="G749">
        <v>5033</v>
      </c>
      <c r="H749">
        <v>60807</v>
      </c>
      <c r="I749">
        <v>3.95</v>
      </c>
      <c r="J749" t="s">
        <v>42</v>
      </c>
      <c r="K749" t="s">
        <v>1565</v>
      </c>
      <c r="L749" s="25">
        <v>0.96568287037037037</v>
      </c>
      <c r="M749">
        <v>8.0299999999999996E-2</v>
      </c>
      <c r="N749">
        <v>3.95E-2</v>
      </c>
      <c r="O749">
        <v>12205</v>
      </c>
      <c r="P749">
        <v>0.20071702271120101</v>
      </c>
      <c r="Q749" t="s">
        <v>1238</v>
      </c>
      <c r="R749" t="s">
        <v>1239</v>
      </c>
      <c r="S749" t="s">
        <v>1233</v>
      </c>
      <c r="T749">
        <v>3</v>
      </c>
    </row>
    <row r="750" spans="1:20" x14ac:dyDescent="0.3">
      <c r="A750" t="s">
        <v>761</v>
      </c>
      <c r="B750" t="s">
        <v>762</v>
      </c>
      <c r="C750">
        <v>8161</v>
      </c>
      <c r="D750">
        <v>2503</v>
      </c>
      <c r="E750">
        <v>1541</v>
      </c>
      <c r="F750">
        <v>8.0299999999999994</v>
      </c>
      <c r="G750">
        <v>5033</v>
      </c>
      <c r="H750">
        <v>60807</v>
      </c>
      <c r="I750">
        <v>3.95</v>
      </c>
      <c r="J750" t="s">
        <v>42</v>
      </c>
      <c r="K750" t="s">
        <v>1739</v>
      </c>
      <c r="L750" s="25">
        <v>0.96568287037037037</v>
      </c>
      <c r="M750">
        <v>8.0299999999999996E-2</v>
      </c>
      <c r="N750">
        <v>3.95E-2</v>
      </c>
      <c r="O750">
        <v>12205</v>
      </c>
      <c r="P750">
        <v>0.20071702271120101</v>
      </c>
      <c r="Q750" t="s">
        <v>1238</v>
      </c>
      <c r="R750" t="s">
        <v>1239</v>
      </c>
      <c r="S750" t="s">
        <v>1233</v>
      </c>
      <c r="T750">
        <v>3</v>
      </c>
    </row>
    <row r="751" spans="1:20" x14ac:dyDescent="0.3">
      <c r="A751" t="s">
        <v>761</v>
      </c>
      <c r="B751" t="s">
        <v>762</v>
      </c>
      <c r="C751">
        <v>8161</v>
      </c>
      <c r="D751">
        <v>2503</v>
      </c>
      <c r="E751">
        <v>1541</v>
      </c>
      <c r="F751">
        <v>8.0299999999999994</v>
      </c>
      <c r="G751">
        <v>5033</v>
      </c>
      <c r="H751">
        <v>60807</v>
      </c>
      <c r="I751">
        <v>3.95</v>
      </c>
      <c r="J751" t="s">
        <v>42</v>
      </c>
      <c r="K751" t="s">
        <v>1757</v>
      </c>
      <c r="L751" s="25">
        <v>0.96568287037037037</v>
      </c>
      <c r="M751">
        <v>8.0299999999999996E-2</v>
      </c>
      <c r="N751">
        <v>3.95E-2</v>
      </c>
      <c r="O751">
        <v>12205</v>
      </c>
      <c r="P751">
        <v>0.20071702271120101</v>
      </c>
      <c r="Q751" t="s">
        <v>1238</v>
      </c>
      <c r="R751" t="s">
        <v>1239</v>
      </c>
      <c r="S751" t="s">
        <v>1233</v>
      </c>
      <c r="T751">
        <v>3</v>
      </c>
    </row>
    <row r="752" spans="1:20" x14ac:dyDescent="0.3">
      <c r="A752" t="s">
        <v>764</v>
      </c>
      <c r="B752" t="s">
        <v>765</v>
      </c>
      <c r="C752">
        <v>4182</v>
      </c>
      <c r="D752">
        <v>1994</v>
      </c>
      <c r="E752">
        <v>731</v>
      </c>
      <c r="F752">
        <v>31.14</v>
      </c>
      <c r="G752">
        <v>90266</v>
      </c>
      <c r="H752">
        <v>84254</v>
      </c>
      <c r="I752">
        <v>9.02</v>
      </c>
      <c r="J752" t="s">
        <v>20</v>
      </c>
      <c r="K752" t="s">
        <v>1584</v>
      </c>
      <c r="L752" s="25">
        <v>0.23913194444444444</v>
      </c>
      <c r="M752">
        <v>0.31140000000000001</v>
      </c>
      <c r="N752">
        <v>9.0200000000000002E-2</v>
      </c>
      <c r="O752">
        <v>6907</v>
      </c>
      <c r="P752">
        <v>8.1978303700714503E-2</v>
      </c>
      <c r="Q752" t="s">
        <v>1238</v>
      </c>
      <c r="R752" t="s">
        <v>1239</v>
      </c>
      <c r="S752" t="s">
        <v>1231</v>
      </c>
      <c r="T752">
        <v>3</v>
      </c>
    </row>
    <row r="753" spans="1:20" x14ac:dyDescent="0.3">
      <c r="A753" t="s">
        <v>764</v>
      </c>
      <c r="B753" t="s">
        <v>765</v>
      </c>
      <c r="C753">
        <v>4182</v>
      </c>
      <c r="D753">
        <v>1994</v>
      </c>
      <c r="E753">
        <v>731</v>
      </c>
      <c r="F753">
        <v>31.14</v>
      </c>
      <c r="G753">
        <v>90266</v>
      </c>
      <c r="H753">
        <v>84254</v>
      </c>
      <c r="I753">
        <v>9.02</v>
      </c>
      <c r="J753" t="s">
        <v>20</v>
      </c>
      <c r="K753" t="s">
        <v>1758</v>
      </c>
      <c r="L753" s="25">
        <v>0.23913194444444444</v>
      </c>
      <c r="M753">
        <v>0.31140000000000001</v>
      </c>
      <c r="N753">
        <v>9.0200000000000002E-2</v>
      </c>
      <c r="O753">
        <v>6907</v>
      </c>
      <c r="P753">
        <v>8.1978303700714503E-2</v>
      </c>
      <c r="Q753" t="s">
        <v>1238</v>
      </c>
      <c r="R753" t="s">
        <v>1239</v>
      </c>
      <c r="S753" t="s">
        <v>1231</v>
      </c>
      <c r="T753">
        <v>3</v>
      </c>
    </row>
    <row r="754" spans="1:20" x14ac:dyDescent="0.3">
      <c r="A754" t="s">
        <v>764</v>
      </c>
      <c r="B754" t="s">
        <v>765</v>
      </c>
      <c r="C754">
        <v>4182</v>
      </c>
      <c r="D754">
        <v>1994</v>
      </c>
      <c r="E754">
        <v>731</v>
      </c>
      <c r="F754">
        <v>31.14</v>
      </c>
      <c r="G754">
        <v>90266</v>
      </c>
      <c r="H754">
        <v>84254</v>
      </c>
      <c r="I754">
        <v>9.02</v>
      </c>
      <c r="J754" t="s">
        <v>20</v>
      </c>
      <c r="K754" t="s">
        <v>1542</v>
      </c>
      <c r="L754" s="25">
        <v>0.23913194444444444</v>
      </c>
      <c r="M754">
        <v>0.31140000000000001</v>
      </c>
      <c r="N754">
        <v>9.0200000000000002E-2</v>
      </c>
      <c r="O754">
        <v>6907</v>
      </c>
      <c r="P754">
        <v>8.1978303700714503E-2</v>
      </c>
      <c r="Q754" t="s">
        <v>1238</v>
      </c>
      <c r="R754" t="s">
        <v>1239</v>
      </c>
      <c r="S754" t="s">
        <v>1231</v>
      </c>
      <c r="T754">
        <v>3</v>
      </c>
    </row>
    <row r="755" spans="1:20" x14ac:dyDescent="0.3">
      <c r="A755" t="s">
        <v>767</v>
      </c>
      <c r="B755" t="s">
        <v>768</v>
      </c>
      <c r="C755">
        <v>7544</v>
      </c>
      <c r="D755">
        <v>1081</v>
      </c>
      <c r="E755">
        <v>1513</v>
      </c>
      <c r="F755">
        <v>29.49</v>
      </c>
      <c r="G755">
        <v>89903</v>
      </c>
      <c r="H755">
        <v>99787</v>
      </c>
      <c r="I755">
        <v>2.0299999999999998</v>
      </c>
      <c r="J755" t="s">
        <v>16</v>
      </c>
      <c r="K755" t="s">
        <v>1347</v>
      </c>
      <c r="L755" s="25">
        <v>0.93489583333333337</v>
      </c>
      <c r="M755">
        <v>0.2949</v>
      </c>
      <c r="N755">
        <v>2.0299999999999999E-2</v>
      </c>
      <c r="O755">
        <v>10138</v>
      </c>
      <c r="P755">
        <v>0.10159640033270867</v>
      </c>
      <c r="Q755" t="s">
        <v>1238</v>
      </c>
      <c r="R755" t="s">
        <v>1239</v>
      </c>
      <c r="S755" t="s">
        <v>1233</v>
      </c>
      <c r="T755">
        <v>3</v>
      </c>
    </row>
    <row r="756" spans="1:20" x14ac:dyDescent="0.3">
      <c r="A756" t="s">
        <v>767</v>
      </c>
      <c r="B756" t="s">
        <v>768</v>
      </c>
      <c r="C756">
        <v>7544</v>
      </c>
      <c r="D756">
        <v>1081</v>
      </c>
      <c r="E756">
        <v>1513</v>
      </c>
      <c r="F756">
        <v>29.49</v>
      </c>
      <c r="G756">
        <v>89903</v>
      </c>
      <c r="H756">
        <v>99787</v>
      </c>
      <c r="I756">
        <v>2.0299999999999998</v>
      </c>
      <c r="J756" t="s">
        <v>16</v>
      </c>
      <c r="K756" t="s">
        <v>1421</v>
      </c>
      <c r="L756" s="25">
        <v>0.93489583333333337</v>
      </c>
      <c r="M756">
        <v>0.2949</v>
      </c>
      <c r="N756">
        <v>2.0299999999999999E-2</v>
      </c>
      <c r="O756">
        <v>10138</v>
      </c>
      <c r="P756">
        <v>0.10159640033270867</v>
      </c>
      <c r="Q756" t="s">
        <v>1238</v>
      </c>
      <c r="R756" t="s">
        <v>1239</v>
      </c>
      <c r="S756" t="s">
        <v>1233</v>
      </c>
      <c r="T756">
        <v>3</v>
      </c>
    </row>
    <row r="757" spans="1:20" x14ac:dyDescent="0.3">
      <c r="A757" t="s">
        <v>767</v>
      </c>
      <c r="B757" t="s">
        <v>768</v>
      </c>
      <c r="C757">
        <v>7544</v>
      </c>
      <c r="D757">
        <v>1081</v>
      </c>
      <c r="E757">
        <v>1513</v>
      </c>
      <c r="F757">
        <v>29.49</v>
      </c>
      <c r="G757">
        <v>89903</v>
      </c>
      <c r="H757">
        <v>99787</v>
      </c>
      <c r="I757">
        <v>2.0299999999999998</v>
      </c>
      <c r="J757" t="s">
        <v>16</v>
      </c>
      <c r="K757" t="s">
        <v>1655</v>
      </c>
      <c r="L757" s="25">
        <v>0.93489583333333337</v>
      </c>
      <c r="M757">
        <v>0.2949</v>
      </c>
      <c r="N757">
        <v>2.0299999999999999E-2</v>
      </c>
      <c r="O757">
        <v>10138</v>
      </c>
      <c r="P757">
        <v>0.10159640033270867</v>
      </c>
      <c r="Q757" t="s">
        <v>1238</v>
      </c>
      <c r="R757" t="s">
        <v>1239</v>
      </c>
      <c r="S757" t="s">
        <v>1233</v>
      </c>
      <c r="T757">
        <v>3</v>
      </c>
    </row>
    <row r="758" spans="1:20" x14ac:dyDescent="0.3">
      <c r="A758" t="s">
        <v>770</v>
      </c>
      <c r="B758" t="s">
        <v>771</v>
      </c>
      <c r="C758">
        <v>9758</v>
      </c>
      <c r="D758">
        <v>4028</v>
      </c>
      <c r="E758">
        <v>1871</v>
      </c>
      <c r="F758">
        <v>52.35</v>
      </c>
      <c r="G758">
        <v>29653</v>
      </c>
      <c r="H758">
        <v>8511</v>
      </c>
      <c r="I758">
        <v>2.1</v>
      </c>
      <c r="J758" t="s">
        <v>16</v>
      </c>
      <c r="K758" t="s">
        <v>1759</v>
      </c>
      <c r="L758" s="25">
        <v>0.93118055555555557</v>
      </c>
      <c r="M758">
        <v>0.52349999999999997</v>
      </c>
      <c r="N758">
        <v>2.1000000000000001E-2</v>
      </c>
      <c r="O758">
        <v>15657</v>
      </c>
      <c r="P758">
        <v>1</v>
      </c>
      <c r="Q758" t="s">
        <v>1238</v>
      </c>
      <c r="R758" t="s">
        <v>1239</v>
      </c>
      <c r="S758" t="s">
        <v>1233</v>
      </c>
      <c r="T758">
        <v>3</v>
      </c>
    </row>
    <row r="759" spans="1:20" x14ac:dyDescent="0.3">
      <c r="A759" t="s">
        <v>770</v>
      </c>
      <c r="B759" t="s">
        <v>771</v>
      </c>
      <c r="C759">
        <v>9758</v>
      </c>
      <c r="D759">
        <v>4028</v>
      </c>
      <c r="E759">
        <v>1871</v>
      </c>
      <c r="F759">
        <v>52.35</v>
      </c>
      <c r="G759">
        <v>29653</v>
      </c>
      <c r="H759">
        <v>8511</v>
      </c>
      <c r="I759">
        <v>2.1</v>
      </c>
      <c r="J759" t="s">
        <v>16</v>
      </c>
      <c r="K759" t="s">
        <v>1760</v>
      </c>
      <c r="L759" s="25">
        <v>0.93118055555555557</v>
      </c>
      <c r="M759">
        <v>0.52349999999999997</v>
      </c>
      <c r="N759">
        <v>2.1000000000000001E-2</v>
      </c>
      <c r="O759">
        <v>15657</v>
      </c>
      <c r="P759">
        <v>1</v>
      </c>
      <c r="Q759" t="s">
        <v>1238</v>
      </c>
      <c r="R759" t="s">
        <v>1239</v>
      </c>
      <c r="S759" t="s">
        <v>1233</v>
      </c>
      <c r="T759">
        <v>3</v>
      </c>
    </row>
    <row r="760" spans="1:20" x14ac:dyDescent="0.3">
      <c r="A760" t="s">
        <v>770</v>
      </c>
      <c r="B760" t="s">
        <v>771</v>
      </c>
      <c r="C760">
        <v>9758</v>
      </c>
      <c r="D760">
        <v>4028</v>
      </c>
      <c r="E760">
        <v>1871</v>
      </c>
      <c r="F760">
        <v>52.35</v>
      </c>
      <c r="G760">
        <v>29653</v>
      </c>
      <c r="H760">
        <v>8511</v>
      </c>
      <c r="I760">
        <v>2.1</v>
      </c>
      <c r="J760" t="s">
        <v>16</v>
      </c>
      <c r="K760" t="s">
        <v>1413</v>
      </c>
      <c r="L760" s="25">
        <v>0.93118055555555557</v>
      </c>
      <c r="M760">
        <v>0.52349999999999997</v>
      </c>
      <c r="N760">
        <v>2.1000000000000001E-2</v>
      </c>
      <c r="O760">
        <v>15657</v>
      </c>
      <c r="P760">
        <v>1</v>
      </c>
      <c r="Q760" t="s">
        <v>1238</v>
      </c>
      <c r="R760" t="s">
        <v>1239</v>
      </c>
      <c r="S760" t="s">
        <v>1233</v>
      </c>
      <c r="T760">
        <v>3</v>
      </c>
    </row>
    <row r="761" spans="1:20" x14ac:dyDescent="0.3">
      <c r="A761" t="s">
        <v>773</v>
      </c>
      <c r="B761" t="s">
        <v>774</v>
      </c>
      <c r="C761">
        <v>8778</v>
      </c>
      <c r="D761">
        <v>1157</v>
      </c>
      <c r="E761">
        <v>1736</v>
      </c>
      <c r="F761">
        <v>72.930000000000007</v>
      </c>
      <c r="G761">
        <v>31627</v>
      </c>
      <c r="H761">
        <v>97389</v>
      </c>
      <c r="I761">
        <v>9.44</v>
      </c>
      <c r="J761" t="s">
        <v>16</v>
      </c>
      <c r="K761" t="s">
        <v>1489</v>
      </c>
      <c r="L761" s="25">
        <v>0.94325231481481486</v>
      </c>
      <c r="M761">
        <v>0.72930000000000006</v>
      </c>
      <c r="N761">
        <v>9.4399999999999998E-2</v>
      </c>
      <c r="O761">
        <v>11671</v>
      </c>
      <c r="P761">
        <v>0.11983899619053487</v>
      </c>
      <c r="Q761" t="s">
        <v>1238</v>
      </c>
      <c r="R761" t="s">
        <v>1239</v>
      </c>
      <c r="S761" t="s">
        <v>1233</v>
      </c>
      <c r="T761">
        <v>3</v>
      </c>
    </row>
    <row r="762" spans="1:20" x14ac:dyDescent="0.3">
      <c r="A762" t="s">
        <v>773</v>
      </c>
      <c r="B762" t="s">
        <v>774</v>
      </c>
      <c r="C762">
        <v>8778</v>
      </c>
      <c r="D762">
        <v>1157</v>
      </c>
      <c r="E762">
        <v>1736</v>
      </c>
      <c r="F762">
        <v>72.930000000000007</v>
      </c>
      <c r="G762">
        <v>31627</v>
      </c>
      <c r="H762">
        <v>97389</v>
      </c>
      <c r="I762">
        <v>9.44</v>
      </c>
      <c r="J762" t="s">
        <v>16</v>
      </c>
      <c r="K762" t="s">
        <v>1744</v>
      </c>
      <c r="L762" s="25">
        <v>0.94325231481481486</v>
      </c>
      <c r="M762">
        <v>0.72930000000000006</v>
      </c>
      <c r="N762">
        <v>9.4399999999999998E-2</v>
      </c>
      <c r="O762">
        <v>11671</v>
      </c>
      <c r="P762">
        <v>0.11983899619053487</v>
      </c>
      <c r="Q762" t="s">
        <v>1238</v>
      </c>
      <c r="R762" t="s">
        <v>1239</v>
      </c>
      <c r="S762" t="s">
        <v>1233</v>
      </c>
      <c r="T762">
        <v>3</v>
      </c>
    </row>
    <row r="763" spans="1:20" x14ac:dyDescent="0.3">
      <c r="A763" t="s">
        <v>773</v>
      </c>
      <c r="B763" t="s">
        <v>774</v>
      </c>
      <c r="C763">
        <v>8778</v>
      </c>
      <c r="D763">
        <v>1157</v>
      </c>
      <c r="E763">
        <v>1736</v>
      </c>
      <c r="F763">
        <v>72.930000000000007</v>
      </c>
      <c r="G763">
        <v>31627</v>
      </c>
      <c r="H763">
        <v>97389</v>
      </c>
      <c r="I763">
        <v>9.44</v>
      </c>
      <c r="J763" t="s">
        <v>16</v>
      </c>
      <c r="K763" t="s">
        <v>1631</v>
      </c>
      <c r="L763" s="25">
        <v>0.94325231481481486</v>
      </c>
      <c r="M763">
        <v>0.72930000000000006</v>
      </c>
      <c r="N763">
        <v>9.4399999999999998E-2</v>
      </c>
      <c r="O763">
        <v>11671</v>
      </c>
      <c r="P763">
        <v>0.11983899619053487</v>
      </c>
      <c r="Q763" t="s">
        <v>1238</v>
      </c>
      <c r="R763" t="s">
        <v>1239</v>
      </c>
      <c r="S763" t="s">
        <v>1233</v>
      </c>
      <c r="T763">
        <v>3</v>
      </c>
    </row>
    <row r="764" spans="1:20" x14ac:dyDescent="0.3">
      <c r="A764" t="s">
        <v>776</v>
      </c>
      <c r="B764" t="s">
        <v>777</v>
      </c>
      <c r="C764">
        <v>1337</v>
      </c>
      <c r="D764">
        <v>2971</v>
      </c>
      <c r="E764">
        <v>291</v>
      </c>
      <c r="F764">
        <v>82.09</v>
      </c>
      <c r="G764">
        <v>25937</v>
      </c>
      <c r="H764">
        <v>32127</v>
      </c>
      <c r="I764">
        <v>4.67</v>
      </c>
      <c r="J764" t="s">
        <v>16</v>
      </c>
      <c r="K764" t="s">
        <v>1573</v>
      </c>
      <c r="L764" s="25">
        <v>0.36709490740740741</v>
      </c>
      <c r="M764">
        <v>0.82090000000000007</v>
      </c>
      <c r="N764">
        <v>4.6699999999999998E-2</v>
      </c>
      <c r="O764">
        <v>4599</v>
      </c>
      <c r="P764">
        <v>0.14315062097301334</v>
      </c>
      <c r="Q764" t="s">
        <v>1238</v>
      </c>
      <c r="R764" t="s">
        <v>1239</v>
      </c>
      <c r="S764" t="s">
        <v>1231</v>
      </c>
      <c r="T764">
        <v>3</v>
      </c>
    </row>
    <row r="765" spans="1:20" x14ac:dyDescent="0.3">
      <c r="A765" t="s">
        <v>776</v>
      </c>
      <c r="B765" t="s">
        <v>777</v>
      </c>
      <c r="C765">
        <v>1337</v>
      </c>
      <c r="D765">
        <v>2971</v>
      </c>
      <c r="E765">
        <v>291</v>
      </c>
      <c r="F765">
        <v>82.09</v>
      </c>
      <c r="G765">
        <v>25937</v>
      </c>
      <c r="H765">
        <v>32127</v>
      </c>
      <c r="I765">
        <v>4.67</v>
      </c>
      <c r="J765" t="s">
        <v>16</v>
      </c>
      <c r="K765" t="s">
        <v>1761</v>
      </c>
      <c r="L765" s="25">
        <v>0.36709490740740741</v>
      </c>
      <c r="M765">
        <v>0.82090000000000007</v>
      </c>
      <c r="N765">
        <v>4.6699999999999998E-2</v>
      </c>
      <c r="O765">
        <v>4599</v>
      </c>
      <c r="P765">
        <v>0.14315062097301334</v>
      </c>
      <c r="Q765" t="s">
        <v>1238</v>
      </c>
      <c r="R765" t="s">
        <v>1239</v>
      </c>
      <c r="S765" t="s">
        <v>1231</v>
      </c>
      <c r="T765">
        <v>3</v>
      </c>
    </row>
    <row r="766" spans="1:20" x14ac:dyDescent="0.3">
      <c r="A766" t="s">
        <v>776</v>
      </c>
      <c r="B766" t="s">
        <v>777</v>
      </c>
      <c r="C766">
        <v>1337</v>
      </c>
      <c r="D766">
        <v>2971</v>
      </c>
      <c r="E766">
        <v>291</v>
      </c>
      <c r="F766">
        <v>82.09</v>
      </c>
      <c r="G766">
        <v>25937</v>
      </c>
      <c r="H766">
        <v>32127</v>
      </c>
      <c r="I766">
        <v>4.67</v>
      </c>
      <c r="J766" t="s">
        <v>16</v>
      </c>
      <c r="K766" t="s">
        <v>1762</v>
      </c>
      <c r="L766" s="25">
        <v>0.36709490740740741</v>
      </c>
      <c r="M766">
        <v>0.82090000000000007</v>
      </c>
      <c r="N766">
        <v>4.6699999999999998E-2</v>
      </c>
      <c r="O766">
        <v>4599</v>
      </c>
      <c r="P766">
        <v>0.14315062097301334</v>
      </c>
      <c r="Q766" t="s">
        <v>1238</v>
      </c>
      <c r="R766" t="s">
        <v>1239</v>
      </c>
      <c r="S766" t="s">
        <v>1231</v>
      </c>
      <c r="T766">
        <v>3</v>
      </c>
    </row>
    <row r="767" spans="1:20" x14ac:dyDescent="0.3">
      <c r="A767" t="s">
        <v>779</v>
      </c>
      <c r="B767" t="s">
        <v>780</v>
      </c>
      <c r="C767">
        <v>5041</v>
      </c>
      <c r="D767">
        <v>3667</v>
      </c>
      <c r="E767">
        <v>970</v>
      </c>
      <c r="F767">
        <v>35.799999999999997</v>
      </c>
      <c r="G767">
        <v>46770</v>
      </c>
      <c r="H767">
        <v>88983</v>
      </c>
      <c r="I767">
        <v>6.18</v>
      </c>
      <c r="J767" t="s">
        <v>42</v>
      </c>
      <c r="K767" t="s">
        <v>1763</v>
      </c>
      <c r="L767" s="25">
        <v>0.95287037037037037</v>
      </c>
      <c r="M767">
        <v>0.35799999999999998</v>
      </c>
      <c r="N767">
        <v>6.1799999999999994E-2</v>
      </c>
      <c r="O767">
        <v>9678</v>
      </c>
      <c r="P767">
        <v>0.10876234786419878</v>
      </c>
      <c r="Q767" t="s">
        <v>1238</v>
      </c>
      <c r="R767" t="s">
        <v>1239</v>
      </c>
      <c r="S767" t="s">
        <v>1233</v>
      </c>
      <c r="T767">
        <v>3</v>
      </c>
    </row>
    <row r="768" spans="1:20" x14ac:dyDescent="0.3">
      <c r="A768" t="s">
        <v>779</v>
      </c>
      <c r="B768" t="s">
        <v>780</v>
      </c>
      <c r="C768">
        <v>5041</v>
      </c>
      <c r="D768">
        <v>3667</v>
      </c>
      <c r="E768">
        <v>970</v>
      </c>
      <c r="F768">
        <v>35.799999999999997</v>
      </c>
      <c r="G768">
        <v>46770</v>
      </c>
      <c r="H768">
        <v>88983</v>
      </c>
      <c r="I768">
        <v>6.18</v>
      </c>
      <c r="J768" t="s">
        <v>42</v>
      </c>
      <c r="K768" t="s">
        <v>1764</v>
      </c>
      <c r="L768" s="25">
        <v>0.95287037037037037</v>
      </c>
      <c r="M768">
        <v>0.35799999999999998</v>
      </c>
      <c r="N768">
        <v>6.1799999999999994E-2</v>
      </c>
      <c r="O768">
        <v>9678</v>
      </c>
      <c r="P768">
        <v>0.10876234786419878</v>
      </c>
      <c r="Q768" t="s">
        <v>1238</v>
      </c>
      <c r="R768" t="s">
        <v>1239</v>
      </c>
      <c r="S768" t="s">
        <v>1233</v>
      </c>
      <c r="T768">
        <v>3</v>
      </c>
    </row>
    <row r="769" spans="1:20" x14ac:dyDescent="0.3">
      <c r="A769" t="s">
        <v>779</v>
      </c>
      <c r="B769" t="s">
        <v>780</v>
      </c>
      <c r="C769">
        <v>5041</v>
      </c>
      <c r="D769">
        <v>3667</v>
      </c>
      <c r="E769">
        <v>970</v>
      </c>
      <c r="F769">
        <v>35.799999999999997</v>
      </c>
      <c r="G769">
        <v>46770</v>
      </c>
      <c r="H769">
        <v>88983</v>
      </c>
      <c r="I769">
        <v>6.18</v>
      </c>
      <c r="J769" t="s">
        <v>42</v>
      </c>
      <c r="K769" t="s">
        <v>1765</v>
      </c>
      <c r="L769" s="25">
        <v>0.95287037037037037</v>
      </c>
      <c r="M769">
        <v>0.35799999999999998</v>
      </c>
      <c r="N769">
        <v>6.1799999999999994E-2</v>
      </c>
      <c r="O769">
        <v>9678</v>
      </c>
      <c r="P769">
        <v>0.10876234786419878</v>
      </c>
      <c r="Q769" t="s">
        <v>1238</v>
      </c>
      <c r="R769" t="s">
        <v>1239</v>
      </c>
      <c r="S769" t="s">
        <v>1233</v>
      </c>
      <c r="T769">
        <v>3</v>
      </c>
    </row>
    <row r="770" spans="1:20" x14ac:dyDescent="0.3">
      <c r="A770" t="s">
        <v>782</v>
      </c>
      <c r="B770" t="s">
        <v>783</v>
      </c>
      <c r="C770">
        <v>4784</v>
      </c>
      <c r="D770">
        <v>3753</v>
      </c>
      <c r="E770">
        <v>604</v>
      </c>
      <c r="F770">
        <v>17.38</v>
      </c>
      <c r="G770">
        <v>89205</v>
      </c>
      <c r="H770">
        <v>33068</v>
      </c>
      <c r="I770">
        <v>3.56</v>
      </c>
      <c r="J770" t="s">
        <v>20</v>
      </c>
      <c r="K770" t="s">
        <v>1766</v>
      </c>
      <c r="L770" s="25">
        <v>0.95759259259259255</v>
      </c>
      <c r="M770">
        <v>0.17379999999999998</v>
      </c>
      <c r="N770">
        <v>3.56E-2</v>
      </c>
      <c r="O770">
        <v>9141</v>
      </c>
      <c r="P770">
        <v>0.27643038587153745</v>
      </c>
      <c r="Q770" t="s">
        <v>1238</v>
      </c>
      <c r="R770" t="s">
        <v>1239</v>
      </c>
      <c r="S770" t="s">
        <v>1233</v>
      </c>
      <c r="T770">
        <v>3</v>
      </c>
    </row>
    <row r="771" spans="1:20" x14ac:dyDescent="0.3">
      <c r="A771" t="s">
        <v>782</v>
      </c>
      <c r="B771" t="s">
        <v>783</v>
      </c>
      <c r="C771">
        <v>4784</v>
      </c>
      <c r="D771">
        <v>3753</v>
      </c>
      <c r="E771">
        <v>604</v>
      </c>
      <c r="F771">
        <v>17.38</v>
      </c>
      <c r="G771">
        <v>89205</v>
      </c>
      <c r="H771">
        <v>33068</v>
      </c>
      <c r="I771">
        <v>3.56</v>
      </c>
      <c r="J771" t="s">
        <v>20</v>
      </c>
      <c r="K771" t="s">
        <v>1642</v>
      </c>
      <c r="L771" s="25">
        <v>0.95759259259259255</v>
      </c>
      <c r="M771">
        <v>0.17379999999999998</v>
      </c>
      <c r="N771">
        <v>3.56E-2</v>
      </c>
      <c r="O771">
        <v>9141</v>
      </c>
      <c r="P771">
        <v>0.27643038587153745</v>
      </c>
      <c r="Q771" t="s">
        <v>1238</v>
      </c>
      <c r="R771" t="s">
        <v>1239</v>
      </c>
      <c r="S771" t="s">
        <v>1233</v>
      </c>
      <c r="T771">
        <v>3</v>
      </c>
    </row>
    <row r="772" spans="1:20" x14ac:dyDescent="0.3">
      <c r="A772" t="s">
        <v>782</v>
      </c>
      <c r="B772" t="s">
        <v>783</v>
      </c>
      <c r="C772">
        <v>4784</v>
      </c>
      <c r="D772">
        <v>3753</v>
      </c>
      <c r="E772">
        <v>604</v>
      </c>
      <c r="F772">
        <v>17.38</v>
      </c>
      <c r="G772">
        <v>89205</v>
      </c>
      <c r="H772">
        <v>33068</v>
      </c>
      <c r="I772">
        <v>3.56</v>
      </c>
      <c r="J772" t="s">
        <v>20</v>
      </c>
      <c r="K772" t="s">
        <v>1484</v>
      </c>
      <c r="L772" s="25">
        <v>0.95759259259259255</v>
      </c>
      <c r="M772">
        <v>0.17379999999999998</v>
      </c>
      <c r="N772">
        <v>3.56E-2</v>
      </c>
      <c r="O772">
        <v>9141</v>
      </c>
      <c r="P772">
        <v>0.27643038587153745</v>
      </c>
      <c r="Q772" t="s">
        <v>1238</v>
      </c>
      <c r="R772" t="s">
        <v>1239</v>
      </c>
      <c r="S772" t="s">
        <v>1233</v>
      </c>
      <c r="T772">
        <v>3</v>
      </c>
    </row>
    <row r="773" spans="1:20" x14ac:dyDescent="0.3">
      <c r="A773" t="s">
        <v>785</v>
      </c>
      <c r="B773" t="s">
        <v>786</v>
      </c>
      <c r="C773">
        <v>7678</v>
      </c>
      <c r="D773">
        <v>2596</v>
      </c>
      <c r="E773">
        <v>1637</v>
      </c>
      <c r="F773">
        <v>29.5</v>
      </c>
      <c r="G773">
        <v>48405</v>
      </c>
      <c r="H773">
        <v>14117</v>
      </c>
      <c r="I773">
        <v>4.78</v>
      </c>
      <c r="J773" t="s">
        <v>16</v>
      </c>
      <c r="K773" t="s">
        <v>1653</v>
      </c>
      <c r="L773" s="25">
        <v>0.80667824074074079</v>
      </c>
      <c r="M773">
        <v>0.29499999999999998</v>
      </c>
      <c r="N773">
        <v>4.7800000000000002E-2</v>
      </c>
      <c r="O773">
        <v>11911</v>
      </c>
      <c r="P773">
        <v>0.84373450449812282</v>
      </c>
      <c r="Q773" t="s">
        <v>1238</v>
      </c>
      <c r="R773" t="s">
        <v>1239</v>
      </c>
      <c r="S773" t="s">
        <v>1232</v>
      </c>
      <c r="T773">
        <v>3</v>
      </c>
    </row>
    <row r="774" spans="1:20" x14ac:dyDescent="0.3">
      <c r="A774" t="s">
        <v>785</v>
      </c>
      <c r="B774" t="s">
        <v>786</v>
      </c>
      <c r="C774">
        <v>7678</v>
      </c>
      <c r="D774">
        <v>2596</v>
      </c>
      <c r="E774">
        <v>1637</v>
      </c>
      <c r="F774">
        <v>29.5</v>
      </c>
      <c r="G774">
        <v>48405</v>
      </c>
      <c r="H774">
        <v>14117</v>
      </c>
      <c r="I774">
        <v>4.78</v>
      </c>
      <c r="J774" t="s">
        <v>16</v>
      </c>
      <c r="K774" t="s">
        <v>1582</v>
      </c>
      <c r="L774" s="25">
        <v>0.80667824074074079</v>
      </c>
      <c r="M774">
        <v>0.29499999999999998</v>
      </c>
      <c r="N774">
        <v>4.7800000000000002E-2</v>
      </c>
      <c r="O774">
        <v>11911</v>
      </c>
      <c r="P774">
        <v>0.84373450449812282</v>
      </c>
      <c r="Q774" t="s">
        <v>1238</v>
      </c>
      <c r="R774" t="s">
        <v>1239</v>
      </c>
      <c r="S774" t="s">
        <v>1232</v>
      </c>
      <c r="T774">
        <v>3</v>
      </c>
    </row>
    <row r="775" spans="1:20" x14ac:dyDescent="0.3">
      <c r="A775" t="s">
        <v>785</v>
      </c>
      <c r="B775" t="s">
        <v>786</v>
      </c>
      <c r="C775">
        <v>7678</v>
      </c>
      <c r="D775">
        <v>2596</v>
      </c>
      <c r="E775">
        <v>1637</v>
      </c>
      <c r="F775">
        <v>29.5</v>
      </c>
      <c r="G775">
        <v>48405</v>
      </c>
      <c r="H775">
        <v>14117</v>
      </c>
      <c r="I775">
        <v>4.78</v>
      </c>
      <c r="J775" t="s">
        <v>16</v>
      </c>
      <c r="K775" t="s">
        <v>1656</v>
      </c>
      <c r="L775" s="25">
        <v>0.80667824074074079</v>
      </c>
      <c r="M775">
        <v>0.29499999999999998</v>
      </c>
      <c r="N775">
        <v>4.7800000000000002E-2</v>
      </c>
      <c r="O775">
        <v>11911</v>
      </c>
      <c r="P775">
        <v>0.84373450449812282</v>
      </c>
      <c r="Q775" t="s">
        <v>1238</v>
      </c>
      <c r="R775" t="s">
        <v>1239</v>
      </c>
      <c r="S775" t="s">
        <v>1232</v>
      </c>
      <c r="T775">
        <v>3</v>
      </c>
    </row>
    <row r="776" spans="1:20" x14ac:dyDescent="0.3">
      <c r="A776" t="s">
        <v>788</v>
      </c>
      <c r="B776" t="s">
        <v>789</v>
      </c>
      <c r="C776">
        <v>75</v>
      </c>
      <c r="D776">
        <v>1337</v>
      </c>
      <c r="E776">
        <v>1936</v>
      </c>
      <c r="F776">
        <v>81.569999999999993</v>
      </c>
      <c r="G776">
        <v>79365</v>
      </c>
      <c r="H776">
        <v>34275</v>
      </c>
      <c r="I776">
        <v>4.6900000000000004</v>
      </c>
      <c r="J776" t="s">
        <v>42</v>
      </c>
      <c r="K776" t="s">
        <v>1767</v>
      </c>
      <c r="L776" s="25">
        <v>0.58636574074074077</v>
      </c>
      <c r="M776">
        <v>0.81569999999999998</v>
      </c>
      <c r="N776">
        <v>4.6900000000000004E-2</v>
      </c>
      <c r="O776">
        <v>3348</v>
      </c>
      <c r="P776">
        <v>9.7680525164113782E-2</v>
      </c>
      <c r="Q776" t="s">
        <v>1238</v>
      </c>
      <c r="R776" t="s">
        <v>1239</v>
      </c>
      <c r="S776" t="s">
        <v>1230</v>
      </c>
      <c r="T776">
        <v>3</v>
      </c>
    </row>
    <row r="777" spans="1:20" x14ac:dyDescent="0.3">
      <c r="A777" t="s">
        <v>788</v>
      </c>
      <c r="B777" t="s">
        <v>789</v>
      </c>
      <c r="C777">
        <v>75</v>
      </c>
      <c r="D777">
        <v>1337</v>
      </c>
      <c r="E777">
        <v>1936</v>
      </c>
      <c r="F777">
        <v>81.569999999999993</v>
      </c>
      <c r="G777">
        <v>79365</v>
      </c>
      <c r="H777">
        <v>34275</v>
      </c>
      <c r="I777">
        <v>4.6900000000000004</v>
      </c>
      <c r="J777" t="s">
        <v>42</v>
      </c>
      <c r="K777" t="s">
        <v>1540</v>
      </c>
      <c r="L777" s="25">
        <v>0.58636574074074077</v>
      </c>
      <c r="M777">
        <v>0.81569999999999998</v>
      </c>
      <c r="N777">
        <v>4.6900000000000004E-2</v>
      </c>
      <c r="O777">
        <v>3348</v>
      </c>
      <c r="P777">
        <v>9.7680525164113782E-2</v>
      </c>
      <c r="Q777" t="s">
        <v>1238</v>
      </c>
      <c r="R777" t="s">
        <v>1239</v>
      </c>
      <c r="S777" t="s">
        <v>1230</v>
      </c>
      <c r="T777">
        <v>3</v>
      </c>
    </row>
    <row r="778" spans="1:20" x14ac:dyDescent="0.3">
      <c r="A778" t="s">
        <v>788</v>
      </c>
      <c r="B778" t="s">
        <v>789</v>
      </c>
      <c r="C778">
        <v>75</v>
      </c>
      <c r="D778">
        <v>1337</v>
      </c>
      <c r="E778">
        <v>1936</v>
      </c>
      <c r="F778">
        <v>81.569999999999993</v>
      </c>
      <c r="G778">
        <v>79365</v>
      </c>
      <c r="H778">
        <v>34275</v>
      </c>
      <c r="I778">
        <v>4.6900000000000004</v>
      </c>
      <c r="J778" t="s">
        <v>42</v>
      </c>
      <c r="K778" t="s">
        <v>1436</v>
      </c>
      <c r="L778" s="25">
        <v>0.58636574074074077</v>
      </c>
      <c r="M778">
        <v>0.81569999999999998</v>
      </c>
      <c r="N778">
        <v>4.6900000000000004E-2</v>
      </c>
      <c r="O778">
        <v>3348</v>
      </c>
      <c r="P778">
        <v>9.7680525164113782E-2</v>
      </c>
      <c r="Q778" t="s">
        <v>1238</v>
      </c>
      <c r="R778" t="s">
        <v>1239</v>
      </c>
      <c r="S778" t="s">
        <v>1230</v>
      </c>
      <c r="T778">
        <v>3</v>
      </c>
    </row>
    <row r="779" spans="1:20" x14ac:dyDescent="0.3">
      <c r="A779" t="s">
        <v>791</v>
      </c>
      <c r="B779" t="s">
        <v>792</v>
      </c>
      <c r="C779">
        <v>9984</v>
      </c>
      <c r="D779">
        <v>1217</v>
      </c>
      <c r="E779">
        <v>172</v>
      </c>
      <c r="F779">
        <v>57.88</v>
      </c>
      <c r="G779">
        <v>26000</v>
      </c>
      <c r="H779">
        <v>11284</v>
      </c>
      <c r="I779">
        <v>8.16</v>
      </c>
      <c r="J779" t="s">
        <v>16</v>
      </c>
      <c r="K779" t="s">
        <v>1768</v>
      </c>
      <c r="L779" s="25">
        <v>0.26616898148148149</v>
      </c>
      <c r="M779">
        <v>0.57879999999999998</v>
      </c>
      <c r="N779">
        <v>8.1600000000000006E-2</v>
      </c>
      <c r="O779">
        <v>11373</v>
      </c>
      <c r="P779">
        <v>1</v>
      </c>
      <c r="Q779" t="s">
        <v>1238</v>
      </c>
      <c r="R779" t="s">
        <v>1239</v>
      </c>
      <c r="S779" t="s">
        <v>1231</v>
      </c>
      <c r="T779">
        <v>3</v>
      </c>
    </row>
    <row r="780" spans="1:20" x14ac:dyDescent="0.3">
      <c r="A780" t="s">
        <v>791</v>
      </c>
      <c r="B780" t="s">
        <v>792</v>
      </c>
      <c r="C780">
        <v>9984</v>
      </c>
      <c r="D780">
        <v>1217</v>
      </c>
      <c r="E780">
        <v>172</v>
      </c>
      <c r="F780">
        <v>57.88</v>
      </c>
      <c r="G780">
        <v>26000</v>
      </c>
      <c r="H780">
        <v>11284</v>
      </c>
      <c r="I780">
        <v>8.16</v>
      </c>
      <c r="J780" t="s">
        <v>16</v>
      </c>
      <c r="K780" t="s">
        <v>1269</v>
      </c>
      <c r="L780" s="25">
        <v>0.26616898148148149</v>
      </c>
      <c r="M780">
        <v>0.57879999999999998</v>
      </c>
      <c r="N780">
        <v>8.1600000000000006E-2</v>
      </c>
      <c r="O780">
        <v>11373</v>
      </c>
      <c r="P780">
        <v>1</v>
      </c>
      <c r="Q780" t="s">
        <v>1238</v>
      </c>
      <c r="R780" t="s">
        <v>1239</v>
      </c>
      <c r="S780" t="s">
        <v>1231</v>
      </c>
      <c r="T780">
        <v>3</v>
      </c>
    </row>
    <row r="781" spans="1:20" x14ac:dyDescent="0.3">
      <c r="A781" t="s">
        <v>791</v>
      </c>
      <c r="B781" t="s">
        <v>792</v>
      </c>
      <c r="C781">
        <v>9984</v>
      </c>
      <c r="D781">
        <v>1217</v>
      </c>
      <c r="E781">
        <v>172</v>
      </c>
      <c r="F781">
        <v>57.88</v>
      </c>
      <c r="G781">
        <v>26000</v>
      </c>
      <c r="H781">
        <v>11284</v>
      </c>
      <c r="I781">
        <v>8.16</v>
      </c>
      <c r="J781" t="s">
        <v>16</v>
      </c>
      <c r="K781" t="s">
        <v>1769</v>
      </c>
      <c r="L781" s="25">
        <v>0.26616898148148149</v>
      </c>
      <c r="M781">
        <v>0.57879999999999998</v>
      </c>
      <c r="N781">
        <v>8.1600000000000006E-2</v>
      </c>
      <c r="O781">
        <v>11373</v>
      </c>
      <c r="P781">
        <v>1</v>
      </c>
      <c r="Q781" t="s">
        <v>1238</v>
      </c>
      <c r="R781" t="s">
        <v>1239</v>
      </c>
      <c r="S781" t="s">
        <v>1231</v>
      </c>
      <c r="T781">
        <v>3</v>
      </c>
    </row>
    <row r="782" spans="1:20" x14ac:dyDescent="0.3">
      <c r="A782" t="s">
        <v>794</v>
      </c>
      <c r="B782" t="s">
        <v>795</v>
      </c>
      <c r="C782">
        <v>9842</v>
      </c>
      <c r="D782">
        <v>3834</v>
      </c>
      <c r="E782">
        <v>1942</v>
      </c>
      <c r="F782">
        <v>15.06</v>
      </c>
      <c r="G782">
        <v>49092</v>
      </c>
      <c r="H782">
        <v>83743</v>
      </c>
      <c r="I782">
        <v>2.37</v>
      </c>
      <c r="J782" t="s">
        <v>12</v>
      </c>
      <c r="K782" t="s">
        <v>1531</v>
      </c>
      <c r="L782" s="25">
        <v>0.83429398148148148</v>
      </c>
      <c r="M782">
        <v>0.15060000000000001</v>
      </c>
      <c r="N782">
        <v>2.3700000000000002E-2</v>
      </c>
      <c r="O782">
        <v>15618</v>
      </c>
      <c r="P782">
        <v>0.18649917007988728</v>
      </c>
      <c r="Q782" t="s">
        <v>1238</v>
      </c>
      <c r="R782" t="s">
        <v>1239</v>
      </c>
      <c r="S782" t="s">
        <v>1232</v>
      </c>
      <c r="T782">
        <v>3</v>
      </c>
    </row>
    <row r="783" spans="1:20" x14ac:dyDescent="0.3">
      <c r="A783" t="s">
        <v>794</v>
      </c>
      <c r="B783" t="s">
        <v>795</v>
      </c>
      <c r="C783">
        <v>9842</v>
      </c>
      <c r="D783">
        <v>3834</v>
      </c>
      <c r="E783">
        <v>1942</v>
      </c>
      <c r="F783">
        <v>15.06</v>
      </c>
      <c r="G783">
        <v>49092</v>
      </c>
      <c r="H783">
        <v>83743</v>
      </c>
      <c r="I783">
        <v>2.37</v>
      </c>
      <c r="J783" t="s">
        <v>12</v>
      </c>
      <c r="K783" t="s">
        <v>1565</v>
      </c>
      <c r="L783" s="25">
        <v>0.83429398148148148</v>
      </c>
      <c r="M783">
        <v>0.15060000000000001</v>
      </c>
      <c r="N783">
        <v>2.3700000000000002E-2</v>
      </c>
      <c r="O783">
        <v>15618</v>
      </c>
      <c r="P783">
        <v>0.18649917007988728</v>
      </c>
      <c r="Q783" t="s">
        <v>1238</v>
      </c>
      <c r="R783" t="s">
        <v>1239</v>
      </c>
      <c r="S783" t="s">
        <v>1232</v>
      </c>
      <c r="T783">
        <v>3</v>
      </c>
    </row>
    <row r="784" spans="1:20" x14ac:dyDescent="0.3">
      <c r="A784" t="s">
        <v>794</v>
      </c>
      <c r="B784" t="s">
        <v>795</v>
      </c>
      <c r="C784">
        <v>9842</v>
      </c>
      <c r="D784">
        <v>3834</v>
      </c>
      <c r="E784">
        <v>1942</v>
      </c>
      <c r="F784">
        <v>15.06</v>
      </c>
      <c r="G784">
        <v>49092</v>
      </c>
      <c r="H784">
        <v>83743</v>
      </c>
      <c r="I784">
        <v>2.37</v>
      </c>
      <c r="J784" t="s">
        <v>12</v>
      </c>
      <c r="K784" t="s">
        <v>1742</v>
      </c>
      <c r="L784" s="25">
        <v>0.83429398148148148</v>
      </c>
      <c r="M784">
        <v>0.15060000000000001</v>
      </c>
      <c r="N784">
        <v>2.3700000000000002E-2</v>
      </c>
      <c r="O784">
        <v>15618</v>
      </c>
      <c r="P784">
        <v>0.18649917007988728</v>
      </c>
      <c r="Q784" t="s">
        <v>1238</v>
      </c>
      <c r="R784" t="s">
        <v>1239</v>
      </c>
      <c r="S784" t="s">
        <v>1232</v>
      </c>
      <c r="T784">
        <v>3</v>
      </c>
    </row>
    <row r="785" spans="1:20" x14ac:dyDescent="0.3">
      <c r="A785" t="s">
        <v>797</v>
      </c>
      <c r="B785" t="s">
        <v>798</v>
      </c>
      <c r="C785">
        <v>550</v>
      </c>
      <c r="D785">
        <v>2006</v>
      </c>
      <c r="E785">
        <v>431</v>
      </c>
      <c r="F785">
        <v>80.209999999999994</v>
      </c>
      <c r="G785">
        <v>97534</v>
      </c>
      <c r="H785">
        <v>95411</v>
      </c>
      <c r="I785">
        <v>1.51</v>
      </c>
      <c r="J785" t="s">
        <v>20</v>
      </c>
      <c r="K785" t="s">
        <v>1691</v>
      </c>
      <c r="L785" s="25">
        <v>4.6782407407407404E-2</v>
      </c>
      <c r="M785">
        <v>0.80209999999999992</v>
      </c>
      <c r="N785">
        <v>1.5100000000000001E-2</v>
      </c>
      <c r="O785">
        <v>2987</v>
      </c>
      <c r="P785">
        <v>3.1306662753770531E-2</v>
      </c>
      <c r="Q785" t="s">
        <v>1238</v>
      </c>
      <c r="R785" t="s">
        <v>1239</v>
      </c>
      <c r="S785" t="s">
        <v>1231</v>
      </c>
      <c r="T785">
        <v>3</v>
      </c>
    </row>
    <row r="786" spans="1:20" x14ac:dyDescent="0.3">
      <c r="A786" t="s">
        <v>797</v>
      </c>
      <c r="B786" t="s">
        <v>798</v>
      </c>
      <c r="C786">
        <v>550</v>
      </c>
      <c r="D786">
        <v>2006</v>
      </c>
      <c r="E786">
        <v>431</v>
      </c>
      <c r="F786">
        <v>80.209999999999994</v>
      </c>
      <c r="G786">
        <v>97534</v>
      </c>
      <c r="H786">
        <v>95411</v>
      </c>
      <c r="I786">
        <v>1.51</v>
      </c>
      <c r="J786" t="s">
        <v>20</v>
      </c>
      <c r="K786" t="s">
        <v>1770</v>
      </c>
      <c r="L786" s="25">
        <v>4.6782407407407404E-2</v>
      </c>
      <c r="M786">
        <v>0.80209999999999992</v>
      </c>
      <c r="N786">
        <v>1.5100000000000001E-2</v>
      </c>
      <c r="O786">
        <v>2987</v>
      </c>
      <c r="P786">
        <v>3.1306662753770531E-2</v>
      </c>
      <c r="Q786" t="s">
        <v>1238</v>
      </c>
      <c r="R786" t="s">
        <v>1239</v>
      </c>
      <c r="S786" t="s">
        <v>1231</v>
      </c>
      <c r="T786">
        <v>3</v>
      </c>
    </row>
    <row r="787" spans="1:20" x14ac:dyDescent="0.3">
      <c r="A787" t="s">
        <v>797</v>
      </c>
      <c r="B787" t="s">
        <v>798</v>
      </c>
      <c r="C787">
        <v>550</v>
      </c>
      <c r="D787">
        <v>2006</v>
      </c>
      <c r="E787">
        <v>431</v>
      </c>
      <c r="F787">
        <v>80.209999999999994</v>
      </c>
      <c r="G787">
        <v>97534</v>
      </c>
      <c r="H787">
        <v>95411</v>
      </c>
      <c r="I787">
        <v>1.51</v>
      </c>
      <c r="J787" t="s">
        <v>20</v>
      </c>
      <c r="K787" t="s">
        <v>1421</v>
      </c>
      <c r="L787" s="25">
        <v>4.6782407407407404E-2</v>
      </c>
      <c r="M787">
        <v>0.80209999999999992</v>
      </c>
      <c r="N787">
        <v>1.5100000000000001E-2</v>
      </c>
      <c r="O787">
        <v>2987</v>
      </c>
      <c r="P787">
        <v>3.1306662753770531E-2</v>
      </c>
      <c r="Q787" t="s">
        <v>1238</v>
      </c>
      <c r="R787" t="s">
        <v>1239</v>
      </c>
      <c r="S787" t="s">
        <v>1231</v>
      </c>
      <c r="T787">
        <v>3</v>
      </c>
    </row>
    <row r="788" spans="1:20" x14ac:dyDescent="0.3">
      <c r="A788" t="s">
        <v>800</v>
      </c>
      <c r="B788" t="s">
        <v>801</v>
      </c>
      <c r="C788">
        <v>4847</v>
      </c>
      <c r="D788">
        <v>2125</v>
      </c>
      <c r="E788">
        <v>1590</v>
      </c>
      <c r="F788">
        <v>24.42</v>
      </c>
      <c r="G788">
        <v>13729</v>
      </c>
      <c r="H788">
        <v>70766</v>
      </c>
      <c r="I788">
        <v>6.65</v>
      </c>
      <c r="J788" t="s">
        <v>12</v>
      </c>
      <c r="K788" t="s">
        <v>1562</v>
      </c>
      <c r="L788" s="25">
        <v>0.23851851851851852</v>
      </c>
      <c r="M788">
        <v>0.24420000000000003</v>
      </c>
      <c r="N788">
        <v>6.6500000000000004E-2</v>
      </c>
      <c r="O788">
        <v>8562</v>
      </c>
      <c r="P788">
        <v>0.12099030607919058</v>
      </c>
      <c r="Q788" t="s">
        <v>1238</v>
      </c>
      <c r="R788" t="s">
        <v>1239</v>
      </c>
      <c r="S788" t="s">
        <v>1231</v>
      </c>
      <c r="T788">
        <v>3</v>
      </c>
    </row>
    <row r="789" spans="1:20" x14ac:dyDescent="0.3">
      <c r="A789" t="s">
        <v>800</v>
      </c>
      <c r="B789" t="s">
        <v>801</v>
      </c>
      <c r="C789">
        <v>4847</v>
      </c>
      <c r="D789">
        <v>2125</v>
      </c>
      <c r="E789">
        <v>1590</v>
      </c>
      <c r="F789">
        <v>24.42</v>
      </c>
      <c r="G789">
        <v>13729</v>
      </c>
      <c r="H789">
        <v>70766</v>
      </c>
      <c r="I789">
        <v>6.65</v>
      </c>
      <c r="J789" t="s">
        <v>12</v>
      </c>
      <c r="K789" t="s">
        <v>1517</v>
      </c>
      <c r="L789" s="25">
        <v>0.23851851851851852</v>
      </c>
      <c r="M789">
        <v>0.24420000000000003</v>
      </c>
      <c r="N789">
        <v>6.6500000000000004E-2</v>
      </c>
      <c r="O789">
        <v>8562</v>
      </c>
      <c r="P789">
        <v>0.12099030607919058</v>
      </c>
      <c r="Q789" t="s">
        <v>1238</v>
      </c>
      <c r="R789" t="s">
        <v>1239</v>
      </c>
      <c r="S789" t="s">
        <v>1231</v>
      </c>
      <c r="T789">
        <v>3</v>
      </c>
    </row>
    <row r="790" spans="1:20" x14ac:dyDescent="0.3">
      <c r="A790" t="s">
        <v>800</v>
      </c>
      <c r="B790" t="s">
        <v>801</v>
      </c>
      <c r="C790">
        <v>4847</v>
      </c>
      <c r="D790">
        <v>2125</v>
      </c>
      <c r="E790">
        <v>1590</v>
      </c>
      <c r="F790">
        <v>24.42</v>
      </c>
      <c r="G790">
        <v>13729</v>
      </c>
      <c r="H790">
        <v>70766</v>
      </c>
      <c r="I790">
        <v>6.65</v>
      </c>
      <c r="J790" t="s">
        <v>12</v>
      </c>
      <c r="K790" t="s">
        <v>1771</v>
      </c>
      <c r="L790" s="25">
        <v>0.23851851851851852</v>
      </c>
      <c r="M790">
        <v>0.24420000000000003</v>
      </c>
      <c r="N790">
        <v>6.6500000000000004E-2</v>
      </c>
      <c r="O790">
        <v>8562</v>
      </c>
      <c r="P790">
        <v>0.12099030607919058</v>
      </c>
      <c r="Q790" t="s">
        <v>1238</v>
      </c>
      <c r="R790" t="s">
        <v>1239</v>
      </c>
      <c r="S790" t="s">
        <v>1231</v>
      </c>
      <c r="T790">
        <v>3</v>
      </c>
    </row>
    <row r="791" spans="1:20" x14ac:dyDescent="0.3">
      <c r="A791" t="s">
        <v>803</v>
      </c>
      <c r="B791" t="s">
        <v>804</v>
      </c>
      <c r="C791">
        <v>4345</v>
      </c>
      <c r="D791">
        <v>3411</v>
      </c>
      <c r="E791">
        <v>581</v>
      </c>
      <c r="F791">
        <v>88.17</v>
      </c>
      <c r="G791">
        <v>4490</v>
      </c>
      <c r="H791">
        <v>51661</v>
      </c>
      <c r="I791">
        <v>6.18</v>
      </c>
      <c r="J791" t="s">
        <v>12</v>
      </c>
      <c r="K791" t="s">
        <v>1772</v>
      </c>
      <c r="L791" s="25">
        <v>0.38754629629629628</v>
      </c>
      <c r="M791">
        <v>0.88170000000000004</v>
      </c>
      <c r="N791">
        <v>6.1799999999999994E-2</v>
      </c>
      <c r="O791">
        <v>8337</v>
      </c>
      <c r="P791">
        <v>0.16137898995373687</v>
      </c>
      <c r="Q791" t="s">
        <v>1238</v>
      </c>
      <c r="R791" t="s">
        <v>1239</v>
      </c>
      <c r="S791" t="s">
        <v>1231</v>
      </c>
      <c r="T791">
        <v>3</v>
      </c>
    </row>
    <row r="792" spans="1:20" x14ac:dyDescent="0.3">
      <c r="A792" t="s">
        <v>803</v>
      </c>
      <c r="B792" t="s">
        <v>804</v>
      </c>
      <c r="C792">
        <v>4345</v>
      </c>
      <c r="D792">
        <v>3411</v>
      </c>
      <c r="E792">
        <v>581</v>
      </c>
      <c r="F792">
        <v>88.17</v>
      </c>
      <c r="G792">
        <v>4490</v>
      </c>
      <c r="H792">
        <v>51661</v>
      </c>
      <c r="I792">
        <v>6.18</v>
      </c>
      <c r="J792" t="s">
        <v>12</v>
      </c>
      <c r="K792" t="s">
        <v>1536</v>
      </c>
      <c r="L792" s="25">
        <v>0.38754629629629628</v>
      </c>
      <c r="M792">
        <v>0.88170000000000004</v>
      </c>
      <c r="N792">
        <v>6.1799999999999994E-2</v>
      </c>
      <c r="O792">
        <v>8337</v>
      </c>
      <c r="P792">
        <v>0.16137898995373687</v>
      </c>
      <c r="Q792" t="s">
        <v>1238</v>
      </c>
      <c r="R792" t="s">
        <v>1239</v>
      </c>
      <c r="S792" t="s">
        <v>1231</v>
      </c>
      <c r="T792">
        <v>3</v>
      </c>
    </row>
    <row r="793" spans="1:20" x14ac:dyDescent="0.3">
      <c r="A793" t="s">
        <v>803</v>
      </c>
      <c r="B793" t="s">
        <v>804</v>
      </c>
      <c r="C793">
        <v>4345</v>
      </c>
      <c r="D793">
        <v>3411</v>
      </c>
      <c r="E793">
        <v>581</v>
      </c>
      <c r="F793">
        <v>88.17</v>
      </c>
      <c r="G793">
        <v>4490</v>
      </c>
      <c r="H793">
        <v>51661</v>
      </c>
      <c r="I793">
        <v>6.18</v>
      </c>
      <c r="J793" t="s">
        <v>12</v>
      </c>
      <c r="K793" t="s">
        <v>1773</v>
      </c>
      <c r="L793" s="25">
        <v>0.38754629629629628</v>
      </c>
      <c r="M793">
        <v>0.88170000000000004</v>
      </c>
      <c r="N793">
        <v>6.1799999999999994E-2</v>
      </c>
      <c r="O793">
        <v>8337</v>
      </c>
      <c r="P793">
        <v>0.16137898995373687</v>
      </c>
      <c r="Q793" t="s">
        <v>1238</v>
      </c>
      <c r="R793" t="s">
        <v>1239</v>
      </c>
      <c r="S793" t="s">
        <v>1231</v>
      </c>
      <c r="T793">
        <v>3</v>
      </c>
    </row>
    <row r="794" spans="1:20" x14ac:dyDescent="0.3">
      <c r="A794" t="s">
        <v>806</v>
      </c>
      <c r="B794" t="s">
        <v>807</v>
      </c>
      <c r="C794">
        <v>289</v>
      </c>
      <c r="D794">
        <v>4590</v>
      </c>
      <c r="E794">
        <v>1393</v>
      </c>
      <c r="F794">
        <v>94.71</v>
      </c>
      <c r="G794">
        <v>22679</v>
      </c>
      <c r="H794">
        <v>79543</v>
      </c>
      <c r="I794">
        <v>7.16</v>
      </c>
      <c r="J794" t="s">
        <v>42</v>
      </c>
      <c r="K794" t="s">
        <v>1774</v>
      </c>
      <c r="L794" s="25">
        <v>0.23039351851851853</v>
      </c>
      <c r="M794">
        <v>0.94709999999999994</v>
      </c>
      <c r="N794">
        <v>7.1599999999999997E-2</v>
      </c>
      <c r="O794">
        <v>6272</v>
      </c>
      <c r="P794">
        <v>7.8850433099078479E-2</v>
      </c>
      <c r="Q794" t="s">
        <v>1238</v>
      </c>
      <c r="R794" t="s">
        <v>1239</v>
      </c>
      <c r="S794" t="s">
        <v>1231</v>
      </c>
      <c r="T794">
        <v>3</v>
      </c>
    </row>
    <row r="795" spans="1:20" x14ac:dyDescent="0.3">
      <c r="A795" t="s">
        <v>806</v>
      </c>
      <c r="B795" t="s">
        <v>807</v>
      </c>
      <c r="C795">
        <v>289</v>
      </c>
      <c r="D795">
        <v>4590</v>
      </c>
      <c r="E795">
        <v>1393</v>
      </c>
      <c r="F795">
        <v>94.71</v>
      </c>
      <c r="G795">
        <v>22679</v>
      </c>
      <c r="H795">
        <v>79543</v>
      </c>
      <c r="I795">
        <v>7.16</v>
      </c>
      <c r="J795" t="s">
        <v>42</v>
      </c>
      <c r="K795" t="s">
        <v>1775</v>
      </c>
      <c r="L795" s="25">
        <v>0.23039351851851853</v>
      </c>
      <c r="M795">
        <v>0.94709999999999994</v>
      </c>
      <c r="N795">
        <v>7.1599999999999997E-2</v>
      </c>
      <c r="O795">
        <v>6272</v>
      </c>
      <c r="P795">
        <v>7.8850433099078479E-2</v>
      </c>
      <c r="Q795" t="s">
        <v>1238</v>
      </c>
      <c r="R795" t="s">
        <v>1239</v>
      </c>
      <c r="S795" t="s">
        <v>1231</v>
      </c>
      <c r="T795">
        <v>3</v>
      </c>
    </row>
    <row r="796" spans="1:20" x14ac:dyDescent="0.3">
      <c r="A796" t="s">
        <v>806</v>
      </c>
      <c r="B796" t="s">
        <v>807</v>
      </c>
      <c r="C796">
        <v>289</v>
      </c>
      <c r="D796">
        <v>4590</v>
      </c>
      <c r="E796">
        <v>1393</v>
      </c>
      <c r="F796">
        <v>94.71</v>
      </c>
      <c r="G796">
        <v>22679</v>
      </c>
      <c r="H796">
        <v>79543</v>
      </c>
      <c r="I796">
        <v>7.16</v>
      </c>
      <c r="J796" t="s">
        <v>42</v>
      </c>
      <c r="K796" t="s">
        <v>1517</v>
      </c>
      <c r="L796" s="25">
        <v>0.23039351851851853</v>
      </c>
      <c r="M796">
        <v>0.94709999999999994</v>
      </c>
      <c r="N796">
        <v>7.1599999999999997E-2</v>
      </c>
      <c r="O796">
        <v>6272</v>
      </c>
      <c r="P796">
        <v>7.8850433099078479E-2</v>
      </c>
      <c r="Q796" t="s">
        <v>1238</v>
      </c>
      <c r="R796" t="s">
        <v>1239</v>
      </c>
      <c r="S796" t="s">
        <v>1231</v>
      </c>
      <c r="T796">
        <v>3</v>
      </c>
    </row>
    <row r="797" spans="1:20" x14ac:dyDescent="0.3">
      <c r="A797" t="s">
        <v>809</v>
      </c>
      <c r="B797" t="s">
        <v>810</v>
      </c>
      <c r="C797">
        <v>3083</v>
      </c>
      <c r="D797">
        <v>4807</v>
      </c>
      <c r="E797">
        <v>0</v>
      </c>
      <c r="F797">
        <v>95.49</v>
      </c>
      <c r="G797">
        <v>92451</v>
      </c>
      <c r="H797">
        <v>70826</v>
      </c>
      <c r="I797">
        <v>4.92</v>
      </c>
      <c r="J797" t="s">
        <v>20</v>
      </c>
      <c r="K797" t="s">
        <v>1471</v>
      </c>
      <c r="L797" s="25">
        <v>0.45075231481481481</v>
      </c>
      <c r="M797">
        <v>0.95489999999999997</v>
      </c>
      <c r="N797">
        <v>4.9200000000000001E-2</v>
      </c>
      <c r="O797">
        <v>7890</v>
      </c>
      <c r="P797">
        <v>0.11139976844661564</v>
      </c>
      <c r="Q797" t="s">
        <v>1238</v>
      </c>
      <c r="R797" t="s">
        <v>1239</v>
      </c>
      <c r="S797" t="s">
        <v>1231</v>
      </c>
      <c r="T797">
        <v>3</v>
      </c>
    </row>
    <row r="798" spans="1:20" x14ac:dyDescent="0.3">
      <c r="A798" t="s">
        <v>809</v>
      </c>
      <c r="B798" t="s">
        <v>810</v>
      </c>
      <c r="C798">
        <v>3083</v>
      </c>
      <c r="D798">
        <v>4807</v>
      </c>
      <c r="E798">
        <v>0</v>
      </c>
      <c r="F798">
        <v>95.49</v>
      </c>
      <c r="G798">
        <v>92451</v>
      </c>
      <c r="H798">
        <v>70826</v>
      </c>
      <c r="I798">
        <v>4.92</v>
      </c>
      <c r="J798" t="s">
        <v>20</v>
      </c>
      <c r="K798" t="s">
        <v>1776</v>
      </c>
      <c r="L798" s="25">
        <v>0.45075231481481481</v>
      </c>
      <c r="M798">
        <v>0.95489999999999997</v>
      </c>
      <c r="N798">
        <v>4.9200000000000001E-2</v>
      </c>
      <c r="O798">
        <v>7890</v>
      </c>
      <c r="P798">
        <v>0.11139976844661564</v>
      </c>
      <c r="Q798" t="s">
        <v>1238</v>
      </c>
      <c r="R798" t="s">
        <v>1239</v>
      </c>
      <c r="S798" t="s">
        <v>1231</v>
      </c>
      <c r="T798">
        <v>3</v>
      </c>
    </row>
    <row r="799" spans="1:20" x14ac:dyDescent="0.3">
      <c r="A799" t="s">
        <v>809</v>
      </c>
      <c r="B799" t="s">
        <v>810</v>
      </c>
      <c r="C799">
        <v>3083</v>
      </c>
      <c r="D799">
        <v>4807</v>
      </c>
      <c r="E799">
        <v>0</v>
      </c>
      <c r="F799">
        <v>95.49</v>
      </c>
      <c r="G799">
        <v>92451</v>
      </c>
      <c r="H799">
        <v>70826</v>
      </c>
      <c r="I799">
        <v>4.92</v>
      </c>
      <c r="J799" t="s">
        <v>20</v>
      </c>
      <c r="K799" t="s">
        <v>1777</v>
      </c>
      <c r="L799" s="25">
        <v>0.45075231481481481</v>
      </c>
      <c r="M799">
        <v>0.95489999999999997</v>
      </c>
      <c r="N799">
        <v>4.9200000000000001E-2</v>
      </c>
      <c r="O799">
        <v>7890</v>
      </c>
      <c r="P799">
        <v>0.11139976844661564</v>
      </c>
      <c r="Q799" t="s">
        <v>1238</v>
      </c>
      <c r="R799" t="s">
        <v>1239</v>
      </c>
      <c r="S799" t="s">
        <v>1231</v>
      </c>
      <c r="T799">
        <v>3</v>
      </c>
    </row>
    <row r="800" spans="1:20" x14ac:dyDescent="0.3">
      <c r="A800" t="s">
        <v>812</v>
      </c>
      <c r="B800" t="s">
        <v>813</v>
      </c>
      <c r="C800">
        <v>9675</v>
      </c>
      <c r="D800">
        <v>3091</v>
      </c>
      <c r="E800">
        <v>1702</v>
      </c>
      <c r="F800">
        <v>0.41</v>
      </c>
      <c r="G800">
        <v>78742</v>
      </c>
      <c r="H800">
        <v>82136</v>
      </c>
      <c r="I800">
        <v>8.5299999999999994</v>
      </c>
      <c r="J800" t="s">
        <v>42</v>
      </c>
      <c r="K800" t="s">
        <v>1778</v>
      </c>
      <c r="L800" s="25">
        <v>0.23787037037037037</v>
      </c>
      <c r="M800">
        <v>4.0999999999999995E-3</v>
      </c>
      <c r="N800">
        <v>8.5299999999999987E-2</v>
      </c>
      <c r="O800">
        <v>14468</v>
      </c>
      <c r="P800">
        <v>0.17614687834810558</v>
      </c>
      <c r="Q800" t="s">
        <v>1238</v>
      </c>
      <c r="R800" t="s">
        <v>1239</v>
      </c>
      <c r="S800" t="s">
        <v>1231</v>
      </c>
      <c r="T800">
        <v>3</v>
      </c>
    </row>
    <row r="801" spans="1:20" x14ac:dyDescent="0.3">
      <c r="A801" t="s">
        <v>812</v>
      </c>
      <c r="B801" t="s">
        <v>813</v>
      </c>
      <c r="C801">
        <v>9675</v>
      </c>
      <c r="D801">
        <v>3091</v>
      </c>
      <c r="E801">
        <v>1702</v>
      </c>
      <c r="F801">
        <v>0.41</v>
      </c>
      <c r="G801">
        <v>78742</v>
      </c>
      <c r="H801">
        <v>82136</v>
      </c>
      <c r="I801">
        <v>8.5299999999999994</v>
      </c>
      <c r="J801" t="s">
        <v>42</v>
      </c>
      <c r="K801" t="s">
        <v>1680</v>
      </c>
      <c r="L801" s="25">
        <v>0.23787037037037037</v>
      </c>
      <c r="M801">
        <v>4.0999999999999995E-3</v>
      </c>
      <c r="N801">
        <v>8.5299999999999987E-2</v>
      </c>
      <c r="O801">
        <v>14468</v>
      </c>
      <c r="P801">
        <v>0.17614687834810558</v>
      </c>
      <c r="Q801" t="s">
        <v>1238</v>
      </c>
      <c r="R801" t="s">
        <v>1239</v>
      </c>
      <c r="S801" t="s">
        <v>1231</v>
      </c>
      <c r="T801">
        <v>3</v>
      </c>
    </row>
    <row r="802" spans="1:20" x14ac:dyDescent="0.3">
      <c r="A802" t="s">
        <v>812</v>
      </c>
      <c r="B802" t="s">
        <v>813</v>
      </c>
      <c r="C802">
        <v>9675</v>
      </c>
      <c r="D802">
        <v>3091</v>
      </c>
      <c r="E802">
        <v>1702</v>
      </c>
      <c r="F802">
        <v>0.41</v>
      </c>
      <c r="G802">
        <v>78742</v>
      </c>
      <c r="H802">
        <v>82136</v>
      </c>
      <c r="I802">
        <v>8.5299999999999994</v>
      </c>
      <c r="J802" t="s">
        <v>42</v>
      </c>
      <c r="K802" t="s">
        <v>1779</v>
      </c>
      <c r="L802" s="25">
        <v>0.23787037037037037</v>
      </c>
      <c r="M802">
        <v>4.0999999999999995E-3</v>
      </c>
      <c r="N802">
        <v>8.5299999999999987E-2</v>
      </c>
      <c r="O802">
        <v>14468</v>
      </c>
      <c r="P802">
        <v>0.17614687834810558</v>
      </c>
      <c r="Q802" t="s">
        <v>1238</v>
      </c>
      <c r="R802" t="s">
        <v>1239</v>
      </c>
      <c r="S802" t="s">
        <v>1231</v>
      </c>
      <c r="T802">
        <v>3</v>
      </c>
    </row>
    <row r="803" spans="1:20" x14ac:dyDescent="0.3">
      <c r="A803" t="s">
        <v>815</v>
      </c>
      <c r="B803" t="s">
        <v>816</v>
      </c>
      <c r="C803">
        <v>2626</v>
      </c>
      <c r="D803">
        <v>1488</v>
      </c>
      <c r="E803">
        <v>1704</v>
      </c>
      <c r="F803">
        <v>96.18</v>
      </c>
      <c r="G803">
        <v>76492</v>
      </c>
      <c r="H803">
        <v>49679</v>
      </c>
      <c r="I803">
        <v>5.0199999999999996</v>
      </c>
      <c r="J803" t="s">
        <v>16</v>
      </c>
      <c r="K803" t="s">
        <v>1780</v>
      </c>
      <c r="L803" s="25">
        <v>0.39002314814814815</v>
      </c>
      <c r="M803">
        <v>0.9618000000000001</v>
      </c>
      <c r="N803">
        <v>5.0199999999999995E-2</v>
      </c>
      <c r="O803">
        <v>5818</v>
      </c>
      <c r="P803">
        <v>0.11711185812918939</v>
      </c>
      <c r="Q803" t="s">
        <v>1238</v>
      </c>
      <c r="R803" t="s">
        <v>1239</v>
      </c>
      <c r="S803" t="s">
        <v>1231</v>
      </c>
      <c r="T803">
        <v>3</v>
      </c>
    </row>
    <row r="804" spans="1:20" x14ac:dyDescent="0.3">
      <c r="A804" t="s">
        <v>815</v>
      </c>
      <c r="B804" t="s">
        <v>816</v>
      </c>
      <c r="C804">
        <v>2626</v>
      </c>
      <c r="D804">
        <v>1488</v>
      </c>
      <c r="E804">
        <v>1704</v>
      </c>
      <c r="F804">
        <v>96.18</v>
      </c>
      <c r="G804">
        <v>76492</v>
      </c>
      <c r="H804">
        <v>49679</v>
      </c>
      <c r="I804">
        <v>5.0199999999999996</v>
      </c>
      <c r="J804" t="s">
        <v>16</v>
      </c>
      <c r="K804" t="s">
        <v>1781</v>
      </c>
      <c r="L804" s="25">
        <v>0.39002314814814815</v>
      </c>
      <c r="M804">
        <v>0.9618000000000001</v>
      </c>
      <c r="N804">
        <v>5.0199999999999995E-2</v>
      </c>
      <c r="O804">
        <v>5818</v>
      </c>
      <c r="P804">
        <v>0.11711185812918939</v>
      </c>
      <c r="Q804" t="s">
        <v>1238</v>
      </c>
      <c r="R804" t="s">
        <v>1239</v>
      </c>
      <c r="S804" t="s">
        <v>1231</v>
      </c>
      <c r="T804">
        <v>3</v>
      </c>
    </row>
    <row r="805" spans="1:20" x14ac:dyDescent="0.3">
      <c r="A805" t="s">
        <v>815</v>
      </c>
      <c r="B805" t="s">
        <v>816</v>
      </c>
      <c r="C805">
        <v>2626</v>
      </c>
      <c r="D805">
        <v>1488</v>
      </c>
      <c r="E805">
        <v>1704</v>
      </c>
      <c r="F805">
        <v>96.18</v>
      </c>
      <c r="G805">
        <v>76492</v>
      </c>
      <c r="H805">
        <v>49679</v>
      </c>
      <c r="I805">
        <v>5.0199999999999996</v>
      </c>
      <c r="J805" t="s">
        <v>16</v>
      </c>
      <c r="K805" t="s">
        <v>1245</v>
      </c>
      <c r="L805" s="25">
        <v>0.39002314814814815</v>
      </c>
      <c r="M805">
        <v>0.9618000000000001</v>
      </c>
      <c r="N805">
        <v>5.0199999999999995E-2</v>
      </c>
      <c r="O805">
        <v>5818</v>
      </c>
      <c r="P805">
        <v>0.11711185812918939</v>
      </c>
      <c r="Q805" t="s">
        <v>1238</v>
      </c>
      <c r="R805" t="s">
        <v>1239</v>
      </c>
      <c r="S805" t="s">
        <v>1231</v>
      </c>
      <c r="T805">
        <v>3</v>
      </c>
    </row>
    <row r="806" spans="1:20" x14ac:dyDescent="0.3">
      <c r="A806" t="s">
        <v>818</v>
      </c>
      <c r="B806" t="s">
        <v>819</v>
      </c>
      <c r="C806">
        <v>6361</v>
      </c>
      <c r="D806">
        <v>215</v>
      </c>
      <c r="E806">
        <v>1877</v>
      </c>
      <c r="F806">
        <v>77.19</v>
      </c>
      <c r="G806">
        <v>59109</v>
      </c>
      <c r="H806">
        <v>73652</v>
      </c>
      <c r="I806">
        <v>8.69</v>
      </c>
      <c r="J806" t="s">
        <v>20</v>
      </c>
      <c r="K806" t="s">
        <v>1465</v>
      </c>
      <c r="L806" s="25">
        <v>0.33151620370370372</v>
      </c>
      <c r="M806">
        <v>0.77190000000000003</v>
      </c>
      <c r="N806">
        <v>8.6899999999999991E-2</v>
      </c>
      <c r="O806">
        <v>8453</v>
      </c>
      <c r="P806">
        <v>0.11476945636235268</v>
      </c>
      <c r="Q806" t="s">
        <v>1238</v>
      </c>
      <c r="R806" t="s">
        <v>1239</v>
      </c>
      <c r="S806" t="s">
        <v>1231</v>
      </c>
      <c r="T806">
        <v>3</v>
      </c>
    </row>
    <row r="807" spans="1:20" x14ac:dyDescent="0.3">
      <c r="A807" t="s">
        <v>818</v>
      </c>
      <c r="B807" t="s">
        <v>819</v>
      </c>
      <c r="C807">
        <v>6361</v>
      </c>
      <c r="D807">
        <v>215</v>
      </c>
      <c r="E807">
        <v>1877</v>
      </c>
      <c r="F807">
        <v>77.19</v>
      </c>
      <c r="G807">
        <v>59109</v>
      </c>
      <c r="H807">
        <v>73652</v>
      </c>
      <c r="I807">
        <v>8.69</v>
      </c>
      <c r="J807" t="s">
        <v>20</v>
      </c>
      <c r="K807" t="s">
        <v>1780</v>
      </c>
      <c r="L807" s="25">
        <v>0.33151620370370372</v>
      </c>
      <c r="M807">
        <v>0.77190000000000003</v>
      </c>
      <c r="N807">
        <v>8.6899999999999991E-2</v>
      </c>
      <c r="O807">
        <v>8453</v>
      </c>
      <c r="P807">
        <v>0.11476945636235268</v>
      </c>
      <c r="Q807" t="s">
        <v>1238</v>
      </c>
      <c r="R807" t="s">
        <v>1239</v>
      </c>
      <c r="S807" t="s">
        <v>1231</v>
      </c>
      <c r="T807">
        <v>3</v>
      </c>
    </row>
    <row r="808" spans="1:20" x14ac:dyDescent="0.3">
      <c r="A808" t="s">
        <v>818</v>
      </c>
      <c r="B808" t="s">
        <v>819</v>
      </c>
      <c r="C808">
        <v>6361</v>
      </c>
      <c r="D808">
        <v>215</v>
      </c>
      <c r="E808">
        <v>1877</v>
      </c>
      <c r="F808">
        <v>77.19</v>
      </c>
      <c r="G808">
        <v>59109</v>
      </c>
      <c r="H808">
        <v>73652</v>
      </c>
      <c r="I808">
        <v>8.69</v>
      </c>
      <c r="J808" t="s">
        <v>20</v>
      </c>
      <c r="K808" t="s">
        <v>1782</v>
      </c>
      <c r="L808" s="25">
        <v>0.33151620370370372</v>
      </c>
      <c r="M808">
        <v>0.77190000000000003</v>
      </c>
      <c r="N808">
        <v>8.6899999999999991E-2</v>
      </c>
      <c r="O808">
        <v>8453</v>
      </c>
      <c r="P808">
        <v>0.11476945636235268</v>
      </c>
      <c r="Q808" t="s">
        <v>1238</v>
      </c>
      <c r="R808" t="s">
        <v>1239</v>
      </c>
      <c r="S808" t="s">
        <v>1231</v>
      </c>
      <c r="T808">
        <v>3</v>
      </c>
    </row>
    <row r="809" spans="1:20" x14ac:dyDescent="0.3">
      <c r="A809" t="s">
        <v>821</v>
      </c>
      <c r="B809" t="s">
        <v>822</v>
      </c>
      <c r="C809">
        <v>2650</v>
      </c>
      <c r="D809">
        <v>2266</v>
      </c>
      <c r="E809">
        <v>1053</v>
      </c>
      <c r="F809">
        <v>93.68</v>
      </c>
      <c r="G809">
        <v>88117</v>
      </c>
      <c r="H809">
        <v>82098</v>
      </c>
      <c r="I809">
        <v>4.16</v>
      </c>
      <c r="J809" t="s">
        <v>20</v>
      </c>
      <c r="K809" t="s">
        <v>1783</v>
      </c>
      <c r="L809" s="25">
        <v>0.34950231481481481</v>
      </c>
      <c r="M809">
        <v>0.93680000000000008</v>
      </c>
      <c r="N809">
        <v>4.1599999999999998E-2</v>
      </c>
      <c r="O809">
        <v>5969</v>
      </c>
      <c r="P809">
        <v>7.2705790640454085E-2</v>
      </c>
      <c r="Q809" t="s">
        <v>1238</v>
      </c>
      <c r="R809" t="s">
        <v>1239</v>
      </c>
      <c r="S809" t="s">
        <v>1231</v>
      </c>
      <c r="T809">
        <v>3</v>
      </c>
    </row>
    <row r="810" spans="1:20" x14ac:dyDescent="0.3">
      <c r="A810" t="s">
        <v>821</v>
      </c>
      <c r="B810" t="s">
        <v>822</v>
      </c>
      <c r="C810">
        <v>2650</v>
      </c>
      <c r="D810">
        <v>2266</v>
      </c>
      <c r="E810">
        <v>1053</v>
      </c>
      <c r="F810">
        <v>93.68</v>
      </c>
      <c r="G810">
        <v>88117</v>
      </c>
      <c r="H810">
        <v>82098</v>
      </c>
      <c r="I810">
        <v>4.16</v>
      </c>
      <c r="J810" t="s">
        <v>20</v>
      </c>
      <c r="K810" t="s">
        <v>1346</v>
      </c>
      <c r="L810" s="25">
        <v>0.34950231481481481</v>
      </c>
      <c r="M810">
        <v>0.93680000000000008</v>
      </c>
      <c r="N810">
        <v>4.1599999999999998E-2</v>
      </c>
      <c r="O810">
        <v>5969</v>
      </c>
      <c r="P810">
        <v>7.2705790640454085E-2</v>
      </c>
      <c r="Q810" t="s">
        <v>1238</v>
      </c>
      <c r="R810" t="s">
        <v>1239</v>
      </c>
      <c r="S810" t="s">
        <v>1231</v>
      </c>
      <c r="T810">
        <v>3</v>
      </c>
    </row>
    <row r="811" spans="1:20" x14ac:dyDescent="0.3">
      <c r="A811" t="s">
        <v>821</v>
      </c>
      <c r="B811" t="s">
        <v>822</v>
      </c>
      <c r="C811">
        <v>2650</v>
      </c>
      <c r="D811">
        <v>2266</v>
      </c>
      <c r="E811">
        <v>1053</v>
      </c>
      <c r="F811">
        <v>93.68</v>
      </c>
      <c r="G811">
        <v>88117</v>
      </c>
      <c r="H811">
        <v>82098</v>
      </c>
      <c r="I811">
        <v>4.16</v>
      </c>
      <c r="J811" t="s">
        <v>20</v>
      </c>
      <c r="K811" t="s">
        <v>1784</v>
      </c>
      <c r="L811" s="25">
        <v>0.34950231481481481</v>
      </c>
      <c r="M811">
        <v>0.93680000000000008</v>
      </c>
      <c r="N811">
        <v>4.1599999999999998E-2</v>
      </c>
      <c r="O811">
        <v>5969</v>
      </c>
      <c r="P811">
        <v>7.2705790640454085E-2</v>
      </c>
      <c r="Q811" t="s">
        <v>1238</v>
      </c>
      <c r="R811" t="s">
        <v>1239</v>
      </c>
      <c r="S811" t="s">
        <v>1231</v>
      </c>
      <c r="T811">
        <v>3</v>
      </c>
    </row>
    <row r="812" spans="1:20" x14ac:dyDescent="0.3">
      <c r="A812" t="s">
        <v>824</v>
      </c>
      <c r="B812" t="s">
        <v>825</v>
      </c>
      <c r="C812">
        <v>9585</v>
      </c>
      <c r="D812">
        <v>3060</v>
      </c>
      <c r="E812">
        <v>1654</v>
      </c>
      <c r="F812">
        <v>0.38</v>
      </c>
      <c r="G812">
        <v>98870</v>
      </c>
      <c r="H812">
        <v>81703</v>
      </c>
      <c r="I812">
        <v>0.76</v>
      </c>
      <c r="J812" t="s">
        <v>20</v>
      </c>
      <c r="K812" t="s">
        <v>1687</v>
      </c>
      <c r="L812" s="25">
        <v>0.88003472222222223</v>
      </c>
      <c r="M812">
        <v>3.8E-3</v>
      </c>
      <c r="N812">
        <v>7.6E-3</v>
      </c>
      <c r="O812">
        <v>14299</v>
      </c>
      <c r="P812">
        <v>0.1750119334663354</v>
      </c>
      <c r="Q812" t="s">
        <v>1238</v>
      </c>
      <c r="R812" t="s">
        <v>1239</v>
      </c>
      <c r="S812" t="s">
        <v>1233</v>
      </c>
      <c r="T812">
        <v>3</v>
      </c>
    </row>
    <row r="813" spans="1:20" x14ac:dyDescent="0.3">
      <c r="A813" t="s">
        <v>824</v>
      </c>
      <c r="B813" t="s">
        <v>825</v>
      </c>
      <c r="C813">
        <v>9585</v>
      </c>
      <c r="D813">
        <v>3060</v>
      </c>
      <c r="E813">
        <v>1654</v>
      </c>
      <c r="F813">
        <v>0.38</v>
      </c>
      <c r="G813">
        <v>98870</v>
      </c>
      <c r="H813">
        <v>81703</v>
      </c>
      <c r="I813">
        <v>0.76</v>
      </c>
      <c r="J813" t="s">
        <v>20</v>
      </c>
      <c r="K813" t="s">
        <v>1357</v>
      </c>
      <c r="L813" s="25">
        <v>0.88003472222222223</v>
      </c>
      <c r="M813">
        <v>3.8E-3</v>
      </c>
      <c r="N813">
        <v>7.6E-3</v>
      </c>
      <c r="O813">
        <v>14299</v>
      </c>
      <c r="P813">
        <v>0.1750119334663354</v>
      </c>
      <c r="Q813" t="s">
        <v>1238</v>
      </c>
      <c r="R813" t="s">
        <v>1239</v>
      </c>
      <c r="S813" t="s">
        <v>1233</v>
      </c>
      <c r="T813">
        <v>3</v>
      </c>
    </row>
    <row r="814" spans="1:20" x14ac:dyDescent="0.3">
      <c r="A814" t="s">
        <v>824</v>
      </c>
      <c r="B814" t="s">
        <v>825</v>
      </c>
      <c r="C814">
        <v>9585</v>
      </c>
      <c r="D814">
        <v>3060</v>
      </c>
      <c r="E814">
        <v>1654</v>
      </c>
      <c r="F814">
        <v>0.38</v>
      </c>
      <c r="G814">
        <v>98870</v>
      </c>
      <c r="H814">
        <v>81703</v>
      </c>
      <c r="I814">
        <v>0.76</v>
      </c>
      <c r="J814" t="s">
        <v>20</v>
      </c>
      <c r="K814" t="s">
        <v>1785</v>
      </c>
      <c r="L814" s="25">
        <v>0.88003472222222223</v>
      </c>
      <c r="M814">
        <v>3.8E-3</v>
      </c>
      <c r="N814">
        <v>7.6E-3</v>
      </c>
      <c r="O814">
        <v>14299</v>
      </c>
      <c r="P814">
        <v>0.1750119334663354</v>
      </c>
      <c r="Q814" t="s">
        <v>1238</v>
      </c>
      <c r="R814" t="s">
        <v>1239</v>
      </c>
      <c r="S814" t="s">
        <v>1233</v>
      </c>
      <c r="T814">
        <v>3</v>
      </c>
    </row>
    <row r="815" spans="1:20" x14ac:dyDescent="0.3">
      <c r="A815" t="s">
        <v>827</v>
      </c>
      <c r="B815" t="s">
        <v>828</v>
      </c>
      <c r="C815">
        <v>188</v>
      </c>
      <c r="D815">
        <v>4868</v>
      </c>
      <c r="E815">
        <v>965</v>
      </c>
      <c r="F815">
        <v>67.78</v>
      </c>
      <c r="G815">
        <v>55405</v>
      </c>
      <c r="H815">
        <v>21310</v>
      </c>
      <c r="I815">
        <v>3.93</v>
      </c>
      <c r="J815" t="s">
        <v>16</v>
      </c>
      <c r="K815" t="s">
        <v>1430</v>
      </c>
      <c r="L815" s="25">
        <v>0.50687499999999996</v>
      </c>
      <c r="M815">
        <v>0.67779999999999996</v>
      </c>
      <c r="N815">
        <v>3.9300000000000002E-2</v>
      </c>
      <c r="O815">
        <v>6021</v>
      </c>
      <c r="P815">
        <v>0.28254340685124357</v>
      </c>
      <c r="Q815" t="s">
        <v>1238</v>
      </c>
      <c r="R815" t="s">
        <v>1239</v>
      </c>
      <c r="S815" t="s">
        <v>1230</v>
      </c>
      <c r="T815">
        <v>3</v>
      </c>
    </row>
    <row r="816" spans="1:20" x14ac:dyDescent="0.3">
      <c r="A816" t="s">
        <v>827</v>
      </c>
      <c r="B816" t="s">
        <v>828</v>
      </c>
      <c r="C816">
        <v>188</v>
      </c>
      <c r="D816">
        <v>4868</v>
      </c>
      <c r="E816">
        <v>965</v>
      </c>
      <c r="F816">
        <v>67.78</v>
      </c>
      <c r="G816">
        <v>55405</v>
      </c>
      <c r="H816">
        <v>21310</v>
      </c>
      <c r="I816">
        <v>3.93</v>
      </c>
      <c r="J816" t="s">
        <v>16</v>
      </c>
      <c r="K816" t="s">
        <v>1564</v>
      </c>
      <c r="L816" s="25">
        <v>0.50687499999999996</v>
      </c>
      <c r="M816">
        <v>0.67779999999999996</v>
      </c>
      <c r="N816">
        <v>3.9300000000000002E-2</v>
      </c>
      <c r="O816">
        <v>6021</v>
      </c>
      <c r="P816">
        <v>0.28254340685124357</v>
      </c>
      <c r="Q816" t="s">
        <v>1238</v>
      </c>
      <c r="R816" t="s">
        <v>1239</v>
      </c>
      <c r="S816" t="s">
        <v>1230</v>
      </c>
      <c r="T816">
        <v>3</v>
      </c>
    </row>
    <row r="817" spans="1:20" x14ac:dyDescent="0.3">
      <c r="A817" t="s">
        <v>827</v>
      </c>
      <c r="B817" t="s">
        <v>828</v>
      </c>
      <c r="C817">
        <v>188</v>
      </c>
      <c r="D817">
        <v>4868</v>
      </c>
      <c r="E817">
        <v>965</v>
      </c>
      <c r="F817">
        <v>67.78</v>
      </c>
      <c r="G817">
        <v>55405</v>
      </c>
      <c r="H817">
        <v>21310</v>
      </c>
      <c r="I817">
        <v>3.93</v>
      </c>
      <c r="J817" t="s">
        <v>16</v>
      </c>
      <c r="K817" t="s">
        <v>1583</v>
      </c>
      <c r="L817" s="25">
        <v>0.50687499999999996</v>
      </c>
      <c r="M817">
        <v>0.67779999999999996</v>
      </c>
      <c r="N817">
        <v>3.9300000000000002E-2</v>
      </c>
      <c r="O817">
        <v>6021</v>
      </c>
      <c r="P817">
        <v>0.28254340685124357</v>
      </c>
      <c r="Q817" t="s">
        <v>1238</v>
      </c>
      <c r="R817" t="s">
        <v>1239</v>
      </c>
      <c r="S817" t="s">
        <v>1230</v>
      </c>
      <c r="T817">
        <v>3</v>
      </c>
    </row>
    <row r="818" spans="1:20" x14ac:dyDescent="0.3">
      <c r="A818" t="s">
        <v>830</v>
      </c>
      <c r="B818" t="s">
        <v>831</v>
      </c>
      <c r="C818">
        <v>5238</v>
      </c>
      <c r="D818">
        <v>865</v>
      </c>
      <c r="E818">
        <v>598</v>
      </c>
      <c r="F818">
        <v>27.46</v>
      </c>
      <c r="G818">
        <v>34596</v>
      </c>
      <c r="H818">
        <v>85357</v>
      </c>
      <c r="I818">
        <v>2.37</v>
      </c>
      <c r="J818" t="s">
        <v>42</v>
      </c>
      <c r="K818" t="s">
        <v>1786</v>
      </c>
      <c r="L818" s="25">
        <v>0.34778935185185184</v>
      </c>
      <c r="M818">
        <v>0.27460000000000001</v>
      </c>
      <c r="N818">
        <v>2.3700000000000002E-2</v>
      </c>
      <c r="O818">
        <v>6701</v>
      </c>
      <c r="P818">
        <v>7.8505570720620449E-2</v>
      </c>
      <c r="Q818" t="s">
        <v>1238</v>
      </c>
      <c r="R818" t="s">
        <v>1239</v>
      </c>
      <c r="S818" t="s">
        <v>1231</v>
      </c>
      <c r="T818">
        <v>3</v>
      </c>
    </row>
    <row r="819" spans="1:20" x14ac:dyDescent="0.3">
      <c r="A819" t="s">
        <v>830</v>
      </c>
      <c r="B819" t="s">
        <v>831</v>
      </c>
      <c r="C819">
        <v>5238</v>
      </c>
      <c r="D819">
        <v>865</v>
      </c>
      <c r="E819">
        <v>598</v>
      </c>
      <c r="F819">
        <v>27.46</v>
      </c>
      <c r="G819">
        <v>34596</v>
      </c>
      <c r="H819">
        <v>85357</v>
      </c>
      <c r="I819">
        <v>2.37</v>
      </c>
      <c r="J819" t="s">
        <v>42</v>
      </c>
      <c r="K819" t="s">
        <v>1787</v>
      </c>
      <c r="L819" s="25">
        <v>0.34778935185185184</v>
      </c>
      <c r="M819">
        <v>0.27460000000000001</v>
      </c>
      <c r="N819">
        <v>2.3700000000000002E-2</v>
      </c>
      <c r="O819">
        <v>6701</v>
      </c>
      <c r="P819">
        <v>7.8505570720620449E-2</v>
      </c>
      <c r="Q819" t="s">
        <v>1238</v>
      </c>
      <c r="R819" t="s">
        <v>1239</v>
      </c>
      <c r="S819" t="s">
        <v>1231</v>
      </c>
      <c r="T819">
        <v>3</v>
      </c>
    </row>
    <row r="820" spans="1:20" x14ac:dyDescent="0.3">
      <c r="A820" t="s">
        <v>830</v>
      </c>
      <c r="B820" t="s">
        <v>831</v>
      </c>
      <c r="C820">
        <v>5238</v>
      </c>
      <c r="D820">
        <v>865</v>
      </c>
      <c r="E820">
        <v>598</v>
      </c>
      <c r="F820">
        <v>27.46</v>
      </c>
      <c r="G820">
        <v>34596</v>
      </c>
      <c r="H820">
        <v>85357</v>
      </c>
      <c r="I820">
        <v>2.37</v>
      </c>
      <c r="J820" t="s">
        <v>42</v>
      </c>
      <c r="K820" t="s">
        <v>1788</v>
      </c>
      <c r="L820" s="25">
        <v>0.34778935185185184</v>
      </c>
      <c r="M820">
        <v>0.27460000000000001</v>
      </c>
      <c r="N820">
        <v>2.3700000000000002E-2</v>
      </c>
      <c r="O820">
        <v>6701</v>
      </c>
      <c r="P820">
        <v>7.8505570720620449E-2</v>
      </c>
      <c r="Q820" t="s">
        <v>1238</v>
      </c>
      <c r="R820" t="s">
        <v>1239</v>
      </c>
      <c r="S820" t="s">
        <v>1231</v>
      </c>
      <c r="T820">
        <v>3</v>
      </c>
    </row>
    <row r="821" spans="1:20" x14ac:dyDescent="0.3">
      <c r="A821" t="s">
        <v>833</v>
      </c>
      <c r="B821" t="s">
        <v>834</v>
      </c>
      <c r="C821">
        <v>412</v>
      </c>
      <c r="D821">
        <v>4365</v>
      </c>
      <c r="E821">
        <v>382</v>
      </c>
      <c r="F821">
        <v>88.28</v>
      </c>
      <c r="G821">
        <v>13656</v>
      </c>
      <c r="H821">
        <v>51287</v>
      </c>
      <c r="I821">
        <v>4.4000000000000004</v>
      </c>
      <c r="J821" t="s">
        <v>16</v>
      </c>
      <c r="K821" t="s">
        <v>1345</v>
      </c>
      <c r="L821" s="25">
        <v>8.8518518518518524E-2</v>
      </c>
      <c r="M821">
        <v>0.88280000000000003</v>
      </c>
      <c r="N821">
        <v>4.4000000000000004E-2</v>
      </c>
      <c r="O821">
        <v>5159</v>
      </c>
      <c r="P821">
        <v>0.10059079298847662</v>
      </c>
      <c r="Q821" t="s">
        <v>1238</v>
      </c>
      <c r="R821" t="s">
        <v>1239</v>
      </c>
      <c r="S821" t="s">
        <v>1231</v>
      </c>
      <c r="T821">
        <v>3</v>
      </c>
    </row>
    <row r="822" spans="1:20" x14ac:dyDescent="0.3">
      <c r="A822" t="s">
        <v>833</v>
      </c>
      <c r="B822" t="s">
        <v>834</v>
      </c>
      <c r="C822">
        <v>412</v>
      </c>
      <c r="D822">
        <v>4365</v>
      </c>
      <c r="E822">
        <v>382</v>
      </c>
      <c r="F822">
        <v>88.28</v>
      </c>
      <c r="G822">
        <v>13656</v>
      </c>
      <c r="H822">
        <v>51287</v>
      </c>
      <c r="I822">
        <v>4.4000000000000004</v>
      </c>
      <c r="J822" t="s">
        <v>16</v>
      </c>
      <c r="K822" t="s">
        <v>1376</v>
      </c>
      <c r="L822" s="25">
        <v>8.8518518518518524E-2</v>
      </c>
      <c r="M822">
        <v>0.88280000000000003</v>
      </c>
      <c r="N822">
        <v>4.4000000000000004E-2</v>
      </c>
      <c r="O822">
        <v>5159</v>
      </c>
      <c r="P822">
        <v>0.10059079298847662</v>
      </c>
      <c r="Q822" t="s">
        <v>1238</v>
      </c>
      <c r="R822" t="s">
        <v>1239</v>
      </c>
      <c r="S822" t="s">
        <v>1231</v>
      </c>
      <c r="T822">
        <v>3</v>
      </c>
    </row>
    <row r="823" spans="1:20" x14ac:dyDescent="0.3">
      <c r="A823" t="s">
        <v>833</v>
      </c>
      <c r="B823" t="s">
        <v>834</v>
      </c>
      <c r="C823">
        <v>412</v>
      </c>
      <c r="D823">
        <v>4365</v>
      </c>
      <c r="E823">
        <v>382</v>
      </c>
      <c r="F823">
        <v>88.28</v>
      </c>
      <c r="G823">
        <v>13656</v>
      </c>
      <c r="H823">
        <v>51287</v>
      </c>
      <c r="I823">
        <v>4.4000000000000004</v>
      </c>
      <c r="J823" t="s">
        <v>16</v>
      </c>
      <c r="K823" t="s">
        <v>1789</v>
      </c>
      <c r="L823" s="25">
        <v>8.8518518518518524E-2</v>
      </c>
      <c r="M823">
        <v>0.88280000000000003</v>
      </c>
      <c r="N823">
        <v>4.4000000000000004E-2</v>
      </c>
      <c r="O823">
        <v>5159</v>
      </c>
      <c r="P823">
        <v>0.10059079298847662</v>
      </c>
      <c r="Q823" t="s">
        <v>1238</v>
      </c>
      <c r="R823" t="s">
        <v>1239</v>
      </c>
      <c r="S823" t="s">
        <v>1231</v>
      </c>
      <c r="T823">
        <v>3</v>
      </c>
    </row>
    <row r="824" spans="1:20" x14ac:dyDescent="0.3">
      <c r="A824" t="s">
        <v>836</v>
      </c>
      <c r="B824" t="s">
        <v>837</v>
      </c>
      <c r="C824">
        <v>1565</v>
      </c>
      <c r="D824">
        <v>227</v>
      </c>
      <c r="E824">
        <v>1608</v>
      </c>
      <c r="F824">
        <v>47.41</v>
      </c>
      <c r="G824">
        <v>58265</v>
      </c>
      <c r="H824">
        <v>50416</v>
      </c>
      <c r="I824">
        <v>0.16</v>
      </c>
      <c r="J824" t="s">
        <v>42</v>
      </c>
      <c r="K824" t="s">
        <v>1504</v>
      </c>
      <c r="L824" s="25">
        <v>4.4560185185185182E-2</v>
      </c>
      <c r="M824">
        <v>0.47409999999999997</v>
      </c>
      <c r="N824">
        <v>1.6000000000000001E-3</v>
      </c>
      <c r="O824">
        <v>3400</v>
      </c>
      <c r="P824">
        <v>6.7438908283084742E-2</v>
      </c>
      <c r="Q824" t="s">
        <v>1238</v>
      </c>
      <c r="R824" t="s">
        <v>1239</v>
      </c>
      <c r="S824" t="s">
        <v>1231</v>
      </c>
      <c r="T824">
        <v>3</v>
      </c>
    </row>
    <row r="825" spans="1:20" x14ac:dyDescent="0.3">
      <c r="A825" t="s">
        <v>836</v>
      </c>
      <c r="B825" t="s">
        <v>837</v>
      </c>
      <c r="C825">
        <v>1565</v>
      </c>
      <c r="D825">
        <v>227</v>
      </c>
      <c r="E825">
        <v>1608</v>
      </c>
      <c r="F825">
        <v>47.41</v>
      </c>
      <c r="G825">
        <v>58265</v>
      </c>
      <c r="H825">
        <v>50416</v>
      </c>
      <c r="I825">
        <v>0.16</v>
      </c>
      <c r="J825" t="s">
        <v>42</v>
      </c>
      <c r="K825" t="s">
        <v>1790</v>
      </c>
      <c r="L825" s="25">
        <v>4.4560185185185182E-2</v>
      </c>
      <c r="M825">
        <v>0.47409999999999997</v>
      </c>
      <c r="N825">
        <v>1.6000000000000001E-3</v>
      </c>
      <c r="O825">
        <v>3400</v>
      </c>
      <c r="P825">
        <v>6.7438908283084742E-2</v>
      </c>
      <c r="Q825" t="s">
        <v>1238</v>
      </c>
      <c r="R825" t="s">
        <v>1239</v>
      </c>
      <c r="S825" t="s">
        <v>1231</v>
      </c>
      <c r="T825">
        <v>3</v>
      </c>
    </row>
    <row r="826" spans="1:20" x14ac:dyDescent="0.3">
      <c r="A826" t="s">
        <v>836</v>
      </c>
      <c r="B826" t="s">
        <v>837</v>
      </c>
      <c r="C826">
        <v>1565</v>
      </c>
      <c r="D826">
        <v>227</v>
      </c>
      <c r="E826">
        <v>1608</v>
      </c>
      <c r="F826">
        <v>47.41</v>
      </c>
      <c r="G826">
        <v>58265</v>
      </c>
      <c r="H826">
        <v>50416</v>
      </c>
      <c r="I826">
        <v>0.16</v>
      </c>
      <c r="J826" t="s">
        <v>42</v>
      </c>
      <c r="K826" t="s">
        <v>1496</v>
      </c>
      <c r="L826" s="25">
        <v>4.4560185185185182E-2</v>
      </c>
      <c r="M826">
        <v>0.47409999999999997</v>
      </c>
      <c r="N826">
        <v>1.6000000000000001E-3</v>
      </c>
      <c r="O826">
        <v>3400</v>
      </c>
      <c r="P826">
        <v>6.7438908283084742E-2</v>
      </c>
      <c r="Q826" t="s">
        <v>1238</v>
      </c>
      <c r="R826" t="s">
        <v>1239</v>
      </c>
      <c r="S826" t="s">
        <v>1231</v>
      </c>
      <c r="T826">
        <v>3</v>
      </c>
    </row>
    <row r="827" spans="1:20" x14ac:dyDescent="0.3">
      <c r="A827" t="s">
        <v>839</v>
      </c>
      <c r="B827" t="s">
        <v>840</v>
      </c>
      <c r="C827">
        <v>3729</v>
      </c>
      <c r="D827">
        <v>1651</v>
      </c>
      <c r="E827">
        <v>900</v>
      </c>
      <c r="F827">
        <v>80.92</v>
      </c>
      <c r="G827">
        <v>45083</v>
      </c>
      <c r="H827">
        <v>51326</v>
      </c>
      <c r="I827">
        <v>2.04</v>
      </c>
      <c r="J827" t="s">
        <v>12</v>
      </c>
      <c r="K827" t="s">
        <v>1322</v>
      </c>
      <c r="L827" s="25">
        <v>0.98408564814814814</v>
      </c>
      <c r="M827">
        <v>0.80920000000000003</v>
      </c>
      <c r="N827">
        <v>2.0400000000000001E-2</v>
      </c>
      <c r="O827">
        <v>6280</v>
      </c>
      <c r="P827">
        <v>0.12235514164361143</v>
      </c>
      <c r="Q827" t="s">
        <v>1238</v>
      </c>
      <c r="R827" t="s">
        <v>1239</v>
      </c>
      <c r="S827" t="s">
        <v>1233</v>
      </c>
      <c r="T827">
        <v>3</v>
      </c>
    </row>
    <row r="828" spans="1:20" x14ac:dyDescent="0.3">
      <c r="A828" t="s">
        <v>839</v>
      </c>
      <c r="B828" t="s">
        <v>840</v>
      </c>
      <c r="C828">
        <v>3729</v>
      </c>
      <c r="D828">
        <v>1651</v>
      </c>
      <c r="E828">
        <v>900</v>
      </c>
      <c r="F828">
        <v>80.92</v>
      </c>
      <c r="G828">
        <v>45083</v>
      </c>
      <c r="H828">
        <v>51326</v>
      </c>
      <c r="I828">
        <v>2.04</v>
      </c>
      <c r="J828" t="s">
        <v>12</v>
      </c>
      <c r="K828" t="s">
        <v>1269</v>
      </c>
      <c r="L828" s="25">
        <v>0.98408564814814814</v>
      </c>
      <c r="M828">
        <v>0.80920000000000003</v>
      </c>
      <c r="N828">
        <v>2.0400000000000001E-2</v>
      </c>
      <c r="O828">
        <v>6280</v>
      </c>
      <c r="P828">
        <v>0.12235514164361143</v>
      </c>
      <c r="Q828" t="s">
        <v>1238</v>
      </c>
      <c r="R828" t="s">
        <v>1239</v>
      </c>
      <c r="S828" t="s">
        <v>1233</v>
      </c>
      <c r="T828">
        <v>3</v>
      </c>
    </row>
    <row r="829" spans="1:20" x14ac:dyDescent="0.3">
      <c r="A829" t="s">
        <v>839</v>
      </c>
      <c r="B829" t="s">
        <v>840</v>
      </c>
      <c r="C829">
        <v>3729</v>
      </c>
      <c r="D829">
        <v>1651</v>
      </c>
      <c r="E829">
        <v>900</v>
      </c>
      <c r="F829">
        <v>80.92</v>
      </c>
      <c r="G829">
        <v>45083</v>
      </c>
      <c r="H829">
        <v>51326</v>
      </c>
      <c r="I829">
        <v>2.04</v>
      </c>
      <c r="J829" t="s">
        <v>12</v>
      </c>
      <c r="K829" t="s">
        <v>1791</v>
      </c>
      <c r="L829" s="25">
        <v>0.98408564814814814</v>
      </c>
      <c r="M829">
        <v>0.80920000000000003</v>
      </c>
      <c r="N829">
        <v>2.0400000000000001E-2</v>
      </c>
      <c r="O829">
        <v>6280</v>
      </c>
      <c r="P829">
        <v>0.12235514164361143</v>
      </c>
      <c r="Q829" t="s">
        <v>1238</v>
      </c>
      <c r="R829" t="s">
        <v>1239</v>
      </c>
      <c r="S829" t="s">
        <v>1233</v>
      </c>
      <c r="T829">
        <v>3</v>
      </c>
    </row>
    <row r="830" spans="1:20" x14ac:dyDescent="0.3">
      <c r="A830" t="s">
        <v>842</v>
      </c>
      <c r="B830" t="s">
        <v>843</v>
      </c>
      <c r="C830">
        <v>7749</v>
      </c>
      <c r="D830">
        <v>1534</v>
      </c>
      <c r="E830">
        <v>291</v>
      </c>
      <c r="F830">
        <v>36.54</v>
      </c>
      <c r="G830">
        <v>44665</v>
      </c>
      <c r="H830">
        <v>34568</v>
      </c>
      <c r="I830">
        <v>2.02</v>
      </c>
      <c r="J830" t="s">
        <v>20</v>
      </c>
      <c r="K830" t="s">
        <v>1792</v>
      </c>
      <c r="L830" s="25">
        <v>0.74737268518518518</v>
      </c>
      <c r="M830">
        <v>0.3654</v>
      </c>
      <c r="N830">
        <v>2.0199999999999999E-2</v>
      </c>
      <c r="O830">
        <v>9574</v>
      </c>
      <c r="P830">
        <v>0.27696135153899559</v>
      </c>
      <c r="Q830" t="s">
        <v>1238</v>
      </c>
      <c r="R830" t="s">
        <v>1239</v>
      </c>
      <c r="S830" t="s">
        <v>1232</v>
      </c>
      <c r="T830">
        <v>3</v>
      </c>
    </row>
    <row r="831" spans="1:20" x14ac:dyDescent="0.3">
      <c r="A831" t="s">
        <v>842</v>
      </c>
      <c r="B831" t="s">
        <v>843</v>
      </c>
      <c r="C831">
        <v>7749</v>
      </c>
      <c r="D831">
        <v>1534</v>
      </c>
      <c r="E831">
        <v>291</v>
      </c>
      <c r="F831">
        <v>36.54</v>
      </c>
      <c r="G831">
        <v>44665</v>
      </c>
      <c r="H831">
        <v>34568</v>
      </c>
      <c r="I831">
        <v>2.02</v>
      </c>
      <c r="J831" t="s">
        <v>20</v>
      </c>
      <c r="K831" t="s">
        <v>1784</v>
      </c>
      <c r="L831" s="25">
        <v>0.74737268518518518</v>
      </c>
      <c r="M831">
        <v>0.3654</v>
      </c>
      <c r="N831">
        <v>2.0199999999999999E-2</v>
      </c>
      <c r="O831">
        <v>9574</v>
      </c>
      <c r="P831">
        <v>0.27696135153899559</v>
      </c>
      <c r="Q831" t="s">
        <v>1238</v>
      </c>
      <c r="R831" t="s">
        <v>1239</v>
      </c>
      <c r="S831" t="s">
        <v>1232</v>
      </c>
      <c r="T831">
        <v>3</v>
      </c>
    </row>
    <row r="832" spans="1:20" x14ac:dyDescent="0.3">
      <c r="A832" t="s">
        <v>842</v>
      </c>
      <c r="B832" t="s">
        <v>843</v>
      </c>
      <c r="C832">
        <v>7749</v>
      </c>
      <c r="D832">
        <v>1534</v>
      </c>
      <c r="E832">
        <v>291</v>
      </c>
      <c r="F832">
        <v>36.54</v>
      </c>
      <c r="G832">
        <v>44665</v>
      </c>
      <c r="H832">
        <v>34568</v>
      </c>
      <c r="I832">
        <v>2.02</v>
      </c>
      <c r="J832" t="s">
        <v>20</v>
      </c>
      <c r="K832" t="s">
        <v>1297</v>
      </c>
      <c r="L832" s="25">
        <v>0.74737268518518518</v>
      </c>
      <c r="M832">
        <v>0.3654</v>
      </c>
      <c r="N832">
        <v>2.0199999999999999E-2</v>
      </c>
      <c r="O832">
        <v>9574</v>
      </c>
      <c r="P832">
        <v>0.27696135153899559</v>
      </c>
      <c r="Q832" t="s">
        <v>1238</v>
      </c>
      <c r="R832" t="s">
        <v>1239</v>
      </c>
      <c r="S832" t="s">
        <v>1232</v>
      </c>
      <c r="T832">
        <v>3</v>
      </c>
    </row>
    <row r="833" spans="1:20" x14ac:dyDescent="0.3">
      <c r="A833" t="s">
        <v>845</v>
      </c>
      <c r="B833" t="s">
        <v>846</v>
      </c>
      <c r="C833">
        <v>6016</v>
      </c>
      <c r="D833">
        <v>1634</v>
      </c>
      <c r="E833">
        <v>418</v>
      </c>
      <c r="F833">
        <v>83.31</v>
      </c>
      <c r="G833">
        <v>48010</v>
      </c>
      <c r="H833">
        <v>7353</v>
      </c>
      <c r="I833">
        <v>8.06</v>
      </c>
      <c r="J833" t="s">
        <v>42</v>
      </c>
      <c r="K833" t="s">
        <v>1559</v>
      </c>
      <c r="L833" s="25">
        <v>0.35373842592592591</v>
      </c>
      <c r="M833">
        <v>0.83310000000000006</v>
      </c>
      <c r="N833">
        <v>8.0600000000000005E-2</v>
      </c>
      <c r="O833">
        <v>8068</v>
      </c>
      <c r="P833">
        <v>1</v>
      </c>
      <c r="Q833" t="s">
        <v>1238</v>
      </c>
      <c r="R833" t="s">
        <v>1239</v>
      </c>
      <c r="S833" t="s">
        <v>1231</v>
      </c>
      <c r="T833">
        <v>3</v>
      </c>
    </row>
    <row r="834" spans="1:20" x14ac:dyDescent="0.3">
      <c r="A834" t="s">
        <v>845</v>
      </c>
      <c r="B834" t="s">
        <v>846</v>
      </c>
      <c r="C834">
        <v>6016</v>
      </c>
      <c r="D834">
        <v>1634</v>
      </c>
      <c r="E834">
        <v>418</v>
      </c>
      <c r="F834">
        <v>83.31</v>
      </c>
      <c r="G834">
        <v>48010</v>
      </c>
      <c r="H834">
        <v>7353</v>
      </c>
      <c r="I834">
        <v>8.06</v>
      </c>
      <c r="J834" t="s">
        <v>42</v>
      </c>
      <c r="K834" t="s">
        <v>1793</v>
      </c>
      <c r="L834" s="25">
        <v>0.35373842592592591</v>
      </c>
      <c r="M834">
        <v>0.83310000000000006</v>
      </c>
      <c r="N834">
        <v>8.0600000000000005E-2</v>
      </c>
      <c r="O834">
        <v>8068</v>
      </c>
      <c r="P834">
        <v>1</v>
      </c>
      <c r="Q834" t="s">
        <v>1238</v>
      </c>
      <c r="R834" t="s">
        <v>1239</v>
      </c>
      <c r="S834" t="s">
        <v>1231</v>
      </c>
      <c r="T834">
        <v>3</v>
      </c>
    </row>
    <row r="835" spans="1:20" x14ac:dyDescent="0.3">
      <c r="A835" t="s">
        <v>845</v>
      </c>
      <c r="B835" t="s">
        <v>846</v>
      </c>
      <c r="C835">
        <v>6016</v>
      </c>
      <c r="D835">
        <v>1634</v>
      </c>
      <c r="E835">
        <v>418</v>
      </c>
      <c r="F835">
        <v>83.31</v>
      </c>
      <c r="G835">
        <v>48010</v>
      </c>
      <c r="H835">
        <v>7353</v>
      </c>
      <c r="I835">
        <v>8.06</v>
      </c>
      <c r="J835" t="s">
        <v>42</v>
      </c>
      <c r="K835" t="s">
        <v>1736</v>
      </c>
      <c r="L835" s="25">
        <v>0.35373842592592591</v>
      </c>
      <c r="M835">
        <v>0.83310000000000006</v>
      </c>
      <c r="N835">
        <v>8.0600000000000005E-2</v>
      </c>
      <c r="O835">
        <v>8068</v>
      </c>
      <c r="P835">
        <v>1</v>
      </c>
      <c r="Q835" t="s">
        <v>1238</v>
      </c>
      <c r="R835" t="s">
        <v>1239</v>
      </c>
      <c r="S835" t="s">
        <v>1231</v>
      </c>
      <c r="T835">
        <v>3</v>
      </c>
    </row>
    <row r="836" spans="1:20" x14ac:dyDescent="0.3">
      <c r="A836" t="s">
        <v>848</v>
      </c>
      <c r="B836" t="s">
        <v>849</v>
      </c>
      <c r="C836">
        <v>7826</v>
      </c>
      <c r="D836">
        <v>1973</v>
      </c>
      <c r="E836">
        <v>467</v>
      </c>
      <c r="F836">
        <v>59.93</v>
      </c>
      <c r="G836">
        <v>68767</v>
      </c>
      <c r="H836">
        <v>69313</v>
      </c>
      <c r="I836">
        <v>8.34</v>
      </c>
      <c r="J836" t="s">
        <v>20</v>
      </c>
      <c r="K836" t="s">
        <v>1714</v>
      </c>
      <c r="L836" s="25">
        <v>0.53810185185185189</v>
      </c>
      <c r="M836">
        <v>0.59929999999999994</v>
      </c>
      <c r="N836">
        <v>8.3400000000000002E-2</v>
      </c>
      <c r="O836">
        <v>10266</v>
      </c>
      <c r="P836">
        <v>0.148110744016274</v>
      </c>
      <c r="Q836" t="s">
        <v>1238</v>
      </c>
      <c r="R836" t="s">
        <v>1239</v>
      </c>
      <c r="S836" t="s">
        <v>1230</v>
      </c>
      <c r="T836">
        <v>3</v>
      </c>
    </row>
    <row r="837" spans="1:20" x14ac:dyDescent="0.3">
      <c r="A837" t="s">
        <v>848</v>
      </c>
      <c r="B837" t="s">
        <v>849</v>
      </c>
      <c r="C837">
        <v>7826</v>
      </c>
      <c r="D837">
        <v>1973</v>
      </c>
      <c r="E837">
        <v>467</v>
      </c>
      <c r="F837">
        <v>59.93</v>
      </c>
      <c r="G837">
        <v>68767</v>
      </c>
      <c r="H837">
        <v>69313</v>
      </c>
      <c r="I837">
        <v>8.34</v>
      </c>
      <c r="J837" t="s">
        <v>20</v>
      </c>
      <c r="K837" t="s">
        <v>1794</v>
      </c>
      <c r="L837" s="25">
        <v>0.53810185185185189</v>
      </c>
      <c r="M837">
        <v>0.59929999999999994</v>
      </c>
      <c r="N837">
        <v>8.3400000000000002E-2</v>
      </c>
      <c r="O837">
        <v>10266</v>
      </c>
      <c r="P837">
        <v>0.148110744016274</v>
      </c>
      <c r="Q837" t="s">
        <v>1238</v>
      </c>
      <c r="R837" t="s">
        <v>1239</v>
      </c>
      <c r="S837" t="s">
        <v>1230</v>
      </c>
      <c r="T837">
        <v>3</v>
      </c>
    </row>
    <row r="838" spans="1:20" x14ac:dyDescent="0.3">
      <c r="A838" t="s">
        <v>848</v>
      </c>
      <c r="B838" t="s">
        <v>849</v>
      </c>
      <c r="C838">
        <v>7826</v>
      </c>
      <c r="D838">
        <v>1973</v>
      </c>
      <c r="E838">
        <v>467</v>
      </c>
      <c r="F838">
        <v>59.93</v>
      </c>
      <c r="G838">
        <v>68767</v>
      </c>
      <c r="H838">
        <v>69313</v>
      </c>
      <c r="I838">
        <v>8.34</v>
      </c>
      <c r="J838" t="s">
        <v>20</v>
      </c>
      <c r="K838" t="s">
        <v>1795</v>
      </c>
      <c r="L838" s="25">
        <v>0.53810185185185189</v>
      </c>
      <c r="M838">
        <v>0.59929999999999994</v>
      </c>
      <c r="N838">
        <v>8.3400000000000002E-2</v>
      </c>
      <c r="O838">
        <v>10266</v>
      </c>
      <c r="P838">
        <v>0.148110744016274</v>
      </c>
      <c r="Q838" t="s">
        <v>1238</v>
      </c>
      <c r="R838" t="s">
        <v>1239</v>
      </c>
      <c r="S838" t="s">
        <v>1230</v>
      </c>
      <c r="T838">
        <v>3</v>
      </c>
    </row>
    <row r="839" spans="1:20" x14ac:dyDescent="0.3">
      <c r="A839" t="s">
        <v>851</v>
      </c>
      <c r="B839" t="s">
        <v>852</v>
      </c>
      <c r="C839">
        <v>4409</v>
      </c>
      <c r="D839">
        <v>870</v>
      </c>
      <c r="E839">
        <v>1482</v>
      </c>
      <c r="F839">
        <v>18.309999999999999</v>
      </c>
      <c r="G839">
        <v>9709</v>
      </c>
      <c r="H839">
        <v>69013</v>
      </c>
      <c r="I839">
        <v>0.81</v>
      </c>
      <c r="J839" t="s">
        <v>20</v>
      </c>
      <c r="K839" t="s">
        <v>1316</v>
      </c>
      <c r="L839" s="25">
        <v>0.44540509259259259</v>
      </c>
      <c r="M839">
        <v>0.18309999999999998</v>
      </c>
      <c r="N839">
        <v>8.1000000000000013E-3</v>
      </c>
      <c r="O839">
        <v>6761</v>
      </c>
      <c r="P839">
        <v>9.7967049686290983E-2</v>
      </c>
      <c r="Q839" t="s">
        <v>1238</v>
      </c>
      <c r="R839" t="s">
        <v>1239</v>
      </c>
      <c r="S839" t="s">
        <v>1231</v>
      </c>
      <c r="T839">
        <v>3</v>
      </c>
    </row>
    <row r="840" spans="1:20" x14ac:dyDescent="0.3">
      <c r="A840" t="s">
        <v>851</v>
      </c>
      <c r="B840" t="s">
        <v>852</v>
      </c>
      <c r="C840">
        <v>4409</v>
      </c>
      <c r="D840">
        <v>870</v>
      </c>
      <c r="E840">
        <v>1482</v>
      </c>
      <c r="F840">
        <v>18.309999999999999</v>
      </c>
      <c r="G840">
        <v>9709</v>
      </c>
      <c r="H840">
        <v>69013</v>
      </c>
      <c r="I840">
        <v>0.81</v>
      </c>
      <c r="J840" t="s">
        <v>20</v>
      </c>
      <c r="K840" t="s">
        <v>1419</v>
      </c>
      <c r="L840" s="25">
        <v>0.44540509259259259</v>
      </c>
      <c r="M840">
        <v>0.18309999999999998</v>
      </c>
      <c r="N840">
        <v>8.1000000000000013E-3</v>
      </c>
      <c r="O840">
        <v>6761</v>
      </c>
      <c r="P840">
        <v>9.7967049686290983E-2</v>
      </c>
      <c r="Q840" t="s">
        <v>1238</v>
      </c>
      <c r="R840" t="s">
        <v>1239</v>
      </c>
      <c r="S840" t="s">
        <v>1231</v>
      </c>
      <c r="T840">
        <v>3</v>
      </c>
    </row>
    <row r="841" spans="1:20" x14ac:dyDescent="0.3">
      <c r="A841" t="s">
        <v>851</v>
      </c>
      <c r="B841" t="s">
        <v>852</v>
      </c>
      <c r="C841">
        <v>4409</v>
      </c>
      <c r="D841">
        <v>870</v>
      </c>
      <c r="E841">
        <v>1482</v>
      </c>
      <c r="F841">
        <v>18.309999999999999</v>
      </c>
      <c r="G841">
        <v>9709</v>
      </c>
      <c r="H841">
        <v>69013</v>
      </c>
      <c r="I841">
        <v>0.81</v>
      </c>
      <c r="J841" t="s">
        <v>20</v>
      </c>
      <c r="K841" t="s">
        <v>1299</v>
      </c>
      <c r="L841" s="25">
        <v>0.44540509259259259</v>
      </c>
      <c r="M841">
        <v>0.18309999999999998</v>
      </c>
      <c r="N841">
        <v>8.1000000000000013E-3</v>
      </c>
      <c r="O841">
        <v>6761</v>
      </c>
      <c r="P841">
        <v>9.7967049686290983E-2</v>
      </c>
      <c r="Q841" t="s">
        <v>1238</v>
      </c>
      <c r="R841" t="s">
        <v>1239</v>
      </c>
      <c r="S841" t="s">
        <v>1231</v>
      </c>
      <c r="T841">
        <v>3</v>
      </c>
    </row>
    <row r="842" spans="1:20" x14ac:dyDescent="0.3">
      <c r="A842" t="s">
        <v>854</v>
      </c>
      <c r="B842" t="s">
        <v>855</v>
      </c>
      <c r="C842">
        <v>7526</v>
      </c>
      <c r="D842">
        <v>4400</v>
      </c>
      <c r="E842">
        <v>1083</v>
      </c>
      <c r="F842">
        <v>44.87</v>
      </c>
      <c r="G842">
        <v>13840</v>
      </c>
      <c r="H842">
        <v>32653</v>
      </c>
      <c r="I842">
        <v>8.36</v>
      </c>
      <c r="J842" t="s">
        <v>12</v>
      </c>
      <c r="K842" t="s">
        <v>1574</v>
      </c>
      <c r="L842" s="25">
        <v>0.86302083333333335</v>
      </c>
      <c r="M842">
        <v>0.44869999999999999</v>
      </c>
      <c r="N842">
        <v>8.3599999999999994E-2</v>
      </c>
      <c r="O842">
        <v>13009</v>
      </c>
      <c r="P842">
        <v>0.39840137200257253</v>
      </c>
      <c r="Q842" t="s">
        <v>1238</v>
      </c>
      <c r="R842" t="s">
        <v>1239</v>
      </c>
      <c r="S842" t="s">
        <v>1232</v>
      </c>
      <c r="T842">
        <v>3</v>
      </c>
    </row>
    <row r="843" spans="1:20" x14ac:dyDescent="0.3">
      <c r="A843" t="s">
        <v>854</v>
      </c>
      <c r="B843" t="s">
        <v>855</v>
      </c>
      <c r="C843">
        <v>7526</v>
      </c>
      <c r="D843">
        <v>4400</v>
      </c>
      <c r="E843">
        <v>1083</v>
      </c>
      <c r="F843">
        <v>44.87</v>
      </c>
      <c r="G843">
        <v>13840</v>
      </c>
      <c r="H843">
        <v>32653</v>
      </c>
      <c r="I843">
        <v>8.36</v>
      </c>
      <c r="J843" t="s">
        <v>12</v>
      </c>
      <c r="K843" t="s">
        <v>1796</v>
      </c>
      <c r="L843" s="25">
        <v>0.86302083333333335</v>
      </c>
      <c r="M843">
        <v>0.44869999999999999</v>
      </c>
      <c r="N843">
        <v>8.3599999999999994E-2</v>
      </c>
      <c r="O843">
        <v>13009</v>
      </c>
      <c r="P843">
        <v>0.39840137200257253</v>
      </c>
      <c r="Q843" t="s">
        <v>1238</v>
      </c>
      <c r="R843" t="s">
        <v>1239</v>
      </c>
      <c r="S843" t="s">
        <v>1232</v>
      </c>
      <c r="T843">
        <v>3</v>
      </c>
    </row>
    <row r="844" spans="1:20" x14ac:dyDescent="0.3">
      <c r="A844" t="s">
        <v>854</v>
      </c>
      <c r="B844" t="s">
        <v>855</v>
      </c>
      <c r="C844">
        <v>7526</v>
      </c>
      <c r="D844">
        <v>4400</v>
      </c>
      <c r="E844">
        <v>1083</v>
      </c>
      <c r="F844">
        <v>44.87</v>
      </c>
      <c r="G844">
        <v>13840</v>
      </c>
      <c r="H844">
        <v>32653</v>
      </c>
      <c r="I844">
        <v>8.36</v>
      </c>
      <c r="J844" t="s">
        <v>12</v>
      </c>
      <c r="K844" t="s">
        <v>1546</v>
      </c>
      <c r="L844" s="25">
        <v>0.86302083333333335</v>
      </c>
      <c r="M844">
        <v>0.44869999999999999</v>
      </c>
      <c r="N844">
        <v>8.3599999999999994E-2</v>
      </c>
      <c r="O844">
        <v>13009</v>
      </c>
      <c r="P844">
        <v>0.39840137200257253</v>
      </c>
      <c r="Q844" t="s">
        <v>1238</v>
      </c>
      <c r="R844" t="s">
        <v>1239</v>
      </c>
      <c r="S844" t="s">
        <v>1232</v>
      </c>
      <c r="T844">
        <v>3</v>
      </c>
    </row>
    <row r="845" spans="1:20" x14ac:dyDescent="0.3">
      <c r="A845" t="s">
        <v>857</v>
      </c>
      <c r="B845" t="s">
        <v>858</v>
      </c>
      <c r="C845">
        <v>1114</v>
      </c>
      <c r="D845">
        <v>455</v>
      </c>
      <c r="E845">
        <v>1430</v>
      </c>
      <c r="F845">
        <v>82.37</v>
      </c>
      <c r="G845">
        <v>90245</v>
      </c>
      <c r="H845">
        <v>55286</v>
      </c>
      <c r="I845">
        <v>7.67</v>
      </c>
      <c r="J845" t="s">
        <v>20</v>
      </c>
      <c r="K845" t="s">
        <v>1715</v>
      </c>
      <c r="L845" s="25">
        <v>0.20594907407407406</v>
      </c>
      <c r="M845">
        <v>0.8237000000000001</v>
      </c>
      <c r="N845">
        <v>7.6700000000000004E-2</v>
      </c>
      <c r="O845">
        <v>2999</v>
      </c>
      <c r="P845">
        <v>5.4245197699236698E-2</v>
      </c>
      <c r="Q845" t="s">
        <v>1238</v>
      </c>
      <c r="R845" t="s">
        <v>1239</v>
      </c>
      <c r="S845" t="s">
        <v>1231</v>
      </c>
      <c r="T845">
        <v>3</v>
      </c>
    </row>
    <row r="846" spans="1:20" x14ac:dyDescent="0.3">
      <c r="A846" t="s">
        <v>857</v>
      </c>
      <c r="B846" t="s">
        <v>858</v>
      </c>
      <c r="C846">
        <v>1114</v>
      </c>
      <c r="D846">
        <v>455</v>
      </c>
      <c r="E846">
        <v>1430</v>
      </c>
      <c r="F846">
        <v>82.37</v>
      </c>
      <c r="G846">
        <v>90245</v>
      </c>
      <c r="H846">
        <v>55286</v>
      </c>
      <c r="I846">
        <v>7.67</v>
      </c>
      <c r="J846" t="s">
        <v>20</v>
      </c>
      <c r="K846" t="s">
        <v>1797</v>
      </c>
      <c r="L846" s="25">
        <v>0.20594907407407406</v>
      </c>
      <c r="M846">
        <v>0.8237000000000001</v>
      </c>
      <c r="N846">
        <v>7.6700000000000004E-2</v>
      </c>
      <c r="O846">
        <v>2999</v>
      </c>
      <c r="P846">
        <v>5.4245197699236698E-2</v>
      </c>
      <c r="Q846" t="s">
        <v>1238</v>
      </c>
      <c r="R846" t="s">
        <v>1239</v>
      </c>
      <c r="S846" t="s">
        <v>1231</v>
      </c>
      <c r="T846">
        <v>3</v>
      </c>
    </row>
    <row r="847" spans="1:20" x14ac:dyDescent="0.3">
      <c r="A847" t="s">
        <v>857</v>
      </c>
      <c r="B847" t="s">
        <v>858</v>
      </c>
      <c r="C847">
        <v>1114</v>
      </c>
      <c r="D847">
        <v>455</v>
      </c>
      <c r="E847">
        <v>1430</v>
      </c>
      <c r="F847">
        <v>82.37</v>
      </c>
      <c r="G847">
        <v>90245</v>
      </c>
      <c r="H847">
        <v>55286</v>
      </c>
      <c r="I847">
        <v>7.67</v>
      </c>
      <c r="J847" t="s">
        <v>20</v>
      </c>
      <c r="K847" t="s">
        <v>1798</v>
      </c>
      <c r="L847" s="25">
        <v>0.20594907407407406</v>
      </c>
      <c r="M847">
        <v>0.8237000000000001</v>
      </c>
      <c r="N847">
        <v>7.6700000000000004E-2</v>
      </c>
      <c r="O847">
        <v>2999</v>
      </c>
      <c r="P847">
        <v>5.4245197699236698E-2</v>
      </c>
      <c r="Q847" t="s">
        <v>1238</v>
      </c>
      <c r="R847" t="s">
        <v>1239</v>
      </c>
      <c r="S847" t="s">
        <v>1231</v>
      </c>
      <c r="T847">
        <v>3</v>
      </c>
    </row>
    <row r="848" spans="1:20" x14ac:dyDescent="0.3">
      <c r="A848" t="s">
        <v>860</v>
      </c>
      <c r="B848" t="s">
        <v>861</v>
      </c>
      <c r="C848">
        <v>2407</v>
      </c>
      <c r="D848">
        <v>104</v>
      </c>
      <c r="E848">
        <v>107</v>
      </c>
      <c r="F848">
        <v>60.82</v>
      </c>
      <c r="G848">
        <v>19105</v>
      </c>
      <c r="H848">
        <v>2185</v>
      </c>
      <c r="I848">
        <v>4.1100000000000003</v>
      </c>
      <c r="J848" t="s">
        <v>42</v>
      </c>
      <c r="K848" t="s">
        <v>1799</v>
      </c>
      <c r="L848" s="25">
        <v>0.77508101851851852</v>
      </c>
      <c r="M848">
        <v>0.60819999999999996</v>
      </c>
      <c r="N848">
        <v>4.1100000000000005E-2</v>
      </c>
      <c r="O848">
        <v>2618</v>
      </c>
      <c r="P848">
        <v>1</v>
      </c>
      <c r="Q848" t="s">
        <v>1238</v>
      </c>
      <c r="R848" t="s">
        <v>1239</v>
      </c>
      <c r="S848" t="s">
        <v>1232</v>
      </c>
      <c r="T848">
        <v>3</v>
      </c>
    </row>
    <row r="849" spans="1:20" x14ac:dyDescent="0.3">
      <c r="A849" t="s">
        <v>860</v>
      </c>
      <c r="B849" t="s">
        <v>861</v>
      </c>
      <c r="C849">
        <v>2407</v>
      </c>
      <c r="D849">
        <v>104</v>
      </c>
      <c r="E849">
        <v>107</v>
      </c>
      <c r="F849">
        <v>60.82</v>
      </c>
      <c r="G849">
        <v>19105</v>
      </c>
      <c r="H849">
        <v>2185</v>
      </c>
      <c r="I849">
        <v>4.1100000000000003</v>
      </c>
      <c r="J849" t="s">
        <v>42</v>
      </c>
      <c r="K849" t="s">
        <v>1800</v>
      </c>
      <c r="L849" s="25">
        <v>0.77508101851851852</v>
      </c>
      <c r="M849">
        <v>0.60819999999999996</v>
      </c>
      <c r="N849">
        <v>4.1100000000000005E-2</v>
      </c>
      <c r="O849">
        <v>2618</v>
      </c>
      <c r="P849">
        <v>1</v>
      </c>
      <c r="Q849" t="s">
        <v>1238</v>
      </c>
      <c r="R849" t="s">
        <v>1239</v>
      </c>
      <c r="S849" t="s">
        <v>1232</v>
      </c>
      <c r="T849">
        <v>3</v>
      </c>
    </row>
    <row r="850" spans="1:20" x14ac:dyDescent="0.3">
      <c r="A850" t="s">
        <v>860</v>
      </c>
      <c r="B850" t="s">
        <v>861</v>
      </c>
      <c r="C850">
        <v>2407</v>
      </c>
      <c r="D850">
        <v>104</v>
      </c>
      <c r="E850">
        <v>107</v>
      </c>
      <c r="F850">
        <v>60.82</v>
      </c>
      <c r="G850">
        <v>19105</v>
      </c>
      <c r="H850">
        <v>2185</v>
      </c>
      <c r="I850">
        <v>4.1100000000000003</v>
      </c>
      <c r="J850" t="s">
        <v>42</v>
      </c>
      <c r="K850" t="s">
        <v>1561</v>
      </c>
      <c r="L850" s="25">
        <v>0.77508101851851852</v>
      </c>
      <c r="M850">
        <v>0.60819999999999996</v>
      </c>
      <c r="N850">
        <v>4.1100000000000005E-2</v>
      </c>
      <c r="O850">
        <v>2618</v>
      </c>
      <c r="P850">
        <v>1</v>
      </c>
      <c r="Q850" t="s">
        <v>1238</v>
      </c>
      <c r="R850" t="s">
        <v>1239</v>
      </c>
      <c r="S850" t="s">
        <v>1232</v>
      </c>
      <c r="T850">
        <v>3</v>
      </c>
    </row>
    <row r="851" spans="1:20" x14ac:dyDescent="0.3">
      <c r="A851" t="s">
        <v>863</v>
      </c>
      <c r="B851" t="s">
        <v>864</v>
      </c>
      <c r="C851">
        <v>6075</v>
      </c>
      <c r="D851">
        <v>3104</v>
      </c>
      <c r="E851">
        <v>96</v>
      </c>
      <c r="F851">
        <v>91.12</v>
      </c>
      <c r="G851">
        <v>74675</v>
      </c>
      <c r="H851">
        <v>79529</v>
      </c>
      <c r="I851">
        <v>0.53</v>
      </c>
      <c r="J851" t="s">
        <v>42</v>
      </c>
      <c r="K851" t="s">
        <v>1801</v>
      </c>
      <c r="L851" s="25">
        <v>0.68501157407407409</v>
      </c>
      <c r="M851">
        <v>0.91120000000000001</v>
      </c>
      <c r="N851">
        <v>5.3E-3</v>
      </c>
      <c r="O851">
        <v>9275</v>
      </c>
      <c r="P851">
        <v>0.11662412453318916</v>
      </c>
      <c r="Q851" t="s">
        <v>1238</v>
      </c>
      <c r="R851" t="s">
        <v>1239</v>
      </c>
      <c r="S851" t="s">
        <v>1230</v>
      </c>
      <c r="T851">
        <v>3</v>
      </c>
    </row>
    <row r="852" spans="1:20" x14ac:dyDescent="0.3">
      <c r="A852" t="s">
        <v>863</v>
      </c>
      <c r="B852" t="s">
        <v>864</v>
      </c>
      <c r="C852">
        <v>6075</v>
      </c>
      <c r="D852">
        <v>3104</v>
      </c>
      <c r="E852">
        <v>96</v>
      </c>
      <c r="F852">
        <v>91.12</v>
      </c>
      <c r="G852">
        <v>74675</v>
      </c>
      <c r="H852">
        <v>79529</v>
      </c>
      <c r="I852">
        <v>0.53</v>
      </c>
      <c r="J852" t="s">
        <v>42</v>
      </c>
      <c r="K852" t="s">
        <v>1427</v>
      </c>
      <c r="L852" s="25">
        <v>0.68501157407407409</v>
      </c>
      <c r="M852">
        <v>0.91120000000000001</v>
      </c>
      <c r="N852">
        <v>5.3E-3</v>
      </c>
      <c r="O852">
        <v>9275</v>
      </c>
      <c r="P852">
        <v>0.11662412453318916</v>
      </c>
      <c r="Q852" t="s">
        <v>1238</v>
      </c>
      <c r="R852" t="s">
        <v>1239</v>
      </c>
      <c r="S852" t="s">
        <v>1230</v>
      </c>
      <c r="T852">
        <v>3</v>
      </c>
    </row>
    <row r="853" spans="1:20" x14ac:dyDescent="0.3">
      <c r="A853" t="s">
        <v>863</v>
      </c>
      <c r="B853" t="s">
        <v>864</v>
      </c>
      <c r="C853">
        <v>6075</v>
      </c>
      <c r="D853">
        <v>3104</v>
      </c>
      <c r="E853">
        <v>96</v>
      </c>
      <c r="F853">
        <v>91.12</v>
      </c>
      <c r="G853">
        <v>74675</v>
      </c>
      <c r="H853">
        <v>79529</v>
      </c>
      <c r="I853">
        <v>0.53</v>
      </c>
      <c r="J853" t="s">
        <v>42</v>
      </c>
      <c r="K853" t="s">
        <v>1802</v>
      </c>
      <c r="L853" s="25">
        <v>0.68501157407407409</v>
      </c>
      <c r="M853">
        <v>0.91120000000000001</v>
      </c>
      <c r="N853">
        <v>5.3E-3</v>
      </c>
      <c r="O853">
        <v>9275</v>
      </c>
      <c r="P853">
        <v>0.11662412453318916</v>
      </c>
      <c r="Q853" t="s">
        <v>1238</v>
      </c>
      <c r="R853" t="s">
        <v>1239</v>
      </c>
      <c r="S853" t="s">
        <v>1230</v>
      </c>
      <c r="T853">
        <v>3</v>
      </c>
    </row>
    <row r="854" spans="1:20" x14ac:dyDescent="0.3">
      <c r="A854" t="s">
        <v>866</v>
      </c>
      <c r="B854" t="s">
        <v>867</v>
      </c>
      <c r="C854">
        <v>6049</v>
      </c>
      <c r="D854">
        <v>3769</v>
      </c>
      <c r="E854">
        <v>989</v>
      </c>
      <c r="F854">
        <v>14.13</v>
      </c>
      <c r="G854">
        <v>45885</v>
      </c>
      <c r="H854">
        <v>45469</v>
      </c>
      <c r="I854">
        <v>0.81</v>
      </c>
      <c r="J854" t="s">
        <v>12</v>
      </c>
      <c r="K854" t="s">
        <v>1803</v>
      </c>
      <c r="L854" s="25">
        <v>0.23876157407407408</v>
      </c>
      <c r="M854">
        <v>0.14130000000000001</v>
      </c>
      <c r="N854">
        <v>8.1000000000000013E-3</v>
      </c>
      <c r="O854">
        <v>10807</v>
      </c>
      <c r="P854">
        <v>0.23767841826299238</v>
      </c>
      <c r="Q854" t="s">
        <v>1238</v>
      </c>
      <c r="R854" t="s">
        <v>1239</v>
      </c>
      <c r="S854" t="s">
        <v>1231</v>
      </c>
      <c r="T854">
        <v>3</v>
      </c>
    </row>
    <row r="855" spans="1:20" x14ac:dyDescent="0.3">
      <c r="A855" t="s">
        <v>866</v>
      </c>
      <c r="B855" t="s">
        <v>867</v>
      </c>
      <c r="C855">
        <v>6049</v>
      </c>
      <c r="D855">
        <v>3769</v>
      </c>
      <c r="E855">
        <v>989</v>
      </c>
      <c r="F855">
        <v>14.13</v>
      </c>
      <c r="G855">
        <v>45885</v>
      </c>
      <c r="H855">
        <v>45469</v>
      </c>
      <c r="I855">
        <v>0.81</v>
      </c>
      <c r="J855" t="s">
        <v>12</v>
      </c>
      <c r="K855" t="s">
        <v>1304</v>
      </c>
      <c r="L855" s="25">
        <v>0.23876157407407408</v>
      </c>
      <c r="M855">
        <v>0.14130000000000001</v>
      </c>
      <c r="N855">
        <v>8.1000000000000013E-3</v>
      </c>
      <c r="O855">
        <v>10807</v>
      </c>
      <c r="P855">
        <v>0.23767841826299238</v>
      </c>
      <c r="Q855" t="s">
        <v>1238</v>
      </c>
      <c r="R855" t="s">
        <v>1239</v>
      </c>
      <c r="S855" t="s">
        <v>1231</v>
      </c>
      <c r="T855">
        <v>3</v>
      </c>
    </row>
    <row r="856" spans="1:20" x14ac:dyDescent="0.3">
      <c r="A856" t="s">
        <v>866</v>
      </c>
      <c r="B856" t="s">
        <v>867</v>
      </c>
      <c r="C856">
        <v>6049</v>
      </c>
      <c r="D856">
        <v>3769</v>
      </c>
      <c r="E856">
        <v>989</v>
      </c>
      <c r="F856">
        <v>14.13</v>
      </c>
      <c r="G856">
        <v>45885</v>
      </c>
      <c r="H856">
        <v>45469</v>
      </c>
      <c r="I856">
        <v>0.81</v>
      </c>
      <c r="J856" t="s">
        <v>12</v>
      </c>
      <c r="K856" t="s">
        <v>1655</v>
      </c>
      <c r="L856" s="25">
        <v>0.23876157407407408</v>
      </c>
      <c r="M856">
        <v>0.14130000000000001</v>
      </c>
      <c r="N856">
        <v>8.1000000000000013E-3</v>
      </c>
      <c r="O856">
        <v>10807</v>
      </c>
      <c r="P856">
        <v>0.23767841826299238</v>
      </c>
      <c r="Q856" t="s">
        <v>1238</v>
      </c>
      <c r="R856" t="s">
        <v>1239</v>
      </c>
      <c r="S856" t="s">
        <v>1231</v>
      </c>
      <c r="T856">
        <v>3</v>
      </c>
    </row>
    <row r="857" spans="1:20" x14ac:dyDescent="0.3">
      <c r="A857" t="s">
        <v>869</v>
      </c>
      <c r="B857" t="s">
        <v>870</v>
      </c>
      <c r="C857">
        <v>3169</v>
      </c>
      <c r="D857">
        <v>2964</v>
      </c>
      <c r="E857">
        <v>78</v>
      </c>
      <c r="F857">
        <v>63.68</v>
      </c>
      <c r="G857">
        <v>32246</v>
      </c>
      <c r="H857">
        <v>61261</v>
      </c>
      <c r="I857">
        <v>7.85</v>
      </c>
      <c r="J857" t="s">
        <v>16</v>
      </c>
      <c r="K857" t="s">
        <v>1704</v>
      </c>
      <c r="L857" s="25">
        <v>0.52379629629629632</v>
      </c>
      <c r="M857">
        <v>0.63680000000000003</v>
      </c>
      <c r="N857">
        <v>7.85E-2</v>
      </c>
      <c r="O857">
        <v>6211</v>
      </c>
      <c r="P857">
        <v>0.10138587355740193</v>
      </c>
      <c r="Q857" t="s">
        <v>1238</v>
      </c>
      <c r="R857" t="s">
        <v>1239</v>
      </c>
      <c r="S857" t="s">
        <v>1230</v>
      </c>
      <c r="T857">
        <v>3</v>
      </c>
    </row>
    <row r="858" spans="1:20" x14ac:dyDescent="0.3">
      <c r="A858" t="s">
        <v>869</v>
      </c>
      <c r="B858" t="s">
        <v>870</v>
      </c>
      <c r="C858">
        <v>3169</v>
      </c>
      <c r="D858">
        <v>2964</v>
      </c>
      <c r="E858">
        <v>78</v>
      </c>
      <c r="F858">
        <v>63.68</v>
      </c>
      <c r="G858">
        <v>32246</v>
      </c>
      <c r="H858">
        <v>61261</v>
      </c>
      <c r="I858">
        <v>7.85</v>
      </c>
      <c r="J858" t="s">
        <v>16</v>
      </c>
      <c r="K858" t="s">
        <v>1532</v>
      </c>
      <c r="L858" s="25">
        <v>0.52379629629629632</v>
      </c>
      <c r="M858">
        <v>0.63680000000000003</v>
      </c>
      <c r="N858">
        <v>7.85E-2</v>
      </c>
      <c r="O858">
        <v>6211</v>
      </c>
      <c r="P858">
        <v>0.10138587355740193</v>
      </c>
      <c r="Q858" t="s">
        <v>1238</v>
      </c>
      <c r="R858" t="s">
        <v>1239</v>
      </c>
      <c r="S858" t="s">
        <v>1230</v>
      </c>
      <c r="T858">
        <v>3</v>
      </c>
    </row>
    <row r="859" spans="1:20" x14ac:dyDescent="0.3">
      <c r="A859" t="s">
        <v>869</v>
      </c>
      <c r="B859" t="s">
        <v>870</v>
      </c>
      <c r="C859">
        <v>3169</v>
      </c>
      <c r="D859">
        <v>2964</v>
      </c>
      <c r="E859">
        <v>78</v>
      </c>
      <c r="F859">
        <v>63.68</v>
      </c>
      <c r="G859">
        <v>32246</v>
      </c>
      <c r="H859">
        <v>61261</v>
      </c>
      <c r="I859">
        <v>7.85</v>
      </c>
      <c r="J859" t="s">
        <v>16</v>
      </c>
      <c r="K859" t="s">
        <v>1311</v>
      </c>
      <c r="L859" s="25">
        <v>0.52379629629629632</v>
      </c>
      <c r="M859">
        <v>0.63680000000000003</v>
      </c>
      <c r="N859">
        <v>7.85E-2</v>
      </c>
      <c r="O859">
        <v>6211</v>
      </c>
      <c r="P859">
        <v>0.10138587355740193</v>
      </c>
      <c r="Q859" t="s">
        <v>1238</v>
      </c>
      <c r="R859" t="s">
        <v>1239</v>
      </c>
      <c r="S859" t="s">
        <v>1230</v>
      </c>
      <c r="T859">
        <v>3</v>
      </c>
    </row>
    <row r="860" spans="1:20" x14ac:dyDescent="0.3">
      <c r="A860" t="s">
        <v>872</v>
      </c>
      <c r="B860" t="s">
        <v>873</v>
      </c>
      <c r="C860">
        <v>220</v>
      </c>
      <c r="D860">
        <v>3590</v>
      </c>
      <c r="E860">
        <v>1276</v>
      </c>
      <c r="F860">
        <v>96.26</v>
      </c>
      <c r="G860">
        <v>83475</v>
      </c>
      <c r="H860">
        <v>44117</v>
      </c>
      <c r="I860">
        <v>5.75</v>
      </c>
      <c r="J860" t="s">
        <v>20</v>
      </c>
      <c r="K860" t="s">
        <v>1804</v>
      </c>
      <c r="L860" s="25">
        <v>0.8247106481481481</v>
      </c>
      <c r="M860">
        <v>0.96260000000000001</v>
      </c>
      <c r="N860">
        <v>5.7500000000000002E-2</v>
      </c>
      <c r="O860">
        <v>5086</v>
      </c>
      <c r="P860">
        <v>0.11528435750391006</v>
      </c>
      <c r="Q860" t="s">
        <v>1238</v>
      </c>
      <c r="R860" t="s">
        <v>1239</v>
      </c>
      <c r="S860" t="s">
        <v>1232</v>
      </c>
      <c r="T860">
        <v>3</v>
      </c>
    </row>
    <row r="861" spans="1:20" x14ac:dyDescent="0.3">
      <c r="A861" t="s">
        <v>872</v>
      </c>
      <c r="B861" t="s">
        <v>873</v>
      </c>
      <c r="C861">
        <v>220</v>
      </c>
      <c r="D861">
        <v>3590</v>
      </c>
      <c r="E861">
        <v>1276</v>
      </c>
      <c r="F861">
        <v>96.26</v>
      </c>
      <c r="G861">
        <v>83475</v>
      </c>
      <c r="H861">
        <v>44117</v>
      </c>
      <c r="I861">
        <v>5.75</v>
      </c>
      <c r="J861" t="s">
        <v>20</v>
      </c>
      <c r="K861" t="s">
        <v>1345</v>
      </c>
      <c r="L861" s="25">
        <v>0.8247106481481481</v>
      </c>
      <c r="M861">
        <v>0.96260000000000001</v>
      </c>
      <c r="N861">
        <v>5.7500000000000002E-2</v>
      </c>
      <c r="O861">
        <v>5086</v>
      </c>
      <c r="P861">
        <v>0.11528435750391006</v>
      </c>
      <c r="Q861" t="s">
        <v>1238</v>
      </c>
      <c r="R861" t="s">
        <v>1239</v>
      </c>
      <c r="S861" t="s">
        <v>1232</v>
      </c>
      <c r="T861">
        <v>3</v>
      </c>
    </row>
    <row r="862" spans="1:20" x14ac:dyDescent="0.3">
      <c r="A862" t="s">
        <v>872</v>
      </c>
      <c r="B862" t="s">
        <v>873</v>
      </c>
      <c r="C862">
        <v>220</v>
      </c>
      <c r="D862">
        <v>3590</v>
      </c>
      <c r="E862">
        <v>1276</v>
      </c>
      <c r="F862">
        <v>96.26</v>
      </c>
      <c r="G862">
        <v>83475</v>
      </c>
      <c r="H862">
        <v>44117</v>
      </c>
      <c r="I862">
        <v>5.75</v>
      </c>
      <c r="J862" t="s">
        <v>20</v>
      </c>
      <c r="K862" t="s">
        <v>1716</v>
      </c>
      <c r="L862" s="25">
        <v>0.8247106481481481</v>
      </c>
      <c r="M862">
        <v>0.96260000000000001</v>
      </c>
      <c r="N862">
        <v>5.7500000000000002E-2</v>
      </c>
      <c r="O862">
        <v>5086</v>
      </c>
      <c r="P862">
        <v>0.11528435750391006</v>
      </c>
      <c r="Q862" t="s">
        <v>1238</v>
      </c>
      <c r="R862" t="s">
        <v>1239</v>
      </c>
      <c r="S862" t="s">
        <v>1232</v>
      </c>
      <c r="T862">
        <v>3</v>
      </c>
    </row>
    <row r="863" spans="1:20" x14ac:dyDescent="0.3">
      <c r="A863" t="s">
        <v>875</v>
      </c>
      <c r="B863" t="s">
        <v>876</v>
      </c>
      <c r="C863">
        <v>3368</v>
      </c>
      <c r="D863">
        <v>1099</v>
      </c>
      <c r="E863">
        <v>1458</v>
      </c>
      <c r="F863">
        <v>83.24</v>
      </c>
      <c r="G863">
        <v>18400</v>
      </c>
      <c r="H863">
        <v>52414</v>
      </c>
      <c r="I863">
        <v>8.66</v>
      </c>
      <c r="J863" t="s">
        <v>42</v>
      </c>
      <c r="K863" t="s">
        <v>1630</v>
      </c>
      <c r="L863" s="25">
        <v>0.47069444444444447</v>
      </c>
      <c r="M863">
        <v>0.83239999999999992</v>
      </c>
      <c r="N863">
        <v>8.6599999999999996E-2</v>
      </c>
      <c r="O863">
        <v>5925</v>
      </c>
      <c r="P863">
        <v>0.11304231693822261</v>
      </c>
      <c r="Q863" t="s">
        <v>1238</v>
      </c>
      <c r="R863" t="s">
        <v>1239</v>
      </c>
      <c r="S863" t="s">
        <v>1231</v>
      </c>
      <c r="T863">
        <v>3</v>
      </c>
    </row>
    <row r="864" spans="1:20" x14ac:dyDescent="0.3">
      <c r="A864" t="s">
        <v>875</v>
      </c>
      <c r="B864" t="s">
        <v>876</v>
      </c>
      <c r="C864">
        <v>3368</v>
      </c>
      <c r="D864">
        <v>1099</v>
      </c>
      <c r="E864">
        <v>1458</v>
      </c>
      <c r="F864">
        <v>83.24</v>
      </c>
      <c r="G864">
        <v>18400</v>
      </c>
      <c r="H864">
        <v>52414</v>
      </c>
      <c r="I864">
        <v>8.66</v>
      </c>
      <c r="J864" t="s">
        <v>42</v>
      </c>
      <c r="K864" t="s">
        <v>1298</v>
      </c>
      <c r="L864" s="25">
        <v>0.47069444444444447</v>
      </c>
      <c r="M864">
        <v>0.83239999999999992</v>
      </c>
      <c r="N864">
        <v>8.6599999999999996E-2</v>
      </c>
      <c r="O864">
        <v>5925</v>
      </c>
      <c r="P864">
        <v>0.11304231693822261</v>
      </c>
      <c r="Q864" t="s">
        <v>1238</v>
      </c>
      <c r="R864" t="s">
        <v>1239</v>
      </c>
      <c r="S864" t="s">
        <v>1231</v>
      </c>
      <c r="T864">
        <v>3</v>
      </c>
    </row>
    <row r="865" spans="1:20" x14ac:dyDescent="0.3">
      <c r="A865" t="s">
        <v>875</v>
      </c>
      <c r="B865" t="s">
        <v>876</v>
      </c>
      <c r="C865">
        <v>3368</v>
      </c>
      <c r="D865">
        <v>1099</v>
      </c>
      <c r="E865">
        <v>1458</v>
      </c>
      <c r="F865">
        <v>83.24</v>
      </c>
      <c r="G865">
        <v>18400</v>
      </c>
      <c r="H865">
        <v>52414</v>
      </c>
      <c r="I865">
        <v>8.66</v>
      </c>
      <c r="J865" t="s">
        <v>42</v>
      </c>
      <c r="K865" t="s">
        <v>1632</v>
      </c>
      <c r="L865" s="25">
        <v>0.47069444444444447</v>
      </c>
      <c r="M865">
        <v>0.83239999999999992</v>
      </c>
      <c r="N865">
        <v>8.6599999999999996E-2</v>
      </c>
      <c r="O865">
        <v>5925</v>
      </c>
      <c r="P865">
        <v>0.11304231693822261</v>
      </c>
      <c r="Q865" t="s">
        <v>1238</v>
      </c>
      <c r="R865" t="s">
        <v>1239</v>
      </c>
      <c r="S865" t="s">
        <v>1231</v>
      </c>
      <c r="T865">
        <v>3</v>
      </c>
    </row>
    <row r="866" spans="1:20" x14ac:dyDescent="0.3">
      <c r="A866" t="s">
        <v>878</v>
      </c>
      <c r="B866" t="s">
        <v>879</v>
      </c>
      <c r="C866">
        <v>7251</v>
      </c>
      <c r="D866">
        <v>4210</v>
      </c>
      <c r="E866">
        <v>766</v>
      </c>
      <c r="F866">
        <v>61.32</v>
      </c>
      <c r="G866">
        <v>48010</v>
      </c>
      <c r="H866">
        <v>1410</v>
      </c>
      <c r="I866">
        <v>2.72</v>
      </c>
      <c r="J866" t="s">
        <v>16</v>
      </c>
      <c r="K866" t="s">
        <v>1805</v>
      </c>
      <c r="L866" s="25">
        <v>8.503472222222222E-2</v>
      </c>
      <c r="M866">
        <v>0.61319999999999997</v>
      </c>
      <c r="N866">
        <v>2.7200000000000002E-2</v>
      </c>
      <c r="O866">
        <v>12227</v>
      </c>
      <c r="P866">
        <v>1</v>
      </c>
      <c r="Q866" t="s">
        <v>1238</v>
      </c>
      <c r="R866" t="s">
        <v>1239</v>
      </c>
      <c r="S866" t="s">
        <v>1231</v>
      </c>
      <c r="T866">
        <v>3</v>
      </c>
    </row>
    <row r="867" spans="1:20" x14ac:dyDescent="0.3">
      <c r="A867" t="s">
        <v>878</v>
      </c>
      <c r="B867" t="s">
        <v>879</v>
      </c>
      <c r="C867">
        <v>7251</v>
      </c>
      <c r="D867">
        <v>4210</v>
      </c>
      <c r="E867">
        <v>766</v>
      </c>
      <c r="F867">
        <v>61.32</v>
      </c>
      <c r="G867">
        <v>48010</v>
      </c>
      <c r="H867">
        <v>1410</v>
      </c>
      <c r="I867">
        <v>2.72</v>
      </c>
      <c r="J867" t="s">
        <v>16</v>
      </c>
      <c r="K867" t="s">
        <v>1806</v>
      </c>
      <c r="L867" s="25">
        <v>8.503472222222222E-2</v>
      </c>
      <c r="M867">
        <v>0.61319999999999997</v>
      </c>
      <c r="N867">
        <v>2.7200000000000002E-2</v>
      </c>
      <c r="O867">
        <v>12227</v>
      </c>
      <c r="P867">
        <v>1</v>
      </c>
      <c r="Q867" t="s">
        <v>1238</v>
      </c>
      <c r="R867" t="s">
        <v>1239</v>
      </c>
      <c r="S867" t="s">
        <v>1231</v>
      </c>
      <c r="T867">
        <v>3</v>
      </c>
    </row>
    <row r="868" spans="1:20" x14ac:dyDescent="0.3">
      <c r="A868" t="s">
        <v>878</v>
      </c>
      <c r="B868" t="s">
        <v>879</v>
      </c>
      <c r="C868">
        <v>7251</v>
      </c>
      <c r="D868">
        <v>4210</v>
      </c>
      <c r="E868">
        <v>766</v>
      </c>
      <c r="F868">
        <v>61.32</v>
      </c>
      <c r="G868">
        <v>48010</v>
      </c>
      <c r="H868">
        <v>1410</v>
      </c>
      <c r="I868">
        <v>2.72</v>
      </c>
      <c r="J868" t="s">
        <v>16</v>
      </c>
      <c r="K868" t="s">
        <v>1807</v>
      </c>
      <c r="L868" s="25">
        <v>8.503472222222222E-2</v>
      </c>
      <c r="M868">
        <v>0.61319999999999997</v>
      </c>
      <c r="N868">
        <v>2.7200000000000002E-2</v>
      </c>
      <c r="O868">
        <v>12227</v>
      </c>
      <c r="P868">
        <v>1</v>
      </c>
      <c r="Q868" t="s">
        <v>1238</v>
      </c>
      <c r="R868" t="s">
        <v>1239</v>
      </c>
      <c r="S868" t="s">
        <v>1231</v>
      </c>
      <c r="T868">
        <v>3</v>
      </c>
    </row>
    <row r="869" spans="1:20" x14ac:dyDescent="0.3">
      <c r="A869" t="s">
        <v>881</v>
      </c>
      <c r="B869" t="s">
        <v>882</v>
      </c>
      <c r="C869">
        <v>6106</v>
      </c>
      <c r="D869">
        <v>3379</v>
      </c>
      <c r="E869">
        <v>233</v>
      </c>
      <c r="F869">
        <v>52.21</v>
      </c>
      <c r="G869">
        <v>49983</v>
      </c>
      <c r="H869">
        <v>69328</v>
      </c>
      <c r="I869">
        <v>3.23</v>
      </c>
      <c r="J869" t="s">
        <v>20</v>
      </c>
      <c r="K869" t="s">
        <v>1748</v>
      </c>
      <c r="L869" s="25">
        <v>0.90559027777777779</v>
      </c>
      <c r="M869">
        <v>0.52210000000000001</v>
      </c>
      <c r="N869">
        <v>3.2300000000000002E-2</v>
      </c>
      <c r="O869">
        <v>9718</v>
      </c>
      <c r="P869">
        <v>0.14017424417262866</v>
      </c>
      <c r="Q869" t="s">
        <v>1238</v>
      </c>
      <c r="R869" t="s">
        <v>1239</v>
      </c>
      <c r="S869" t="s">
        <v>1233</v>
      </c>
      <c r="T869">
        <v>3</v>
      </c>
    </row>
    <row r="870" spans="1:20" x14ac:dyDescent="0.3">
      <c r="A870" t="s">
        <v>881</v>
      </c>
      <c r="B870" t="s">
        <v>882</v>
      </c>
      <c r="C870">
        <v>6106</v>
      </c>
      <c r="D870">
        <v>3379</v>
      </c>
      <c r="E870">
        <v>233</v>
      </c>
      <c r="F870">
        <v>52.21</v>
      </c>
      <c r="G870">
        <v>49983</v>
      </c>
      <c r="H870">
        <v>69328</v>
      </c>
      <c r="I870">
        <v>3.23</v>
      </c>
      <c r="J870" t="s">
        <v>20</v>
      </c>
      <c r="K870" t="s">
        <v>1474</v>
      </c>
      <c r="L870" s="25">
        <v>0.90559027777777779</v>
      </c>
      <c r="M870">
        <v>0.52210000000000001</v>
      </c>
      <c r="N870">
        <v>3.2300000000000002E-2</v>
      </c>
      <c r="O870">
        <v>9718</v>
      </c>
      <c r="P870">
        <v>0.14017424417262866</v>
      </c>
      <c r="Q870" t="s">
        <v>1238</v>
      </c>
      <c r="R870" t="s">
        <v>1239</v>
      </c>
      <c r="S870" t="s">
        <v>1233</v>
      </c>
      <c r="T870">
        <v>3</v>
      </c>
    </row>
    <row r="871" spans="1:20" x14ac:dyDescent="0.3">
      <c r="A871" t="s">
        <v>881</v>
      </c>
      <c r="B871" t="s">
        <v>882</v>
      </c>
      <c r="C871">
        <v>6106</v>
      </c>
      <c r="D871">
        <v>3379</v>
      </c>
      <c r="E871">
        <v>233</v>
      </c>
      <c r="F871">
        <v>52.21</v>
      </c>
      <c r="G871">
        <v>49983</v>
      </c>
      <c r="H871">
        <v>69328</v>
      </c>
      <c r="I871">
        <v>3.23</v>
      </c>
      <c r="J871" t="s">
        <v>20</v>
      </c>
      <c r="K871" t="s">
        <v>1808</v>
      </c>
      <c r="L871" s="25">
        <v>0.90559027777777779</v>
      </c>
      <c r="M871">
        <v>0.52210000000000001</v>
      </c>
      <c r="N871">
        <v>3.2300000000000002E-2</v>
      </c>
      <c r="O871">
        <v>9718</v>
      </c>
      <c r="P871">
        <v>0.14017424417262866</v>
      </c>
      <c r="Q871" t="s">
        <v>1238</v>
      </c>
      <c r="R871" t="s">
        <v>1239</v>
      </c>
      <c r="S871" t="s">
        <v>1233</v>
      </c>
      <c r="T871">
        <v>3</v>
      </c>
    </row>
    <row r="872" spans="1:20" x14ac:dyDescent="0.3">
      <c r="A872" t="s">
        <v>884</v>
      </c>
      <c r="B872" t="s">
        <v>885</v>
      </c>
      <c r="C872">
        <v>6737</v>
      </c>
      <c r="D872">
        <v>352</v>
      </c>
      <c r="E872">
        <v>159</v>
      </c>
      <c r="F872">
        <v>97.22</v>
      </c>
      <c r="G872">
        <v>42428</v>
      </c>
      <c r="H872">
        <v>69770</v>
      </c>
      <c r="I872">
        <v>7.94</v>
      </c>
      <c r="J872" t="s">
        <v>20</v>
      </c>
      <c r="K872" t="s">
        <v>1809</v>
      </c>
      <c r="L872" s="25">
        <v>0.89042824074074078</v>
      </c>
      <c r="M872">
        <v>0.97219999999999995</v>
      </c>
      <c r="N872">
        <v>7.9399999999999998E-2</v>
      </c>
      <c r="O872">
        <v>7248</v>
      </c>
      <c r="P872">
        <v>0.10388419091299986</v>
      </c>
      <c r="Q872" t="s">
        <v>1238</v>
      </c>
      <c r="R872" t="s">
        <v>1239</v>
      </c>
      <c r="S872" t="s">
        <v>1233</v>
      </c>
      <c r="T872">
        <v>3</v>
      </c>
    </row>
    <row r="873" spans="1:20" x14ac:dyDescent="0.3">
      <c r="A873" t="s">
        <v>884</v>
      </c>
      <c r="B873" t="s">
        <v>885</v>
      </c>
      <c r="C873">
        <v>6737</v>
      </c>
      <c r="D873">
        <v>352</v>
      </c>
      <c r="E873">
        <v>159</v>
      </c>
      <c r="F873">
        <v>97.22</v>
      </c>
      <c r="G873">
        <v>42428</v>
      </c>
      <c r="H873">
        <v>69770</v>
      </c>
      <c r="I873">
        <v>7.94</v>
      </c>
      <c r="J873" t="s">
        <v>20</v>
      </c>
      <c r="K873" t="s">
        <v>1810</v>
      </c>
      <c r="L873" s="25">
        <v>0.89042824074074078</v>
      </c>
      <c r="M873">
        <v>0.97219999999999995</v>
      </c>
      <c r="N873">
        <v>7.9399999999999998E-2</v>
      </c>
      <c r="O873">
        <v>7248</v>
      </c>
      <c r="P873">
        <v>0.10388419091299986</v>
      </c>
      <c r="Q873" t="s">
        <v>1238</v>
      </c>
      <c r="R873" t="s">
        <v>1239</v>
      </c>
      <c r="S873" t="s">
        <v>1233</v>
      </c>
      <c r="T873">
        <v>3</v>
      </c>
    </row>
    <row r="874" spans="1:20" x14ac:dyDescent="0.3">
      <c r="A874" t="s">
        <v>884</v>
      </c>
      <c r="B874" t="s">
        <v>885</v>
      </c>
      <c r="C874">
        <v>6737</v>
      </c>
      <c r="D874">
        <v>352</v>
      </c>
      <c r="E874">
        <v>159</v>
      </c>
      <c r="F874">
        <v>97.22</v>
      </c>
      <c r="G874">
        <v>42428</v>
      </c>
      <c r="H874">
        <v>69770</v>
      </c>
      <c r="I874">
        <v>7.94</v>
      </c>
      <c r="J874" t="s">
        <v>20</v>
      </c>
      <c r="K874" t="s">
        <v>1534</v>
      </c>
      <c r="L874" s="25">
        <v>0.89042824074074078</v>
      </c>
      <c r="M874">
        <v>0.97219999999999995</v>
      </c>
      <c r="N874">
        <v>7.9399999999999998E-2</v>
      </c>
      <c r="O874">
        <v>7248</v>
      </c>
      <c r="P874">
        <v>0.10388419091299986</v>
      </c>
      <c r="Q874" t="s">
        <v>1238</v>
      </c>
      <c r="R874" t="s">
        <v>1239</v>
      </c>
      <c r="S874" t="s">
        <v>1233</v>
      </c>
      <c r="T874">
        <v>3</v>
      </c>
    </row>
    <row r="875" spans="1:20" x14ac:dyDescent="0.3">
      <c r="A875" t="s">
        <v>887</v>
      </c>
      <c r="B875" t="s">
        <v>888</v>
      </c>
      <c r="C875">
        <v>2258</v>
      </c>
      <c r="D875">
        <v>4556</v>
      </c>
      <c r="E875">
        <v>1112</v>
      </c>
      <c r="F875">
        <v>76.87</v>
      </c>
      <c r="G875">
        <v>35105</v>
      </c>
      <c r="H875">
        <v>30815</v>
      </c>
      <c r="I875">
        <v>0.27</v>
      </c>
      <c r="J875" t="s">
        <v>16</v>
      </c>
      <c r="K875" t="s">
        <v>1528</v>
      </c>
      <c r="L875" s="25">
        <v>0.36984953703703705</v>
      </c>
      <c r="M875">
        <v>0.76870000000000005</v>
      </c>
      <c r="N875">
        <v>2.7000000000000001E-3</v>
      </c>
      <c r="O875">
        <v>7926</v>
      </c>
      <c r="P875">
        <v>0.25721239656011685</v>
      </c>
      <c r="Q875" t="s">
        <v>1238</v>
      </c>
      <c r="R875" t="s">
        <v>1239</v>
      </c>
      <c r="S875" t="s">
        <v>1231</v>
      </c>
      <c r="T875">
        <v>3</v>
      </c>
    </row>
    <row r="876" spans="1:20" x14ac:dyDescent="0.3">
      <c r="A876" t="s">
        <v>887</v>
      </c>
      <c r="B876" t="s">
        <v>888</v>
      </c>
      <c r="C876">
        <v>2258</v>
      </c>
      <c r="D876">
        <v>4556</v>
      </c>
      <c r="E876">
        <v>1112</v>
      </c>
      <c r="F876">
        <v>76.87</v>
      </c>
      <c r="G876">
        <v>35105</v>
      </c>
      <c r="H876">
        <v>30815</v>
      </c>
      <c r="I876">
        <v>0.27</v>
      </c>
      <c r="J876" t="s">
        <v>16</v>
      </c>
      <c r="K876" t="s">
        <v>1811</v>
      </c>
      <c r="L876" s="25">
        <v>0.36984953703703705</v>
      </c>
      <c r="M876">
        <v>0.76870000000000005</v>
      </c>
      <c r="N876">
        <v>2.7000000000000001E-3</v>
      </c>
      <c r="O876">
        <v>7926</v>
      </c>
      <c r="P876">
        <v>0.25721239656011685</v>
      </c>
      <c r="Q876" t="s">
        <v>1238</v>
      </c>
      <c r="R876" t="s">
        <v>1239</v>
      </c>
      <c r="S876" t="s">
        <v>1231</v>
      </c>
      <c r="T876">
        <v>3</v>
      </c>
    </row>
    <row r="877" spans="1:20" x14ac:dyDescent="0.3">
      <c r="A877" t="s">
        <v>887</v>
      </c>
      <c r="B877" t="s">
        <v>888</v>
      </c>
      <c r="C877">
        <v>2258</v>
      </c>
      <c r="D877">
        <v>4556</v>
      </c>
      <c r="E877">
        <v>1112</v>
      </c>
      <c r="F877">
        <v>76.87</v>
      </c>
      <c r="G877">
        <v>35105</v>
      </c>
      <c r="H877">
        <v>30815</v>
      </c>
      <c r="I877">
        <v>0.27</v>
      </c>
      <c r="J877" t="s">
        <v>16</v>
      </c>
      <c r="K877" t="s">
        <v>1650</v>
      </c>
      <c r="L877" s="25">
        <v>0.36984953703703705</v>
      </c>
      <c r="M877">
        <v>0.76870000000000005</v>
      </c>
      <c r="N877">
        <v>2.7000000000000001E-3</v>
      </c>
      <c r="O877">
        <v>7926</v>
      </c>
      <c r="P877">
        <v>0.25721239656011685</v>
      </c>
      <c r="Q877" t="s">
        <v>1238</v>
      </c>
      <c r="R877" t="s">
        <v>1239</v>
      </c>
      <c r="S877" t="s">
        <v>1231</v>
      </c>
      <c r="T877">
        <v>3</v>
      </c>
    </row>
    <row r="878" spans="1:20" x14ac:dyDescent="0.3">
      <c r="A878" t="s">
        <v>890</v>
      </c>
      <c r="B878" t="s">
        <v>891</v>
      </c>
      <c r="C878">
        <v>7181</v>
      </c>
      <c r="D878">
        <v>3071</v>
      </c>
      <c r="E878">
        <v>523</v>
      </c>
      <c r="F878">
        <v>98.25</v>
      </c>
      <c r="G878">
        <v>21517</v>
      </c>
      <c r="H878">
        <v>658</v>
      </c>
      <c r="I878">
        <v>0.2</v>
      </c>
      <c r="J878" t="s">
        <v>20</v>
      </c>
      <c r="K878" t="s">
        <v>1812</v>
      </c>
      <c r="L878" s="25">
        <v>0.37853009259259257</v>
      </c>
      <c r="M878">
        <v>0.98250000000000004</v>
      </c>
      <c r="N878">
        <v>2E-3</v>
      </c>
      <c r="O878">
        <v>10775</v>
      </c>
      <c r="P878">
        <v>1</v>
      </c>
      <c r="Q878" t="s">
        <v>1238</v>
      </c>
      <c r="R878" t="s">
        <v>1239</v>
      </c>
      <c r="S878" t="s">
        <v>1231</v>
      </c>
      <c r="T878">
        <v>3</v>
      </c>
    </row>
    <row r="879" spans="1:20" x14ac:dyDescent="0.3">
      <c r="A879" t="s">
        <v>890</v>
      </c>
      <c r="B879" t="s">
        <v>891</v>
      </c>
      <c r="C879">
        <v>7181</v>
      </c>
      <c r="D879">
        <v>3071</v>
      </c>
      <c r="E879">
        <v>523</v>
      </c>
      <c r="F879">
        <v>98.25</v>
      </c>
      <c r="G879">
        <v>21517</v>
      </c>
      <c r="H879">
        <v>658</v>
      </c>
      <c r="I879">
        <v>0.2</v>
      </c>
      <c r="J879" t="s">
        <v>20</v>
      </c>
      <c r="K879" t="s">
        <v>1485</v>
      </c>
      <c r="L879" s="25">
        <v>0.37853009259259257</v>
      </c>
      <c r="M879">
        <v>0.98250000000000004</v>
      </c>
      <c r="N879">
        <v>2E-3</v>
      </c>
      <c r="O879">
        <v>10775</v>
      </c>
      <c r="P879">
        <v>1</v>
      </c>
      <c r="Q879" t="s">
        <v>1238</v>
      </c>
      <c r="R879" t="s">
        <v>1239</v>
      </c>
      <c r="S879" t="s">
        <v>1231</v>
      </c>
      <c r="T879">
        <v>3</v>
      </c>
    </row>
    <row r="880" spans="1:20" x14ac:dyDescent="0.3">
      <c r="A880" t="s">
        <v>890</v>
      </c>
      <c r="B880" t="s">
        <v>891</v>
      </c>
      <c r="C880">
        <v>7181</v>
      </c>
      <c r="D880">
        <v>3071</v>
      </c>
      <c r="E880">
        <v>523</v>
      </c>
      <c r="F880">
        <v>98.25</v>
      </c>
      <c r="G880">
        <v>21517</v>
      </c>
      <c r="H880">
        <v>658</v>
      </c>
      <c r="I880">
        <v>0.2</v>
      </c>
      <c r="J880" t="s">
        <v>20</v>
      </c>
      <c r="K880" t="s">
        <v>1813</v>
      </c>
      <c r="L880" s="25">
        <v>0.37853009259259257</v>
      </c>
      <c r="M880">
        <v>0.98250000000000004</v>
      </c>
      <c r="N880">
        <v>2E-3</v>
      </c>
      <c r="O880">
        <v>10775</v>
      </c>
      <c r="P880">
        <v>1</v>
      </c>
      <c r="Q880" t="s">
        <v>1238</v>
      </c>
      <c r="R880" t="s">
        <v>1239</v>
      </c>
      <c r="S880" t="s">
        <v>1231</v>
      </c>
      <c r="T880">
        <v>3</v>
      </c>
    </row>
    <row r="881" spans="1:20" x14ac:dyDescent="0.3">
      <c r="A881" t="s">
        <v>893</v>
      </c>
      <c r="B881" t="s">
        <v>894</v>
      </c>
      <c r="C881">
        <v>4245</v>
      </c>
      <c r="D881">
        <v>2244</v>
      </c>
      <c r="E881">
        <v>776</v>
      </c>
      <c r="F881">
        <v>19.05</v>
      </c>
      <c r="G881">
        <v>53640</v>
      </c>
      <c r="H881">
        <v>60479</v>
      </c>
      <c r="I881">
        <v>5.4</v>
      </c>
      <c r="J881" t="s">
        <v>20</v>
      </c>
      <c r="K881" t="s">
        <v>1504</v>
      </c>
      <c r="L881" s="25">
        <v>0.30936342592592592</v>
      </c>
      <c r="M881">
        <v>0.1905</v>
      </c>
      <c r="N881">
        <v>5.4000000000000006E-2</v>
      </c>
      <c r="O881">
        <v>7265</v>
      </c>
      <c r="P881">
        <v>0.12012434068023611</v>
      </c>
      <c r="Q881" t="s">
        <v>1238</v>
      </c>
      <c r="R881" t="s">
        <v>1239</v>
      </c>
      <c r="S881" t="s">
        <v>1231</v>
      </c>
      <c r="T881">
        <v>3</v>
      </c>
    </row>
    <row r="882" spans="1:20" x14ac:dyDescent="0.3">
      <c r="A882" t="s">
        <v>893</v>
      </c>
      <c r="B882" t="s">
        <v>894</v>
      </c>
      <c r="C882">
        <v>4245</v>
      </c>
      <c r="D882">
        <v>2244</v>
      </c>
      <c r="E882">
        <v>776</v>
      </c>
      <c r="F882">
        <v>19.05</v>
      </c>
      <c r="G882">
        <v>53640</v>
      </c>
      <c r="H882">
        <v>60479</v>
      </c>
      <c r="I882">
        <v>5.4</v>
      </c>
      <c r="J882" t="s">
        <v>20</v>
      </c>
      <c r="K882" t="s">
        <v>1814</v>
      </c>
      <c r="L882" s="25">
        <v>0.30936342592592592</v>
      </c>
      <c r="M882">
        <v>0.1905</v>
      </c>
      <c r="N882">
        <v>5.4000000000000006E-2</v>
      </c>
      <c r="O882">
        <v>7265</v>
      </c>
      <c r="P882">
        <v>0.12012434068023611</v>
      </c>
      <c r="Q882" t="s">
        <v>1238</v>
      </c>
      <c r="R882" t="s">
        <v>1239</v>
      </c>
      <c r="S882" t="s">
        <v>1231</v>
      </c>
      <c r="T882">
        <v>3</v>
      </c>
    </row>
    <row r="883" spans="1:20" x14ac:dyDescent="0.3">
      <c r="A883" t="s">
        <v>893</v>
      </c>
      <c r="B883" t="s">
        <v>894</v>
      </c>
      <c r="C883">
        <v>4245</v>
      </c>
      <c r="D883">
        <v>2244</v>
      </c>
      <c r="E883">
        <v>776</v>
      </c>
      <c r="F883">
        <v>19.05</v>
      </c>
      <c r="G883">
        <v>53640</v>
      </c>
      <c r="H883">
        <v>60479</v>
      </c>
      <c r="I883">
        <v>5.4</v>
      </c>
      <c r="J883" t="s">
        <v>20</v>
      </c>
      <c r="K883" t="s">
        <v>1538</v>
      </c>
      <c r="L883" s="25">
        <v>0.30936342592592592</v>
      </c>
      <c r="M883">
        <v>0.1905</v>
      </c>
      <c r="N883">
        <v>5.4000000000000006E-2</v>
      </c>
      <c r="O883">
        <v>7265</v>
      </c>
      <c r="P883">
        <v>0.12012434068023611</v>
      </c>
      <c r="Q883" t="s">
        <v>1238</v>
      </c>
      <c r="R883" t="s">
        <v>1239</v>
      </c>
      <c r="S883" t="s">
        <v>1231</v>
      </c>
      <c r="T883">
        <v>3</v>
      </c>
    </row>
    <row r="884" spans="1:20" x14ac:dyDescent="0.3">
      <c r="A884" t="s">
        <v>896</v>
      </c>
      <c r="B884" t="s">
        <v>897</v>
      </c>
      <c r="C884">
        <v>1502</v>
      </c>
      <c r="D884">
        <v>646</v>
      </c>
      <c r="E884">
        <v>687</v>
      </c>
      <c r="F884">
        <v>53.14</v>
      </c>
      <c r="G884">
        <v>60281</v>
      </c>
      <c r="H884">
        <v>80023</v>
      </c>
      <c r="I884">
        <v>5.96</v>
      </c>
      <c r="J884" t="s">
        <v>20</v>
      </c>
      <c r="K884" t="s">
        <v>1620</v>
      </c>
      <c r="L884" s="25">
        <v>0.22363425925925925</v>
      </c>
      <c r="M884">
        <v>0.53139999999999998</v>
      </c>
      <c r="N884">
        <v>5.96E-2</v>
      </c>
      <c r="O884">
        <v>2835</v>
      </c>
      <c r="P884">
        <v>3.5427314647038979E-2</v>
      </c>
      <c r="Q884" t="s">
        <v>1238</v>
      </c>
      <c r="R884" t="s">
        <v>1239</v>
      </c>
      <c r="S884" t="s">
        <v>1231</v>
      </c>
      <c r="T884">
        <v>3</v>
      </c>
    </row>
    <row r="885" spans="1:20" x14ac:dyDescent="0.3">
      <c r="A885" t="s">
        <v>896</v>
      </c>
      <c r="B885" t="s">
        <v>897</v>
      </c>
      <c r="C885">
        <v>1502</v>
      </c>
      <c r="D885">
        <v>646</v>
      </c>
      <c r="E885">
        <v>687</v>
      </c>
      <c r="F885">
        <v>53.14</v>
      </c>
      <c r="G885">
        <v>60281</v>
      </c>
      <c r="H885">
        <v>80023</v>
      </c>
      <c r="I885">
        <v>5.96</v>
      </c>
      <c r="J885" t="s">
        <v>20</v>
      </c>
      <c r="K885" t="s">
        <v>1698</v>
      </c>
      <c r="L885" s="25">
        <v>0.22363425925925925</v>
      </c>
      <c r="M885">
        <v>0.53139999999999998</v>
      </c>
      <c r="N885">
        <v>5.96E-2</v>
      </c>
      <c r="O885">
        <v>2835</v>
      </c>
      <c r="P885">
        <v>3.5427314647038979E-2</v>
      </c>
      <c r="Q885" t="s">
        <v>1238</v>
      </c>
      <c r="R885" t="s">
        <v>1239</v>
      </c>
      <c r="S885" t="s">
        <v>1231</v>
      </c>
      <c r="T885">
        <v>3</v>
      </c>
    </row>
    <row r="886" spans="1:20" x14ac:dyDescent="0.3">
      <c r="A886" t="s">
        <v>896</v>
      </c>
      <c r="B886" t="s">
        <v>897</v>
      </c>
      <c r="C886">
        <v>1502</v>
      </c>
      <c r="D886">
        <v>646</v>
      </c>
      <c r="E886">
        <v>687</v>
      </c>
      <c r="F886">
        <v>53.14</v>
      </c>
      <c r="G886">
        <v>60281</v>
      </c>
      <c r="H886">
        <v>80023</v>
      </c>
      <c r="I886">
        <v>5.96</v>
      </c>
      <c r="J886" t="s">
        <v>20</v>
      </c>
      <c r="K886" t="s">
        <v>1815</v>
      </c>
      <c r="L886" s="25">
        <v>0.22363425925925925</v>
      </c>
      <c r="M886">
        <v>0.53139999999999998</v>
      </c>
      <c r="N886">
        <v>5.96E-2</v>
      </c>
      <c r="O886">
        <v>2835</v>
      </c>
      <c r="P886">
        <v>3.5427314647038979E-2</v>
      </c>
      <c r="Q886" t="s">
        <v>1238</v>
      </c>
      <c r="R886" t="s">
        <v>1239</v>
      </c>
      <c r="S886" t="s">
        <v>1231</v>
      </c>
      <c r="T886">
        <v>3</v>
      </c>
    </row>
    <row r="887" spans="1:20" x14ac:dyDescent="0.3">
      <c r="A887" t="s">
        <v>899</v>
      </c>
      <c r="B887" t="s">
        <v>900</v>
      </c>
      <c r="C887">
        <v>8362</v>
      </c>
      <c r="D887">
        <v>1864</v>
      </c>
      <c r="E887">
        <v>1049</v>
      </c>
      <c r="F887">
        <v>52.37</v>
      </c>
      <c r="G887">
        <v>26419</v>
      </c>
      <c r="H887">
        <v>96775</v>
      </c>
      <c r="I887">
        <v>6.44</v>
      </c>
      <c r="J887" t="s">
        <v>16</v>
      </c>
      <c r="K887" t="s">
        <v>1816</v>
      </c>
      <c r="L887" s="25">
        <v>0.14436342592592594</v>
      </c>
      <c r="M887">
        <v>0.52369999999999994</v>
      </c>
      <c r="N887">
        <v>6.4399999999999999E-2</v>
      </c>
      <c r="O887">
        <v>11275</v>
      </c>
      <c r="P887">
        <v>0.11650736243864634</v>
      </c>
      <c r="Q887" t="s">
        <v>1238</v>
      </c>
      <c r="R887" t="s">
        <v>1239</v>
      </c>
      <c r="S887" t="s">
        <v>1231</v>
      </c>
      <c r="T887">
        <v>3</v>
      </c>
    </row>
    <row r="888" spans="1:20" x14ac:dyDescent="0.3">
      <c r="A888" t="s">
        <v>899</v>
      </c>
      <c r="B888" t="s">
        <v>900</v>
      </c>
      <c r="C888">
        <v>8362</v>
      </c>
      <c r="D888">
        <v>1864</v>
      </c>
      <c r="E888">
        <v>1049</v>
      </c>
      <c r="F888">
        <v>52.37</v>
      </c>
      <c r="G888">
        <v>26419</v>
      </c>
      <c r="H888">
        <v>96775</v>
      </c>
      <c r="I888">
        <v>6.44</v>
      </c>
      <c r="J888" t="s">
        <v>16</v>
      </c>
      <c r="K888" t="s">
        <v>1817</v>
      </c>
      <c r="L888" s="25">
        <v>0.14436342592592594</v>
      </c>
      <c r="M888">
        <v>0.52369999999999994</v>
      </c>
      <c r="N888">
        <v>6.4399999999999999E-2</v>
      </c>
      <c r="O888">
        <v>11275</v>
      </c>
      <c r="P888">
        <v>0.11650736243864634</v>
      </c>
      <c r="Q888" t="s">
        <v>1238</v>
      </c>
      <c r="R888" t="s">
        <v>1239</v>
      </c>
      <c r="S888" t="s">
        <v>1231</v>
      </c>
      <c r="T888">
        <v>3</v>
      </c>
    </row>
    <row r="889" spans="1:20" x14ac:dyDescent="0.3">
      <c r="A889" t="s">
        <v>899</v>
      </c>
      <c r="B889" t="s">
        <v>900</v>
      </c>
      <c r="C889">
        <v>8362</v>
      </c>
      <c r="D889">
        <v>1864</v>
      </c>
      <c r="E889">
        <v>1049</v>
      </c>
      <c r="F889">
        <v>52.37</v>
      </c>
      <c r="G889">
        <v>26419</v>
      </c>
      <c r="H889">
        <v>96775</v>
      </c>
      <c r="I889">
        <v>6.44</v>
      </c>
      <c r="J889" t="s">
        <v>16</v>
      </c>
      <c r="K889" t="s">
        <v>1818</v>
      </c>
      <c r="L889" s="25">
        <v>0.14436342592592594</v>
      </c>
      <c r="M889">
        <v>0.52369999999999994</v>
      </c>
      <c r="N889">
        <v>6.4399999999999999E-2</v>
      </c>
      <c r="O889">
        <v>11275</v>
      </c>
      <c r="P889">
        <v>0.11650736243864634</v>
      </c>
      <c r="Q889" t="s">
        <v>1238</v>
      </c>
      <c r="R889" t="s">
        <v>1239</v>
      </c>
      <c r="S889" t="s">
        <v>1231</v>
      </c>
      <c r="T889">
        <v>3</v>
      </c>
    </row>
    <row r="890" spans="1:20" x14ac:dyDescent="0.3">
      <c r="A890" t="s">
        <v>902</v>
      </c>
      <c r="B890" t="s">
        <v>903</v>
      </c>
      <c r="C890">
        <v>9538</v>
      </c>
      <c r="D890">
        <v>3828</v>
      </c>
      <c r="E890">
        <v>1928</v>
      </c>
      <c r="F890">
        <v>62.99</v>
      </c>
      <c r="G890">
        <v>26815</v>
      </c>
      <c r="H890">
        <v>25483</v>
      </c>
      <c r="I890">
        <v>0.91</v>
      </c>
      <c r="J890" t="s">
        <v>42</v>
      </c>
      <c r="K890" t="s">
        <v>1704</v>
      </c>
      <c r="L890" s="25">
        <v>0.32755787037037037</v>
      </c>
      <c r="M890">
        <v>0.62990000000000002</v>
      </c>
      <c r="N890">
        <v>9.1000000000000004E-3</v>
      </c>
      <c r="O890">
        <v>15294</v>
      </c>
      <c r="P890">
        <v>0.60016481575952596</v>
      </c>
      <c r="Q890" t="s">
        <v>1238</v>
      </c>
      <c r="R890" t="s">
        <v>1239</v>
      </c>
      <c r="S890" t="s">
        <v>1231</v>
      </c>
      <c r="T890">
        <v>3</v>
      </c>
    </row>
    <row r="891" spans="1:20" x14ac:dyDescent="0.3">
      <c r="A891" t="s">
        <v>902</v>
      </c>
      <c r="B891" t="s">
        <v>903</v>
      </c>
      <c r="C891">
        <v>9538</v>
      </c>
      <c r="D891">
        <v>3828</v>
      </c>
      <c r="E891">
        <v>1928</v>
      </c>
      <c r="F891">
        <v>62.99</v>
      </c>
      <c r="G891">
        <v>26815</v>
      </c>
      <c r="H891">
        <v>25483</v>
      </c>
      <c r="I891">
        <v>0.91</v>
      </c>
      <c r="J891" t="s">
        <v>42</v>
      </c>
      <c r="K891" t="s">
        <v>1819</v>
      </c>
      <c r="L891" s="25">
        <v>0.32755787037037037</v>
      </c>
      <c r="M891">
        <v>0.62990000000000002</v>
      </c>
      <c r="N891">
        <v>9.1000000000000004E-3</v>
      </c>
      <c r="O891">
        <v>15294</v>
      </c>
      <c r="P891">
        <v>0.60016481575952596</v>
      </c>
      <c r="Q891" t="s">
        <v>1238</v>
      </c>
      <c r="R891" t="s">
        <v>1239</v>
      </c>
      <c r="S891" t="s">
        <v>1231</v>
      </c>
      <c r="T891">
        <v>3</v>
      </c>
    </row>
    <row r="892" spans="1:20" x14ac:dyDescent="0.3">
      <c r="A892" t="s">
        <v>902</v>
      </c>
      <c r="B892" t="s">
        <v>903</v>
      </c>
      <c r="C892">
        <v>9538</v>
      </c>
      <c r="D892">
        <v>3828</v>
      </c>
      <c r="E892">
        <v>1928</v>
      </c>
      <c r="F892">
        <v>62.99</v>
      </c>
      <c r="G892">
        <v>26815</v>
      </c>
      <c r="H892">
        <v>25483</v>
      </c>
      <c r="I892">
        <v>0.91</v>
      </c>
      <c r="J892" t="s">
        <v>42</v>
      </c>
      <c r="K892" t="s">
        <v>1576</v>
      </c>
      <c r="L892" s="25">
        <v>0.32755787037037037</v>
      </c>
      <c r="M892">
        <v>0.62990000000000002</v>
      </c>
      <c r="N892">
        <v>9.1000000000000004E-3</v>
      </c>
      <c r="O892">
        <v>15294</v>
      </c>
      <c r="P892">
        <v>0.60016481575952596</v>
      </c>
      <c r="Q892" t="s">
        <v>1238</v>
      </c>
      <c r="R892" t="s">
        <v>1239</v>
      </c>
      <c r="S892" t="s">
        <v>1231</v>
      </c>
      <c r="T892">
        <v>3</v>
      </c>
    </row>
    <row r="893" spans="1:20" x14ac:dyDescent="0.3">
      <c r="A893" t="s">
        <v>905</v>
      </c>
      <c r="B893" t="s">
        <v>906</v>
      </c>
      <c r="C893">
        <v>7167</v>
      </c>
      <c r="D893">
        <v>2381</v>
      </c>
      <c r="E893">
        <v>1657</v>
      </c>
      <c r="F893">
        <v>5.38</v>
      </c>
      <c r="G893">
        <v>50136</v>
      </c>
      <c r="H893">
        <v>49867</v>
      </c>
      <c r="I893">
        <v>4.93</v>
      </c>
      <c r="J893" t="s">
        <v>12</v>
      </c>
      <c r="K893" t="s">
        <v>1820</v>
      </c>
      <c r="L893" s="25">
        <v>8.4363425925925925E-2</v>
      </c>
      <c r="M893">
        <v>5.3800000000000001E-2</v>
      </c>
      <c r="N893">
        <v>4.9299999999999997E-2</v>
      </c>
      <c r="O893">
        <v>11205</v>
      </c>
      <c r="P893">
        <v>0.2246976958710169</v>
      </c>
      <c r="Q893" t="s">
        <v>1238</v>
      </c>
      <c r="R893" t="s">
        <v>1239</v>
      </c>
      <c r="S893" t="s">
        <v>1231</v>
      </c>
      <c r="T893">
        <v>3</v>
      </c>
    </row>
    <row r="894" spans="1:20" x14ac:dyDescent="0.3">
      <c r="A894" t="s">
        <v>905</v>
      </c>
      <c r="B894" t="s">
        <v>906</v>
      </c>
      <c r="C894">
        <v>7167</v>
      </c>
      <c r="D894">
        <v>2381</v>
      </c>
      <c r="E894">
        <v>1657</v>
      </c>
      <c r="F894">
        <v>5.38</v>
      </c>
      <c r="G894">
        <v>50136</v>
      </c>
      <c r="H894">
        <v>49867</v>
      </c>
      <c r="I894">
        <v>4.93</v>
      </c>
      <c r="J894" t="s">
        <v>12</v>
      </c>
      <c r="K894" t="s">
        <v>1515</v>
      </c>
      <c r="L894" s="25">
        <v>8.4363425925925925E-2</v>
      </c>
      <c r="M894">
        <v>5.3800000000000001E-2</v>
      </c>
      <c r="N894">
        <v>4.9299999999999997E-2</v>
      </c>
      <c r="O894">
        <v>11205</v>
      </c>
      <c r="P894">
        <v>0.2246976958710169</v>
      </c>
      <c r="Q894" t="s">
        <v>1238</v>
      </c>
      <c r="R894" t="s">
        <v>1239</v>
      </c>
      <c r="S894" t="s">
        <v>1231</v>
      </c>
      <c r="T894">
        <v>3</v>
      </c>
    </row>
    <row r="895" spans="1:20" x14ac:dyDescent="0.3">
      <c r="A895" t="s">
        <v>905</v>
      </c>
      <c r="B895" t="s">
        <v>906</v>
      </c>
      <c r="C895">
        <v>7167</v>
      </c>
      <c r="D895">
        <v>2381</v>
      </c>
      <c r="E895">
        <v>1657</v>
      </c>
      <c r="F895">
        <v>5.38</v>
      </c>
      <c r="G895">
        <v>50136</v>
      </c>
      <c r="H895">
        <v>49867</v>
      </c>
      <c r="I895">
        <v>4.93</v>
      </c>
      <c r="J895" t="s">
        <v>12</v>
      </c>
      <c r="K895" t="s">
        <v>1821</v>
      </c>
      <c r="L895" s="25">
        <v>8.4363425925925925E-2</v>
      </c>
      <c r="M895">
        <v>5.3800000000000001E-2</v>
      </c>
      <c r="N895">
        <v>4.9299999999999997E-2</v>
      </c>
      <c r="O895">
        <v>11205</v>
      </c>
      <c r="P895">
        <v>0.2246976958710169</v>
      </c>
      <c r="Q895" t="s">
        <v>1238</v>
      </c>
      <c r="R895" t="s">
        <v>1239</v>
      </c>
      <c r="S895" t="s">
        <v>1231</v>
      </c>
      <c r="T895">
        <v>3</v>
      </c>
    </row>
    <row r="896" spans="1:20" x14ac:dyDescent="0.3">
      <c r="A896" t="s">
        <v>908</v>
      </c>
      <c r="B896" t="s">
        <v>909</v>
      </c>
      <c r="C896">
        <v>2740</v>
      </c>
      <c r="D896">
        <v>2534</v>
      </c>
      <c r="E896">
        <v>786</v>
      </c>
      <c r="F896">
        <v>17.02</v>
      </c>
      <c r="G896">
        <v>49345</v>
      </c>
      <c r="H896">
        <v>43400</v>
      </c>
      <c r="I896">
        <v>2.64</v>
      </c>
      <c r="J896" t="s">
        <v>42</v>
      </c>
      <c r="K896" t="s">
        <v>1732</v>
      </c>
      <c r="L896" s="25">
        <v>6.0312499999999998E-2</v>
      </c>
      <c r="M896">
        <v>0.17019999999999999</v>
      </c>
      <c r="N896">
        <v>2.64E-2</v>
      </c>
      <c r="O896">
        <v>6060</v>
      </c>
      <c r="P896">
        <v>0.13963133640552997</v>
      </c>
      <c r="Q896" t="s">
        <v>1238</v>
      </c>
      <c r="R896" t="s">
        <v>1239</v>
      </c>
      <c r="S896" t="s">
        <v>1231</v>
      </c>
      <c r="T896">
        <v>3</v>
      </c>
    </row>
    <row r="897" spans="1:20" x14ac:dyDescent="0.3">
      <c r="A897" t="s">
        <v>908</v>
      </c>
      <c r="B897" t="s">
        <v>909</v>
      </c>
      <c r="C897">
        <v>2740</v>
      </c>
      <c r="D897">
        <v>2534</v>
      </c>
      <c r="E897">
        <v>786</v>
      </c>
      <c r="F897">
        <v>17.02</v>
      </c>
      <c r="G897">
        <v>49345</v>
      </c>
      <c r="H897">
        <v>43400</v>
      </c>
      <c r="I897">
        <v>2.64</v>
      </c>
      <c r="J897" t="s">
        <v>42</v>
      </c>
      <c r="K897" t="s">
        <v>1636</v>
      </c>
      <c r="L897" s="25">
        <v>6.0312499999999998E-2</v>
      </c>
      <c r="M897">
        <v>0.17019999999999999</v>
      </c>
      <c r="N897">
        <v>2.64E-2</v>
      </c>
      <c r="O897">
        <v>6060</v>
      </c>
      <c r="P897">
        <v>0.13963133640552997</v>
      </c>
      <c r="Q897" t="s">
        <v>1238</v>
      </c>
      <c r="R897" t="s">
        <v>1239</v>
      </c>
      <c r="S897" t="s">
        <v>1231</v>
      </c>
      <c r="T897">
        <v>3</v>
      </c>
    </row>
    <row r="898" spans="1:20" x14ac:dyDescent="0.3">
      <c r="A898" t="s">
        <v>908</v>
      </c>
      <c r="B898" t="s">
        <v>909</v>
      </c>
      <c r="C898">
        <v>2740</v>
      </c>
      <c r="D898">
        <v>2534</v>
      </c>
      <c r="E898">
        <v>786</v>
      </c>
      <c r="F898">
        <v>17.02</v>
      </c>
      <c r="G898">
        <v>49345</v>
      </c>
      <c r="H898">
        <v>43400</v>
      </c>
      <c r="I898">
        <v>2.64</v>
      </c>
      <c r="J898" t="s">
        <v>42</v>
      </c>
      <c r="K898" t="s">
        <v>1385</v>
      </c>
      <c r="L898" s="25">
        <v>6.0312499999999998E-2</v>
      </c>
      <c r="M898">
        <v>0.17019999999999999</v>
      </c>
      <c r="N898">
        <v>2.64E-2</v>
      </c>
      <c r="O898">
        <v>6060</v>
      </c>
      <c r="P898">
        <v>0.13963133640552997</v>
      </c>
      <c r="Q898" t="s">
        <v>1238</v>
      </c>
      <c r="R898" t="s">
        <v>1239</v>
      </c>
      <c r="S898" t="s">
        <v>1231</v>
      </c>
      <c r="T898">
        <v>3</v>
      </c>
    </row>
    <row r="899" spans="1:20" x14ac:dyDescent="0.3">
      <c r="A899" t="s">
        <v>911</v>
      </c>
      <c r="B899" t="s">
        <v>912</v>
      </c>
      <c r="C899">
        <v>5084</v>
      </c>
      <c r="D899">
        <v>1819</v>
      </c>
      <c r="E899">
        <v>1264</v>
      </c>
      <c r="F899">
        <v>46.19</v>
      </c>
      <c r="G899">
        <v>7276</v>
      </c>
      <c r="H899">
        <v>8472</v>
      </c>
      <c r="I899">
        <v>6.94</v>
      </c>
      <c r="J899" t="s">
        <v>42</v>
      </c>
      <c r="K899" t="s">
        <v>1317</v>
      </c>
      <c r="L899" s="25">
        <v>0.34111111111111109</v>
      </c>
      <c r="M899">
        <v>0.46189999999999998</v>
      </c>
      <c r="N899">
        <v>6.9400000000000003E-2</v>
      </c>
      <c r="O899">
        <v>8167</v>
      </c>
      <c r="P899">
        <v>0.96399905571293676</v>
      </c>
      <c r="Q899" t="s">
        <v>1238</v>
      </c>
      <c r="R899" t="s">
        <v>1239</v>
      </c>
      <c r="S899" t="s">
        <v>1231</v>
      </c>
      <c r="T899">
        <v>3</v>
      </c>
    </row>
    <row r="900" spans="1:20" x14ac:dyDescent="0.3">
      <c r="A900" t="s">
        <v>911</v>
      </c>
      <c r="B900" t="s">
        <v>912</v>
      </c>
      <c r="C900">
        <v>5084</v>
      </c>
      <c r="D900">
        <v>1819</v>
      </c>
      <c r="E900">
        <v>1264</v>
      </c>
      <c r="F900">
        <v>46.19</v>
      </c>
      <c r="G900">
        <v>7276</v>
      </c>
      <c r="H900">
        <v>8472</v>
      </c>
      <c r="I900">
        <v>6.94</v>
      </c>
      <c r="J900" t="s">
        <v>42</v>
      </c>
      <c r="K900" t="s">
        <v>1309</v>
      </c>
      <c r="L900" s="25">
        <v>0.34111111111111109</v>
      </c>
      <c r="M900">
        <v>0.46189999999999998</v>
      </c>
      <c r="N900">
        <v>6.9400000000000003E-2</v>
      </c>
      <c r="O900">
        <v>8167</v>
      </c>
      <c r="P900">
        <v>0.96399905571293676</v>
      </c>
      <c r="Q900" t="s">
        <v>1238</v>
      </c>
      <c r="R900" t="s">
        <v>1239</v>
      </c>
      <c r="S900" t="s">
        <v>1231</v>
      </c>
      <c r="T900">
        <v>3</v>
      </c>
    </row>
    <row r="901" spans="1:20" x14ac:dyDescent="0.3">
      <c r="A901" t="s">
        <v>911</v>
      </c>
      <c r="B901" t="s">
        <v>912</v>
      </c>
      <c r="C901">
        <v>5084</v>
      </c>
      <c r="D901">
        <v>1819</v>
      </c>
      <c r="E901">
        <v>1264</v>
      </c>
      <c r="F901">
        <v>46.19</v>
      </c>
      <c r="G901">
        <v>7276</v>
      </c>
      <c r="H901">
        <v>8472</v>
      </c>
      <c r="I901">
        <v>6.94</v>
      </c>
      <c r="J901" t="s">
        <v>42</v>
      </c>
      <c r="K901" t="s">
        <v>1277</v>
      </c>
      <c r="L901" s="25">
        <v>0.34111111111111109</v>
      </c>
      <c r="M901">
        <v>0.46189999999999998</v>
      </c>
      <c r="N901">
        <v>6.9400000000000003E-2</v>
      </c>
      <c r="O901">
        <v>8167</v>
      </c>
      <c r="P901">
        <v>0.96399905571293676</v>
      </c>
      <c r="Q901" t="s">
        <v>1238</v>
      </c>
      <c r="R901" t="s">
        <v>1239</v>
      </c>
      <c r="S901" t="s">
        <v>1231</v>
      </c>
      <c r="T901">
        <v>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7FB8F-7529-48C9-9A45-18F76DA41659}">
  <dimension ref="A3:BG127"/>
  <sheetViews>
    <sheetView showGridLines="0" tabSelected="1" zoomScale="32" zoomScaleNormal="43" workbookViewId="0">
      <selection activeCell="BN44" sqref="BN44"/>
    </sheetView>
  </sheetViews>
  <sheetFormatPr defaultRowHeight="14.4" x14ac:dyDescent="0.3"/>
  <sheetData>
    <row r="3" ht="40.799999999999997" customHeight="1" x14ac:dyDescent="0.3"/>
    <row r="106" spans="1:59" ht="21" x14ac:dyDescent="0.4">
      <c r="A106" s="26"/>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row>
    <row r="127" spans="38:38" x14ac:dyDescent="0.3">
      <c r="AL127" t="s">
        <v>1823</v>
      </c>
    </row>
  </sheetData>
  <mergeCells count="1">
    <mergeCell ref="AE106:BG10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718921-3A33-4A1C-AD09-BE486E9B30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vt:lpstr>
      <vt:lpstr>POWERQUERYEDITOR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Kushitha V</cp:lastModifiedBy>
  <dcterms:created xsi:type="dcterms:W3CDTF">2026-03-18T12:57:21Z</dcterms:created>
  <dcterms:modified xsi:type="dcterms:W3CDTF">2026-03-24T16:37:49Z</dcterms:modified>
</cp:coreProperties>
</file>